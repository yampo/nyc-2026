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65" authorId="0" shapeId="0">
      <text>
        <t>Entrada libre 7-19h. Trolley tours con costo: sab 29/8 y sab 5/9, 13-15h.</t>
      </text>
    </comment>
    <comment ref="I267" authorId="0" shapeId="0">
      <text>
        <t>estimado, sin verificar contra la fuente</t>
      </text>
    </comment>
    <comment ref="I268" authorId="0" shapeId="0">
      <text>
        <t>$10. GRATIS todos los jueves.</t>
      </text>
    </comment>
    <comment ref="U268" authorId="0" shapeId="0">
      <text>
        <t>En la lista de Google figura como: Wave Hill Public Garden &amp; Cultural Center
(coincide con lo que habíamos propuesto nosotros)</t>
      </text>
    </comment>
    <comment ref="U285" authorId="0" shapeId="0">
      <text>
        <t>En la lista de Google figura como: Washington Square Park
(coincide con lo que habíamos propuesto nosotros)</t>
      </text>
    </comment>
    <comment ref="U286" authorId="0" shapeId="0">
      <text>
        <t>En la lista de Google figura como: High Line
(coincide con lo que habíamos propuesto nosotros)</t>
      </text>
    </comment>
    <comment ref="I287" authorId="0" shapeId="0">
      <text>
        <t>Grounds pass desde ~$80 segun sesion</t>
      </text>
    </comment>
    <comment ref="I288" authorId="0" shapeId="0">
      <text>
        <t>GRATIS, sin reserva</t>
      </text>
    </comment>
    <comment ref="I289" authorId="0" shapeId="0">
      <text>
        <t>GRATIS, sin reserva</t>
      </text>
    </comment>
    <comment ref="I290" authorId="0" shapeId="0">
      <text>
        <t>GRATIS</t>
      </text>
    </comment>
    <comment ref="I291" authorId="0" shapeId="0">
      <text>
        <t>precios no publicados aun - VERIFICAR en wiadcacarnival.org</t>
      </text>
    </comment>
    <comment ref="I294" authorId="0" shapeId="0">
      <text>
        <t>precio no publicado - consultar green-wood.com</t>
      </text>
    </comment>
    <comment ref="I295" authorId="0" shapeId="0">
      <text>
        <t>Promedio real pagado $112. LOTERIA $10 (HamiltonMusical.com, cierra jueves 12h de la semana previa).</t>
      </text>
    </comment>
    <comment ref="I296" authorId="0" shapeId="0">
      <text>
        <t>Promedio real pagado $59. LOTERIA $20.64 (Telecharge, cierra 15h del dia previo). Rush $49.</t>
      </text>
    </comment>
    <comment ref="I297" authorId="0" shapeId="0">
      <text>
        <t>Loteria LuckySeat $49. Funciones de cierre suelen encarecerse.</t>
      </text>
    </comment>
    <comment ref="I298" authorId="0" shapeId="0">
      <text>
        <t>Promedio real $63. Rush $49 en boleteria a las 10h. TKTS ~40% off.</t>
      </text>
    </comment>
    <comment ref="I299" authorId="0" shapeId="0">
      <text>
        <t>Loteria digital $40 (Telecharge, sorteos 10h y 15h)</t>
      </text>
    </comment>
    <comment ref="I300" authorId="0" shapeId="0">
      <text>
        <t>Desde ~$76-100 segun funcion. Alternativas de play esa semana: Harry Potter and the Cursed Child (Lyric), Paranormal Activity (August Wilson), The Imaginary Invalid (Roundabout).</t>
      </text>
    </comment>
    <comment ref="I301" authorId="0" shapeId="0">
      <text>
        <t>Hasta 50% off (tipico 40%) + $8 de fee por ticket. Max 6 por persona.</t>
      </text>
    </comment>
    <comment ref="U301" authorId="0" shapeId="0">
      <text>
        <t>En la lista de Google figura como: TKTS Lincoln Center
(coincide con lo que habíamos propuesto nosotros)</t>
      </text>
    </comment>
    <comment ref="U303" authorId="0" shapeId="0">
      <text>
        <t>En la lista de Google figura como: Ink 48 Hotel
(coincide con lo que habíamos propuesto nosotros)</t>
      </text>
    </comment>
    <comment ref="U304" authorId="0" shapeId="0">
      <text>
        <t>En la lista de Google figura como: Hotel Beacon
(coincide con lo que habíamos propuesto nosotros)</t>
      </text>
    </comment>
    <comment ref="U306"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ll%27s%20Kitchen%20Flea%20Market%2C%20W%2039th%20St%20entre%209th%20y%2010th%20Ave%2C%20New%20York" TargetMode="External" Id="rId255" /><Relationship Type="http://schemas.openxmlformats.org/officeDocument/2006/relationships/hyperlink" Target="https://www.google.com/maps/search/?api=1&amp;query=Housing%20Works%20Bookstore%2C%20126%20Crosby%20St%2C%20New%20York" TargetMode="External" Id="rId256" /><Relationship Type="http://schemas.openxmlformats.org/officeDocument/2006/relationships/hyperlink" Target="https://www.google.com/maps/search/?api=1&amp;query=Louis%20Vuitton%2C%201%20E%2057th%20St%2C%20New%20York" TargetMode="External" Id="rId257" /><Relationship Type="http://schemas.openxmlformats.org/officeDocument/2006/relationships/hyperlink" Target="https://www.google.com/maps/search/?api=1&amp;query=M%26M%27S%20World%20New%20York%2C%201600%20Broadway%2C%20New%20York" TargetMode="External" Id="rId258" /><Relationship Type="http://schemas.openxmlformats.org/officeDocument/2006/relationships/hyperlink" Target="https://www.google.com/maps/search/?api=1&amp;query=McNally%20Jackson%20Books%2C%20134%20Prince%20St%2C%20New%20York" TargetMode="External" Id="rId259" /><Relationship Type="http://schemas.openxmlformats.org/officeDocument/2006/relationships/hyperlink" Target="https://www.google.com/maps/search/?api=1&amp;query=The%20Mills%20at%20Jersey%20Gardens%2C%20651%20Kapkowski%20Rd%2C%20Elizabeth%2C%20NJ%2C%20New%20York" TargetMode="External" Id="rId260" /><Relationship Type="http://schemas.openxmlformats.org/officeDocument/2006/relationships/hyperlink" Target="https://www.google.com/maps/search/?api=1&amp;query=Green-Wood%20Cemetery%2C%20500%2025th%20St%2C%20Brooklyn%2C%20New%20York" TargetMode="External" Id="rId261" /><Relationship Type="http://schemas.openxmlformats.org/officeDocument/2006/relationships/hyperlink" Target="https://www.google.com/maps/search/?api=1&amp;query=Inwood%20Hill%20Park%2C%20Inwood%20Hill%20Park%2C%20Manhattan%2C%20New%20York" TargetMode="External" Id="rId262" /><Relationship Type="http://schemas.openxmlformats.org/officeDocument/2006/relationships/hyperlink" Target="https://www.google.com/maps/search/?api=1&amp;query=New%20York%20Botanical%20Garden%2C%202900%20Southern%20Blvd%2C%20Bronx%2C%20New%20York" TargetMode="External" Id="rId263" /><Relationship Type="http://schemas.openxmlformats.org/officeDocument/2006/relationships/hyperlink" Target="https://www.google.com/maps/search/?api=1&amp;query=Wave%20Hill%2C%204900%20Independence%20Ave%2C%20Bronx%2C%20New%20York" TargetMode="External" Id="rId264" /><Relationship Type="http://schemas.openxmlformats.org/officeDocument/2006/relationships/hyperlink" Target="https://www.google.com/maps/search/?api=1&amp;query=Elizabeth%20Street%20Garden%2C%20Elizabeth%20St%20entre%20Prince%20y%20Spring%2C%20New%20York" TargetMode="External" Id="rId265" /><Relationship Type="http://schemas.openxmlformats.org/officeDocument/2006/relationships/hyperlink" Target="https://www.google.com/maps/search/?api=1&amp;query=Socrates%20Sculpture%20Park%2C%2032-01%20Vernon%20Blvd%2C%20LIC%2C%20New%20York" TargetMode="External" Id="rId266" /><Relationship Type="http://schemas.openxmlformats.org/officeDocument/2006/relationships/hyperlink" Target="https://www.google.com/maps/search/?api=1&amp;query=Astoria%20Park%2C%2019th%20St%20%26%2023rd%20Ave%2C%20Astoria%2C%20New%20York" TargetMode="External" Id="rId267" /><Relationship Type="http://schemas.openxmlformats.org/officeDocument/2006/relationships/hyperlink" Target="https://www.google.com/maps/search/?api=1&amp;query=Battery%20Park%2C%20New%20York" TargetMode="External" Id="rId268" /><Relationship Type="http://schemas.openxmlformats.org/officeDocument/2006/relationships/hyperlink" Target="https://www.google.com/maps/search/?api=1&amp;query=Brooklyn%20Bridge%20Park%2C%20334%20Furman%20St%2C%20Brooklyn%2C%20New%20York" TargetMode="External" Id="rId269" /><Relationship Type="http://schemas.openxmlformats.org/officeDocument/2006/relationships/hyperlink" Target="https://www.google.com/maps/search/?api=1&amp;query=Bryant%20Park%2C%20Bryant%20Park%2C%20New%20York%2C%20New%20York" TargetMode="External" Id="rId270" /><Relationship Type="http://schemas.openxmlformats.org/officeDocument/2006/relationships/hyperlink" Target="https://www.google.com/maps/search/?api=1&amp;query=Carl%20Schurz%20Park%2C%20East%20End%20Ave%20y%20E%2086th%20St%2C%20New%20York" TargetMode="External" Id="rId271" /><Relationship Type="http://schemas.openxmlformats.org/officeDocument/2006/relationships/hyperlink" Target="https://www.google.com/maps/search/?api=1&amp;query=Central%20Park%2C%20Central%20Park%2C%20New%20York%2C%20New%20York" TargetMode="External" Id="rId272" /><Relationship Type="http://schemas.openxmlformats.org/officeDocument/2006/relationships/hyperlink" Target="https://www.google.com/maps/search/?api=1&amp;query=Clinton%20Community%20Garden%2C%20434%20W%2048th%20St%2C%20New%20York" TargetMode="External" Id="rId273" /><Relationship Type="http://schemas.openxmlformats.org/officeDocument/2006/relationships/hyperlink" Target="https://www.google.com/maps/search/?api=1&amp;query=Columbus%20Park%2C%20Columbus%20Park%2C%20Baxter%20St%2C%20New%20York" TargetMode="External" Id="rId274" /><Relationship Type="http://schemas.openxmlformats.org/officeDocument/2006/relationships/hyperlink" Target="https://www.google.com/maps/search/?api=1&amp;query=Greenacre%20Park%2C%20217%20E%2051st%20St%2C%20New%20York" TargetMode="External" Id="rId275" /><Relationship Type="http://schemas.openxmlformats.org/officeDocument/2006/relationships/hyperlink" Target="https://www.google.com/maps/search/?api=1&amp;query=Hudson%20River%20Park%20Pier%2084%2C%20W%2044th%20St%20y%2012th%20Ave%2C%20New%20York" TargetMode="External" Id="rId276" /><Relationship Type="http://schemas.openxmlformats.org/officeDocument/2006/relationships/hyperlink" Target="https://www.google.com/maps/search/?api=1&amp;query=Paley%20Park%2C%203%20E%2053rd%20St%2C%20New%20York" TargetMode="External" Id="rId277" /><Relationship Type="http://schemas.openxmlformats.org/officeDocument/2006/relationships/hyperlink" Target="https://www.google.com/maps/search/?api=1&amp;query=Prospect%20Park%2C%20New%20York" TargetMode="External" Id="rId278" /><Relationship Type="http://schemas.openxmlformats.org/officeDocument/2006/relationships/hyperlink" Target="https://www.google.com/maps/search/?api=1&amp;query=Straus%20Park%2C%20Broadway%20%26%20W%20106th%20St%2C%20New%20York" TargetMode="External" Id="rId279" /><Relationship Type="http://schemas.openxmlformats.org/officeDocument/2006/relationships/hyperlink" Target="https://www.google.com/maps/search/?api=1&amp;query=Tudor%20City%20Greens%2C%20Tudor%20City%20Pl%2C%20New%20York" TargetMode="External" Id="rId280" /><Relationship Type="http://schemas.openxmlformats.org/officeDocument/2006/relationships/hyperlink" Target="https://www.google.com/maps/search/?api=1&amp;query=Washington%20Square%20Park%2C%20Washington%20Square%20Park%2C%20New%20York" TargetMode="External" Id="rId281" /><Relationship Type="http://schemas.openxmlformats.org/officeDocument/2006/relationships/hyperlink" Target="https://www.google.com/maps/search/?api=1&amp;query=The%20High%20Line%2C%20High%20Line%2C%20Gansevoort%20St%20a%20W%2034th%20St%2C%20New%20York" TargetMode="External" Id="rId282" /><Relationship Type="http://schemas.openxmlformats.org/officeDocument/2006/relationships/hyperlink" Target="https://www.google.com/maps/search/?api=1&amp;query=US%20Open%20%28primeras%20rondas%29%2C%20USTA%20Billie%20Jean%20King%20NTC%2C%20Flushing%2C%20New%20York" TargetMode="External" Id="rId283" /><Relationship Type="http://schemas.openxmlformats.org/officeDocument/2006/relationships/hyperlink" Target="https://www.google.com/maps/search/?api=1&amp;query=Charlie%20Parker%20Jazz%20Festival%20-%20East%20Village%2C%20Tompkins%20Square%20Park%2C%20New%20York" TargetMode="External" Id="rId284" /><Relationship Type="http://schemas.openxmlformats.org/officeDocument/2006/relationships/hyperlink" Target="https://www.google.com/maps/search/?api=1&amp;query=Charlie%20Parker%20Jazz%20Festival%20-%20Harlem%2C%20Marcus%20Garvey%20Park%2C%20Harlem%2C%20New%20York" TargetMode="External" Id="rId285" /><Relationship Type="http://schemas.openxmlformats.org/officeDocument/2006/relationships/hyperlink" Target="https://www.google.com/maps/search/?api=1&amp;query=SummerStage%3A%20Christian%20McBride%20%28gratis%29%2C%20Rumsey%20Playfield%2C%20Central%20Park%2C%20New%20York" TargetMode="External" Id="rId286" /><Relationship Type="http://schemas.openxmlformats.org/officeDocument/2006/relationships/hyperlink" Target="https://www.google.com/maps/search/?api=1&amp;query=NY%20Caribbean%20Carnival%20Week%20%28Panorama%29%2C%20Brooklyn%20Museum%2C%20200%20Eastern%20Pkwy%2C%20New%20York" TargetMode="External" Id="rId287" /><Relationship Type="http://schemas.openxmlformats.org/officeDocument/2006/relationships/hyperlink" Target="https://www.google.com/maps/search/?api=1&amp;query=Paint%20%27N%20Pour%2C%20New%20York" TargetMode="External" Id="rId288" /><Relationship Type="http://schemas.openxmlformats.org/officeDocument/2006/relationships/hyperlink" Target="https://www.google.com/maps/search/?api=1&amp;query=Time%20To%20Paint%20-%20Painting%20Studio%2C%20New%20York" TargetMode="External" Id="rId289" /><Relationship Type="http://schemas.openxmlformats.org/officeDocument/2006/relationships/hyperlink" Target="https://www.google.com/maps/search/?api=1&amp;query=Green-Wood%20Discover%20Trolley%20Tour%2C%20500%2025th%20St%2C%20Brooklyn%2C%20New%20York" TargetMode="External" Id="rId290" /><Relationship Type="http://schemas.openxmlformats.org/officeDocument/2006/relationships/hyperlink" Target="https://www.google.com/maps/search/?api=1&amp;query=Hamilton%2C%20Richard%20Rodgers%20Theatre%2C%20226%20W%2046th%20St%2C%20New%20York" TargetMode="External" Id="rId291" /><Relationship Type="http://schemas.openxmlformats.org/officeDocument/2006/relationships/hyperlink" Target="https://www.google.com/maps/search/?api=1&amp;query=Maybe%20Happy%20Ending%2C%20Belasco%20Theatre%2C%20111%20W%2044th%20St%2C%20New%20York" TargetMode="External" Id="rId292" /><Relationship Type="http://schemas.openxmlformats.org/officeDocument/2006/relationships/hyperlink" Target="https://www.google.com/maps/search/?api=1&amp;query=Moulin%20Rouge%21%20%28ULTIMAS%20FUNCIONES%29%2C%20Al%20Hirschfeld%20Theatre%2C%20302%20W%2045th%20St%2C%20New%20York" TargetMode="External" Id="rId293" /><Relationship Type="http://schemas.openxmlformats.org/officeDocument/2006/relationships/hyperlink" Target="https://www.google.com/maps/search/?api=1&amp;query=Operation%20Mincemeat%2C%20John%20Golden%20Theatre%2C%20252%20W%2045th%20St%2C%20New%20York" TargetMode="External" Id="rId294" /><Relationship Type="http://schemas.openxmlformats.org/officeDocument/2006/relationships/hyperlink" Target="https://www.google.com/maps/search/?api=1&amp;query=Little%20Shop%20of%20Horrors%20%28Off-Broadway%29%2C%20Westside%20Theatre%2C%20407%20W%2043rd%20St%2C%20New%20York" TargetMode="External" Id="rId295" /><Relationship Type="http://schemas.openxmlformats.org/officeDocument/2006/relationships/hyperlink" Target="https://www.google.com/maps/search/?api=1&amp;query=Stranger%20Things%3A%20The%20First%20Shadow%20%28play%29%2C%20Marquis%20Theatre%2C%20210%20W%2046th%20St%2C%20New%20York" TargetMode="External" Id="rId296" /><Relationship Type="http://schemas.openxmlformats.org/officeDocument/2006/relationships/hyperlink" Target="https://www.google.com/maps/search/?api=1&amp;query=TKTS%20Lincoln%20Center%2C%2061%20W%2062nd%20St%2C%20New%20York" TargetMode="External" Id="rId297" /><Relationship Type="http://schemas.openxmlformats.org/officeDocument/2006/relationships/hyperlink" Target="https://www.google.com/maps/search/?api=1&amp;query=NYC%20Ferry%20DUMBO%20%E2%86%92%20Wall%20St%2C%20New%20York" TargetMode="External" Id="rId298" /><Relationship Type="http://schemas.openxmlformats.org/officeDocument/2006/relationships/hyperlink" Target="https://www.google.com/maps/search/?api=1&amp;query=Hotel%20Ink48%20%2829-31%20ago%29%2C%20653%2011th%20Ave%2C%20New%20York" TargetMode="External" Id="rId299" /><Relationship Type="http://schemas.openxmlformats.org/officeDocument/2006/relationships/hyperlink" Target="https://www.google.com/maps/search/?api=1&amp;query=Hotel%20The%20Beacon%20%283-6%20sep%29%2C%202130%20Broadway%2C%20New%20York" TargetMode="External" Id="rId300" /><Relationship Type="http://schemas.openxmlformats.org/officeDocument/2006/relationships/hyperlink" Target="https://www.google.com/maps/search/?api=1&amp;query=JGSTAY%20SoHo%20%28JP%3A%2031%20ago-2%20sep%29%2C%20120%20Lafayette%20St%2C%20NY%2010013%2C%20New%20York" TargetMode="External" Id="rId301"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6"/>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Hell's Kitchen Flea Market</t>
        </is>
      </c>
      <c r="B259" s="10" t="inlineStr">
        <is>
          <t>Tienda con historia</t>
        </is>
      </c>
      <c r="C259" s="11" t="inlineStr">
        <is>
          <t>Arquitectura</t>
        </is>
      </c>
      <c r="D259" s="11" t="inlineStr">
        <is>
          <t>Hell's Kitchen</t>
        </is>
      </c>
      <c r="E259" s="11" t="inlineStr">
        <is>
          <t>Manhattan</t>
        </is>
      </c>
      <c r="F259" s="12" t="n">
        <v>1</v>
      </c>
      <c r="G259" s="12" t="n">
        <v>1</v>
      </c>
      <c r="H259" s="13">
        <f>IF(AND(F259=2,G259=2),"AMBOS",IF(AND(F259=2,G259&lt;2),"solo JP",IF(AND(F259&lt;2,G259=2),"solo Thais","-")))</f>
        <v/>
      </c>
      <c r="I259" s="14" t="n">
        <v>0</v>
      </c>
      <c r="J259" s="15" t="n">
        <v>0.8</v>
      </c>
      <c r="K259" s="13" t="inlineStr">
        <is>
          <t>no</t>
        </is>
      </c>
      <c r="L259" s="16" t="inlineStr">
        <is>
          <t>—</t>
        </is>
      </c>
      <c r="M259" s="11" t="inlineStr">
        <is>
          <t>—</t>
        </is>
      </c>
      <c r="N259" s="16" t="inlineStr">
        <is>
          <t>—</t>
        </is>
      </c>
      <c r="O259" s="16" t="inlineStr">
        <is>
          <t>—</t>
        </is>
      </c>
      <c r="P259" s="16" t="inlineStr">
        <is>
          <t>42 St-Port Authority (A,C,E)</t>
        </is>
      </c>
      <c r="Q259" s="16" t="inlineStr">
        <is>
          <t>Feria de antiguedades al aire libre, sabados y domingos. Vinilos, camaras y cosas que no vas a encontrar en otro lado.</t>
        </is>
      </c>
      <c r="R259" s="16" t="inlineStr">
        <is>
          <t>W 39th St entre 9th y 10th Ave</t>
        </is>
      </c>
      <c r="S259" s="16" t="inlineStr">
        <is>
          <t>—</t>
        </is>
      </c>
      <c r="T259" s="18" t="inlineStr">
        <is>
          <t>Abrir ↗</t>
        </is>
      </c>
      <c r="U259" s="21" t="inlineStr">
        <is>
          <t>otros</t>
        </is>
      </c>
      <c r="V259" s="20" t="inlineStr"/>
    </row>
    <row r="260" ht="46" customHeight="1">
      <c r="A260" s="9" t="inlineStr">
        <is>
          <t>Housing Works Bookstore</t>
        </is>
      </c>
      <c r="B260" s="10" t="inlineStr">
        <is>
          <t>Tienda con historia</t>
        </is>
      </c>
      <c r="C260" s="11" t="inlineStr">
        <is>
          <t>Arquitectura</t>
        </is>
      </c>
      <c r="D260" s="11" t="inlineStr">
        <is>
          <t>SoHo</t>
        </is>
      </c>
      <c r="E260" s="11" t="inlineStr">
        <is>
          <t>Manhattan</t>
        </is>
      </c>
      <c r="F260" s="12" t="n">
        <v>1</v>
      </c>
      <c r="G260" s="12" t="n">
        <v>1</v>
      </c>
      <c r="H260" s="13">
        <f>IF(AND(F260=2,G260=2),"AMBOS",IF(AND(F260=2,G260&lt;2),"solo JP",IF(AND(F260&lt;2,G260=2),"solo Thais","-")))</f>
        <v/>
      </c>
      <c r="I260" s="14" t="n">
        <v>0</v>
      </c>
      <c r="J260" s="15" t="n">
        <v>0.6</v>
      </c>
      <c r="K260" s="13" t="inlineStr">
        <is>
          <t>no</t>
        </is>
      </c>
      <c r="L260" s="16" t="inlineStr">
        <is>
          <t>—</t>
        </is>
      </c>
      <c r="M260" s="11" t="inlineStr">
        <is>
          <t>—</t>
        </is>
      </c>
      <c r="N260" s="16" t="inlineStr">
        <is>
          <t>—</t>
        </is>
      </c>
      <c r="O260" s="16" t="inlineStr">
        <is>
          <t>—</t>
        </is>
      </c>
      <c r="P260" s="16" t="inlineStr">
        <is>
          <t>Spring St (6)</t>
        </is>
      </c>
      <c r="Q260" s="16" t="inlineStr">
        <is>
          <t>Librería de dos pisos con café: todo lo donado y toda la ganancia va a personas con VIH sin hogar.</t>
        </is>
      </c>
      <c r="R260" s="16" t="inlineStr">
        <is>
          <t>126 Crosby St</t>
        </is>
      </c>
      <c r="S260" s="16" t="inlineStr">
        <is>
          <t>—</t>
        </is>
      </c>
      <c r="T260" s="18" t="inlineStr">
        <is>
          <t>Abrir ↗</t>
        </is>
      </c>
      <c r="U260" s="19" t="inlineStr">
        <is>
          <t>lista google</t>
        </is>
      </c>
      <c r="V260" s="20" t="inlineStr"/>
    </row>
    <row r="261" ht="46" customHeight="1">
      <c r="A261" s="9" t="inlineStr">
        <is>
          <t>Louis Vuitton</t>
        </is>
      </c>
      <c r="B261" s="10" t="inlineStr">
        <is>
          <t>Tienda con historia</t>
        </is>
      </c>
      <c r="C261" s="11" t="inlineStr">
        <is>
          <t>Arquitectura</t>
        </is>
      </c>
      <c r="D261" s="11" t="inlineStr">
        <is>
          <t>Midtown</t>
        </is>
      </c>
      <c r="E261" s="11" t="inlineStr">
        <is>
          <t>Manhattan</t>
        </is>
      </c>
      <c r="F261" s="12" t="n">
        <v>1</v>
      </c>
      <c r="G261" s="12" t="n">
        <v>2</v>
      </c>
      <c r="H261" s="13">
        <f>IF(AND(F261=2,G261=2),"AMBOS",IF(AND(F261=2,G261&lt;2),"solo JP",IF(AND(F261&lt;2,G261=2),"solo Thais","-")))</f>
        <v/>
      </c>
      <c r="I261" s="14" t="n">
        <v>0</v>
      </c>
      <c r="J261" s="15" t="n">
        <v>0.5</v>
      </c>
      <c r="K261" s="13" t="inlineStr">
        <is>
          <t>SÍ</t>
        </is>
      </c>
      <c r="L261" s="16" t="inlineStr">
        <is>
          <t>—</t>
        </is>
      </c>
      <c r="M261" s="11" t="inlineStr">
        <is>
          <t>—</t>
        </is>
      </c>
      <c r="N261" s="16" t="inlineStr">
        <is>
          <t>—</t>
        </is>
      </c>
      <c r="O261" s="16" t="inlineStr">
        <is>
          <t>—</t>
        </is>
      </c>
      <c r="P261" s="16" t="inlineStr">
        <is>
          <t>5 Av/53 St (E,M)</t>
        </is>
      </c>
      <c r="Q261" s="16" t="inlineStr">
        <is>
          <t>Flagship de la Quinta. En la lista de Google, presumiblemente para compras.</t>
        </is>
      </c>
      <c r="R261" s="16" t="inlineStr">
        <is>
          <t>1 E 57th St</t>
        </is>
      </c>
      <c r="S261" s="16" t="inlineStr">
        <is>
          <t>—</t>
        </is>
      </c>
      <c r="T261" s="18" t="inlineStr">
        <is>
          <t>Abrir ↗</t>
        </is>
      </c>
      <c r="U261" s="19" t="inlineStr">
        <is>
          <t>lista google</t>
        </is>
      </c>
      <c r="V261" s="20" t="inlineStr"/>
    </row>
    <row r="262" ht="46" customHeight="1">
      <c r="A262" s="9" t="inlineStr">
        <is>
          <t>M&amp;M'S World New York</t>
        </is>
      </c>
      <c r="B262" s="10" t="inlineStr">
        <is>
          <t>Tienda con historia</t>
        </is>
      </c>
      <c r="C262" s="11" t="inlineStr">
        <is>
          <t>Arquitectura</t>
        </is>
      </c>
      <c r="D262" s="11" t="inlineStr">
        <is>
          <t>Times Square</t>
        </is>
      </c>
      <c r="E262" s="11" t="inlineStr">
        <is>
          <t>Manhattan</t>
        </is>
      </c>
      <c r="F262" s="12" t="n">
        <v>1</v>
      </c>
      <c r="G262" s="12" t="n">
        <v>1</v>
      </c>
      <c r="H262" s="13">
        <f>IF(AND(F262=2,G262=2),"AMBOS",IF(AND(F262=2,G262&lt;2),"solo JP",IF(AND(F262&lt;2,G262=2),"solo Thais","-")))</f>
        <v/>
      </c>
      <c r="I262" s="14" t="n">
        <v>0</v>
      </c>
      <c r="J262" s="15" t="n">
        <v>0.5</v>
      </c>
      <c r="K262" s="13" t="inlineStr">
        <is>
          <t>SÍ</t>
        </is>
      </c>
      <c r="L262" s="16" t="inlineStr">
        <is>
          <t>—</t>
        </is>
      </c>
      <c r="M262" s="11" t="inlineStr">
        <is>
          <t>—</t>
        </is>
      </c>
      <c r="N262" s="16" t="inlineStr">
        <is>
          <t>—</t>
        </is>
      </c>
      <c r="O262" s="16" t="inlineStr">
        <is>
          <t>—</t>
        </is>
      </c>
      <c r="P262" s="16" t="inlineStr">
        <is>
          <t>42 St-Times Sq</t>
        </is>
      </c>
      <c r="Q262" s="16" t="inlineStr">
        <is>
          <t>Tres pisos de merchandising en Times Square. Es lo que promete, ni más ni menos.</t>
        </is>
      </c>
      <c r="R262" s="16" t="inlineStr">
        <is>
          <t>1600 Broadway</t>
        </is>
      </c>
      <c r="S262" s="16" t="inlineStr">
        <is>
          <t>—</t>
        </is>
      </c>
      <c r="T262" s="18" t="inlineStr">
        <is>
          <t>Abrir ↗</t>
        </is>
      </c>
      <c r="U262" s="19" t="inlineStr">
        <is>
          <t>lista google</t>
        </is>
      </c>
      <c r="V262" s="20" t="inlineStr"/>
    </row>
    <row r="263" ht="46" customHeight="1">
      <c r="A263" s="9" t="inlineStr">
        <is>
          <t>McNally Jackson Books</t>
        </is>
      </c>
      <c r="B263" s="10" t="inlineStr">
        <is>
          <t>Tienda con historia</t>
        </is>
      </c>
      <c r="C263" s="11" t="inlineStr">
        <is>
          <t>Arquitectura</t>
        </is>
      </c>
      <c r="D263" s="11" t="inlineStr">
        <is>
          <t>SoHo</t>
        </is>
      </c>
      <c r="E263" s="11" t="inlineStr">
        <is>
          <t>Manhattan</t>
        </is>
      </c>
      <c r="F263" s="12" t="n">
        <v>1</v>
      </c>
      <c r="G263" s="12" t="n">
        <v>1</v>
      </c>
      <c r="H263" s="13">
        <f>IF(AND(F263=2,G263=2),"AMBOS",IF(AND(F263=2,G263&lt;2),"solo JP",IF(AND(F263&lt;2,G263=2),"solo Thais","-")))</f>
        <v/>
      </c>
      <c r="I263" s="14" t="n">
        <v>0</v>
      </c>
      <c r="J263" s="15" t="n">
        <v>0.5</v>
      </c>
      <c r="K263" s="13" t="inlineStr">
        <is>
          <t>no</t>
        </is>
      </c>
      <c r="L263" s="16" t="inlineStr">
        <is>
          <t>—</t>
        </is>
      </c>
      <c r="M263" s="11" t="inlineStr">
        <is>
          <t>—</t>
        </is>
      </c>
      <c r="N263" s="16" t="inlineStr">
        <is>
          <t>—</t>
        </is>
      </c>
      <c r="O263" s="16" t="inlineStr">
        <is>
          <t>—</t>
        </is>
      </c>
      <c r="P263" s="16" t="inlineStr">
        <is>
          <t>Prince St (N,R,W)</t>
        </is>
      </c>
      <c r="Q263" s="16" t="inlineStr">
        <is>
          <t>La libreria independiente que definio el SoHo literario: mesas curadas a mano y una seccion de traduccion que no tiene nadie.</t>
        </is>
      </c>
      <c r="R263" s="16" t="inlineStr">
        <is>
          <t>134 Prince St</t>
        </is>
      </c>
      <c r="S263" s="16" t="inlineStr">
        <is>
          <t>—</t>
        </is>
      </c>
      <c r="T263" s="18" t="inlineStr">
        <is>
          <t>Abrir ↗</t>
        </is>
      </c>
      <c r="U263" s="21" t="inlineStr">
        <is>
          <t>otros</t>
        </is>
      </c>
      <c r="V263" s="20" t="inlineStr"/>
    </row>
    <row r="264" ht="46" customHeight="1">
      <c r="A264" s="9" t="inlineStr">
        <is>
          <t>The Mills at Jersey Gardens</t>
        </is>
      </c>
      <c r="B264" s="10" t="inlineStr">
        <is>
          <t>Tienda con historia</t>
        </is>
      </c>
      <c r="C264" s="11" t="inlineStr">
        <is>
          <t>Arquitectura</t>
        </is>
      </c>
      <c r="D264" s="11" t="inlineStr">
        <is>
          <t>Elizabeth</t>
        </is>
      </c>
      <c r="E264" s="11" t="inlineStr">
        <is>
          <t>New Jersey</t>
        </is>
      </c>
      <c r="F264" s="12" t="n">
        <v>1</v>
      </c>
      <c r="G264" s="12" t="n">
        <v>1</v>
      </c>
      <c r="H264" s="13">
        <f>IF(AND(F264=2,G264=2),"AMBOS",IF(AND(F264=2,G264&lt;2),"solo JP",IF(AND(F264&lt;2,G264=2),"solo Thais","-")))</f>
        <v/>
      </c>
      <c r="I264" s="14" t="n">
        <v>0</v>
      </c>
      <c r="J264" s="15" t="n">
        <v>3</v>
      </c>
      <c r="K264" s="13" t="inlineStr">
        <is>
          <t>no</t>
        </is>
      </c>
      <c r="L264" s="16" t="inlineStr">
        <is>
          <t>—</t>
        </is>
      </c>
      <c r="M264" s="11" t="inlineStr">
        <is>
          <t>—</t>
        </is>
      </c>
      <c r="N264" s="16" t="inlineStr">
        <is>
          <t>—</t>
        </is>
      </c>
      <c r="O264" s="16" t="inlineStr">
        <is>
          <t>—</t>
        </is>
      </c>
      <c r="P264" s="16" t="inlineStr">
        <is>
          <t>NJ Transit bus 40 o shuttle desde EWR</t>
        </is>
      </c>
      <c r="Q264"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4" s="16" t="inlineStr">
        <is>
          <t>651 Kapkowski Rd, Elizabeth, NJ</t>
        </is>
      </c>
      <c r="S264" s="16" t="inlineStr">
        <is>
          <t>—</t>
        </is>
      </c>
      <c r="T264" s="18" t="inlineStr">
        <is>
          <t>Abrir ↗</t>
        </is>
      </c>
      <c r="U264" s="21" t="inlineStr">
        <is>
          <t>otros</t>
        </is>
      </c>
      <c r="V264" s="20" t="inlineStr"/>
    </row>
    <row r="265" ht="46" customHeight="1">
      <c r="A265" s="9" t="inlineStr">
        <is>
          <t>Green-Wood Cemetery</t>
        </is>
      </c>
      <c r="B265" s="10" t="inlineStr">
        <is>
          <t>Cementerio-jardín</t>
        </is>
      </c>
      <c r="C265" s="11" t="inlineStr">
        <is>
          <t>Parque</t>
        </is>
      </c>
      <c r="D265" s="11" t="inlineStr">
        <is>
          <t>Greenwood Heights</t>
        </is>
      </c>
      <c r="E265" s="11" t="inlineStr">
        <is>
          <t>Brooklyn</t>
        </is>
      </c>
      <c r="F265" s="12" t="n">
        <v>0</v>
      </c>
      <c r="G265" s="12" t="n">
        <v>0</v>
      </c>
      <c r="H265" s="13">
        <f>IF(AND(F265=2,G265=2),"AMBOS",IF(AND(F265=2,G265&lt;2),"solo JP",IF(AND(F265&lt;2,G265=2),"solo Thais","-")))</f>
        <v/>
      </c>
      <c r="I265" s="14" t="n">
        <v>0</v>
      </c>
      <c r="J265" s="15" t="n">
        <v>2.5</v>
      </c>
      <c r="K265" s="13" t="inlineStr">
        <is>
          <t>no</t>
        </is>
      </c>
      <c r="L265" s="16" t="inlineStr">
        <is>
          <t>—</t>
        </is>
      </c>
      <c r="M265" s="11" t="inlineStr">
        <is>
          <t>—</t>
        </is>
      </c>
      <c r="N265" s="16" t="inlineStr">
        <is>
          <t>—</t>
        </is>
      </c>
      <c r="O265" s="16" t="inlineStr">
        <is>
          <t>—</t>
        </is>
      </c>
      <c r="P265" s="16" t="inlineStr">
        <is>
          <t>25 St (R)</t>
        </is>
      </c>
      <c r="Q265" s="16" t="inlineStr">
        <is>
          <t>190 hectareas de cementerio-jardin victoriano de 1838, con la colina mas alta de Brooklyn y vista de Manhattan. Hay guia gratuita en la app Bloomberg Connects. Es un parque enorme donde no hay nadie.</t>
        </is>
      </c>
      <c r="R265" s="16" t="inlineStr">
        <is>
          <t>500 25th St, Brooklyn</t>
        </is>
      </c>
      <c r="S265" s="16" t="inlineStr">
        <is>
          <t>—</t>
        </is>
      </c>
      <c r="T265" s="18" t="inlineStr">
        <is>
          <t>Abrir ↗</t>
        </is>
      </c>
      <c r="U265" s="21" t="inlineStr">
        <is>
          <t>otros</t>
        </is>
      </c>
      <c r="V265" s="20" t="inlineStr"/>
    </row>
    <row r="266" ht="46" customHeight="1">
      <c r="A266" s="9" t="inlineStr">
        <is>
          <t>Inwood Hill Park</t>
        </is>
      </c>
      <c r="B266" s="10" t="inlineStr">
        <is>
          <t>Naturaleza</t>
        </is>
      </c>
      <c r="C266" s="11" t="inlineStr">
        <is>
          <t>Parque</t>
        </is>
      </c>
      <c r="D266" s="11" t="inlineStr">
        <is>
          <t>Inwood</t>
        </is>
      </c>
      <c r="E266" s="11" t="inlineStr">
        <is>
          <t>Manhattan</t>
        </is>
      </c>
      <c r="F266" s="12" t="n">
        <v>1</v>
      </c>
      <c r="G266" s="12" t="n">
        <v>0</v>
      </c>
      <c r="H266" s="13">
        <f>IF(AND(F266=2,G266=2),"AMBOS",IF(AND(F266=2,G266&lt;2),"solo JP",IF(AND(F266&lt;2,G266=2),"solo Thais","-")))</f>
        <v/>
      </c>
      <c r="I266" s="14" t="n">
        <v>0</v>
      </c>
      <c r="J266" s="15" t="n">
        <v>2</v>
      </c>
      <c r="K266" s="13" t="inlineStr">
        <is>
          <t>no</t>
        </is>
      </c>
      <c r="L266" s="16" t="inlineStr">
        <is>
          <t>—</t>
        </is>
      </c>
      <c r="M266" s="11" t="inlineStr">
        <is>
          <t>—</t>
        </is>
      </c>
      <c r="N266" s="16" t="inlineStr">
        <is>
          <t>—</t>
        </is>
      </c>
      <c r="O266" s="16" t="inlineStr">
        <is>
          <t>—</t>
        </is>
      </c>
      <c r="P266" s="16" t="inlineStr">
        <is>
          <t>Dyckman St o 207 St (A)</t>
        </is>
      </c>
      <c r="Q266" s="16" t="inlineStr">
        <is>
          <t>El unico bosque primario que queda en Manhattan, con cuevas de roca usadas por los Lenape y vista del Hudson y los Palisades. Cuesta creer que sea la misma isla.</t>
        </is>
      </c>
      <c r="R266" s="16" t="inlineStr">
        <is>
          <t>Inwood Hill Park, Manhattan</t>
        </is>
      </c>
      <c r="S266" s="16" t="inlineStr">
        <is>
          <t>—</t>
        </is>
      </c>
      <c r="T266" s="18" t="inlineStr">
        <is>
          <t>Abrir ↗</t>
        </is>
      </c>
      <c r="U266" s="21" t="inlineStr">
        <is>
          <t>otros</t>
        </is>
      </c>
      <c r="V266" s="20" t="inlineStr"/>
    </row>
    <row r="267" ht="46" customHeight="1">
      <c r="A267" s="9" t="inlineStr">
        <is>
          <t>New York Botanical Garden</t>
        </is>
      </c>
      <c r="B267" s="10" t="inlineStr">
        <is>
          <t>Naturaleza</t>
        </is>
      </c>
      <c r="C267" s="11" t="inlineStr">
        <is>
          <t>Parque</t>
        </is>
      </c>
      <c r="D267" s="11" t="inlineStr">
        <is>
          <t>Bronx Park</t>
        </is>
      </c>
      <c r="E267" s="11" t="inlineStr">
        <is>
          <t>Bronx</t>
        </is>
      </c>
      <c r="F267" s="12" t="n">
        <v>1</v>
      </c>
      <c r="G267" s="12" t="n">
        <v>1</v>
      </c>
      <c r="H267" s="13">
        <f>IF(AND(F267=2,G267=2),"AMBOS",IF(AND(F267=2,G267&lt;2),"solo JP",IF(AND(F267&lt;2,G267=2),"solo Thais","-")))</f>
        <v/>
      </c>
      <c r="I267" s="14" t="n">
        <v>35</v>
      </c>
      <c r="J267" s="15" t="n">
        <v>3</v>
      </c>
      <c r="K267" s="13" t="inlineStr">
        <is>
          <t>no</t>
        </is>
      </c>
      <c r="L267" s="16" t="inlineStr">
        <is>
          <t>—</t>
        </is>
      </c>
      <c r="M267" s="11" t="inlineStr">
        <is>
          <t>—</t>
        </is>
      </c>
      <c r="N267" s="16" t="inlineStr">
        <is>
          <t>—</t>
        </is>
      </c>
      <c r="O267" s="16" t="inlineStr">
        <is>
          <t>—</t>
        </is>
      </c>
      <c r="P267" s="16" t="inlineStr">
        <is>
          <t>Metro-North a Botanical Garden, o Bx26</t>
        </is>
      </c>
      <c r="Q267" s="16" t="inlineStr">
        <is>
          <t>Un bosque original de 20 hectareas que nunca se talo, mas el invernadero victoriano. A diez cuadras de Arthur Avenue.</t>
        </is>
      </c>
      <c r="R267" s="16" t="inlineStr">
        <is>
          <t>2900 Southern Blvd, Bronx</t>
        </is>
      </c>
      <c r="S267" s="16" t="inlineStr">
        <is>
          <t>—</t>
        </is>
      </c>
      <c r="T267" s="18" t="inlineStr">
        <is>
          <t>Abrir ↗</t>
        </is>
      </c>
      <c r="U267" s="21" t="inlineStr">
        <is>
          <t>otros</t>
        </is>
      </c>
      <c r="V267" s="20" t="inlineStr"/>
    </row>
    <row r="268" ht="46" customHeight="1">
      <c r="A268" s="9" t="inlineStr">
        <is>
          <t>Wave Hill</t>
        </is>
      </c>
      <c r="B268" s="10" t="inlineStr">
        <is>
          <t>Naturaleza</t>
        </is>
      </c>
      <c r="C268" s="11" t="inlineStr">
        <is>
          <t>Parque</t>
        </is>
      </c>
      <c r="D268" s="11" t="inlineStr">
        <is>
          <t>Riverdale</t>
        </is>
      </c>
      <c r="E268" s="11" t="inlineStr">
        <is>
          <t>Bronx</t>
        </is>
      </c>
      <c r="F268" s="12" t="n">
        <v>1</v>
      </c>
      <c r="G268" s="12" t="n">
        <v>1</v>
      </c>
      <c r="H268" s="13">
        <f>IF(AND(F268=2,G268=2),"AMBOS",IF(AND(F268=2,G268&lt;2),"solo JP",IF(AND(F268&lt;2,G268=2),"solo Thais","-")))</f>
        <v/>
      </c>
      <c r="I268" s="14" t="n">
        <v>10</v>
      </c>
      <c r="J268" s="15" t="n">
        <v>2.5</v>
      </c>
      <c r="K268" s="13" t="inlineStr">
        <is>
          <t>no</t>
        </is>
      </c>
      <c r="L268" s="16" t="inlineStr">
        <is>
          <t>—</t>
        </is>
      </c>
      <c r="M268" s="11" t="inlineStr">
        <is>
          <t>lunes</t>
        </is>
      </c>
      <c r="N268" s="16" t="inlineStr">
        <is>
          <t>—</t>
        </is>
      </c>
      <c r="O268" s="16" t="inlineStr">
        <is>
          <t>—</t>
        </is>
      </c>
      <c r="P268" s="16" t="inlineStr">
        <is>
          <t>Metro-North a Riverdale + shuttle</t>
        </is>
      </c>
      <c r="Q268" s="16" t="inlineStr">
        <is>
          <t>Jardin botanico sobre un acantilado del Hudson, con los Palisades enfrente. Es el lugar mas tranquilo de los cinco boroughs.</t>
        </is>
      </c>
      <c r="R268" s="16" t="inlineStr">
        <is>
          <t>4900 Independence Ave, Bronx</t>
        </is>
      </c>
      <c r="S268" s="16" t="inlineStr">
        <is>
          <t>—</t>
        </is>
      </c>
      <c r="T268" s="18" t="inlineStr">
        <is>
          <t>Abrir ↗</t>
        </is>
      </c>
      <c r="U268" s="19" t="inlineStr">
        <is>
          <t>lista google</t>
        </is>
      </c>
      <c r="V268" s="20" t="inlineStr"/>
    </row>
    <row r="269" ht="46" customHeight="1">
      <c r="A269" s="9" t="inlineStr">
        <is>
          <t>Elizabeth Street Garden</t>
        </is>
      </c>
      <c r="B269" s="10" t="inlineStr">
        <is>
          <t>Parque de esculturas</t>
        </is>
      </c>
      <c r="C269" s="11" t="inlineStr">
        <is>
          <t>Parque</t>
        </is>
      </c>
      <c r="D269" s="11" t="inlineStr">
        <is>
          <t>Nolita</t>
        </is>
      </c>
      <c r="E269" s="11" t="inlineStr">
        <is>
          <t>Manhattan</t>
        </is>
      </c>
      <c r="F269" s="12" t="n">
        <v>1</v>
      </c>
      <c r="G269" s="12" t="n">
        <v>1</v>
      </c>
      <c r="H269" s="13">
        <f>IF(AND(F269=2,G269=2),"AMBOS",IF(AND(F269=2,G269&lt;2),"solo JP",IF(AND(F269&lt;2,G269=2),"solo Thais","-")))</f>
        <v/>
      </c>
      <c r="I269" s="14" t="n">
        <v>0</v>
      </c>
      <c r="J269" s="15" t="n">
        <v>0.4</v>
      </c>
      <c r="K269" s="13" t="inlineStr">
        <is>
          <t>no</t>
        </is>
      </c>
      <c r="L269" s="16" t="inlineStr">
        <is>
          <t>—</t>
        </is>
      </c>
      <c r="M269" s="11" t="inlineStr">
        <is>
          <t>—</t>
        </is>
      </c>
      <c r="N269" s="16" t="inlineStr">
        <is>
          <t>—</t>
        </is>
      </c>
      <c r="O269" s="16" t="inlineStr">
        <is>
          <t>—</t>
        </is>
      </c>
      <c r="P269" s="16" t="inlineStr">
        <is>
          <t>Spring St (6)</t>
        </is>
      </c>
      <c r="Q269" s="16" t="inlineStr">
        <is>
          <t>Jardin de esculturas metido entre edificios, con estatuas victorianas entre los yuyos. Gratis y lleno de vecinos, no de turistas.</t>
        </is>
      </c>
      <c r="R269" s="16" t="inlineStr">
        <is>
          <t>Elizabeth St entre Prince y Spring</t>
        </is>
      </c>
      <c r="S269" s="16" t="inlineStr">
        <is>
          <t>—</t>
        </is>
      </c>
      <c r="T269" s="18" t="inlineStr">
        <is>
          <t>Abrir ↗</t>
        </is>
      </c>
      <c r="U269" s="21" t="inlineStr">
        <is>
          <t>otros</t>
        </is>
      </c>
      <c r="V269" s="20" t="inlineStr"/>
    </row>
    <row r="270" ht="46" customHeight="1">
      <c r="A270" s="9" t="inlineStr">
        <is>
          <t>Socrates Sculpture Park</t>
        </is>
      </c>
      <c r="B270" s="10" t="inlineStr">
        <is>
          <t>Parque de esculturas</t>
        </is>
      </c>
      <c r="C270" s="11" t="inlineStr">
        <is>
          <t>Parque</t>
        </is>
      </c>
      <c r="D270" s="11" t="inlineStr">
        <is>
          <t>Long Island City</t>
        </is>
      </c>
      <c r="E270" s="11" t="inlineStr">
        <is>
          <t>Queens</t>
        </is>
      </c>
      <c r="F270" s="12" t="n">
        <v>0</v>
      </c>
      <c r="G270" s="12" t="n">
        <v>0</v>
      </c>
      <c r="H270" s="13">
        <f>IF(AND(F270=2,G270=2),"AMBOS",IF(AND(F270=2,G270&lt;2),"solo JP",IF(AND(F270&lt;2,G270=2),"solo Thais","-")))</f>
        <v/>
      </c>
      <c r="I270" s="14" t="n">
        <v>0</v>
      </c>
      <c r="J270" s="15" t="n">
        <v>1</v>
      </c>
      <c r="K270" s="13" t="inlineStr">
        <is>
          <t>no</t>
        </is>
      </c>
      <c r="L270" s="16" t="inlineStr">
        <is>
          <t>—</t>
        </is>
      </c>
      <c r="M270" s="11" t="inlineStr">
        <is>
          <t>—</t>
        </is>
      </c>
      <c r="N270" s="16" t="inlineStr">
        <is>
          <t>—</t>
        </is>
      </c>
      <c r="O270" s="16" t="inlineStr">
        <is>
          <t>—</t>
        </is>
      </c>
      <c r="P270" s="16" t="inlineStr">
        <is>
          <t>Broadway (N,W)</t>
        </is>
      </c>
      <c r="Q270" s="16" t="inlineStr">
        <is>
          <t>Ex basural convertido en parque de esculturas sobre el East River. 'Homecoming' de Chakaia Booker (esculturas de neumaticos) hasta abril 2027. A 5 minutos del Noguchi.</t>
        </is>
      </c>
      <c r="R270" s="16" t="inlineStr">
        <is>
          <t>32-01 Vernon Blvd, LIC</t>
        </is>
      </c>
      <c r="S270" s="16" t="inlineStr">
        <is>
          <t>—</t>
        </is>
      </c>
      <c r="T270" s="18" t="inlineStr">
        <is>
          <t>Abrir ↗</t>
        </is>
      </c>
      <c r="U270" s="21" t="inlineStr">
        <is>
          <t>otros</t>
        </is>
      </c>
      <c r="V270" s="20" t="inlineStr"/>
    </row>
    <row r="271" ht="46" customHeight="1">
      <c r="A271" s="9" t="inlineStr">
        <is>
          <t>Astoria Park</t>
        </is>
      </c>
      <c r="B271" s="10" t="inlineStr">
        <is>
          <t>Parque urbano</t>
        </is>
      </c>
      <c r="C271" s="11" t="inlineStr">
        <is>
          <t>Parque</t>
        </is>
      </c>
      <c r="D271" s="11" t="inlineStr">
        <is>
          <t>Astoria</t>
        </is>
      </c>
      <c r="E271" s="11" t="inlineStr">
        <is>
          <t>Queens</t>
        </is>
      </c>
      <c r="F271" s="12" t="n">
        <v>1</v>
      </c>
      <c r="G271" s="12" t="n">
        <v>1</v>
      </c>
      <c r="H271" s="13">
        <f>IF(AND(F271=2,G271=2),"AMBOS",IF(AND(F271=2,G271&lt;2),"solo JP",IF(AND(F271&lt;2,G271=2),"solo Thais","-")))</f>
        <v/>
      </c>
      <c r="I271" s="14" t="n">
        <v>0</v>
      </c>
      <c r="J271" s="15" t="n">
        <v>1</v>
      </c>
      <c r="K271" s="13" t="inlineStr">
        <is>
          <t>no</t>
        </is>
      </c>
      <c r="L271" s="16" t="inlineStr">
        <is>
          <t>—</t>
        </is>
      </c>
      <c r="M271" s="11" t="inlineStr">
        <is>
          <t>—</t>
        </is>
      </c>
      <c r="N271" s="16" t="inlineStr">
        <is>
          <t>—</t>
        </is>
      </c>
      <c r="O271" s="16" t="inlineStr">
        <is>
          <t>—</t>
        </is>
      </c>
      <c r="P271" s="16" t="inlineStr">
        <is>
          <t>Astoria Blvd (N,W) + caminata</t>
        </is>
      </c>
      <c r="Q271" s="16" t="inlineStr">
        <is>
          <t>Debajo del Hell Gate Bridge, con el Triborough al lado y Manhattan enfrente. Al atardecer es de los mejores lugares de la ciudad y solo hay vecinos corriendo.</t>
        </is>
      </c>
      <c r="R271" s="16" t="inlineStr">
        <is>
          <t>19th St &amp; 23rd Ave, Astoria</t>
        </is>
      </c>
      <c r="S271" s="16" t="inlineStr">
        <is>
          <t>—</t>
        </is>
      </c>
      <c r="T271" s="18" t="inlineStr">
        <is>
          <t>Abrir ↗</t>
        </is>
      </c>
      <c r="U271" s="21" t="inlineStr">
        <is>
          <t>otros</t>
        </is>
      </c>
      <c r="V271" s="20" t="inlineStr"/>
    </row>
    <row r="272" ht="46" customHeight="1">
      <c r="A272" s="9" t="inlineStr">
        <is>
          <t>Battery Park</t>
        </is>
      </c>
      <c r="B272" s="10" t="inlineStr">
        <is>
          <t>Parque urbano</t>
        </is>
      </c>
      <c r="C272" s="11" t="inlineStr">
        <is>
          <t>Parque</t>
        </is>
      </c>
      <c r="D272" s="11" t="inlineStr">
        <is>
          <t>Financial District</t>
        </is>
      </c>
      <c r="E272" s="11" t="inlineStr">
        <is>
          <t>Manhattan</t>
        </is>
      </c>
      <c r="F272" s="12" t="n">
        <v>1</v>
      </c>
      <c r="G272" s="12" t="n">
        <v>1</v>
      </c>
      <c r="H272" s="13">
        <f>IF(AND(F272=2,G272=2),"AMBOS",IF(AND(F272=2,G272&lt;2),"solo JP",IF(AND(F272&lt;2,G272=2),"solo Thais","-")))</f>
        <v/>
      </c>
      <c r="I272" s="14" t="n">
        <v>0</v>
      </c>
      <c r="J272" s="15" t="n">
        <v>0.75</v>
      </c>
      <c r="K272" s="13" t="inlineStr">
        <is>
          <t>SÍ</t>
        </is>
      </c>
      <c r="L272" s="16" t="inlineStr">
        <is>
          <t>—</t>
        </is>
      </c>
      <c r="M272" s="11" t="inlineStr">
        <is>
          <t>—</t>
        </is>
      </c>
      <c r="N272" s="16" t="inlineStr">
        <is>
          <t>—</t>
        </is>
      </c>
      <c r="O272" s="16" t="inlineStr">
        <is>
          <t>—</t>
        </is>
      </c>
      <c r="P272" s="16" t="inlineStr">
        <is>
          <t>Bowling Green (4,5), South Ferry (1)</t>
        </is>
      </c>
      <c r="Q272" s="16" t="inlineStr">
        <is>
          <t>La punta sur de la isla: la bahía, la Estatua a lo lejos y el embarcadero del ferry. Gratis.</t>
        </is>
      </c>
      <c r="R272" s="16" t="inlineStr"/>
      <c r="S272" s="16" t="inlineStr">
        <is>
          <t>—</t>
        </is>
      </c>
      <c r="T272" s="18" t="inlineStr">
        <is>
          <t>Abrir ↗</t>
        </is>
      </c>
      <c r="U272" s="19" t="inlineStr">
        <is>
          <t>lista google</t>
        </is>
      </c>
      <c r="V272" s="20" t="inlineStr"/>
    </row>
    <row r="273" ht="46" customHeight="1">
      <c r="A273" s="9" t="inlineStr">
        <is>
          <t>Brooklyn Bridge Park</t>
        </is>
      </c>
      <c r="B273" s="10" t="inlineStr">
        <is>
          <t>Parque urbano</t>
        </is>
      </c>
      <c r="C273" s="11" t="inlineStr">
        <is>
          <t>Parque</t>
        </is>
      </c>
      <c r="D273" s="11" t="inlineStr">
        <is>
          <t>DUMBO / Brooklyn Heights</t>
        </is>
      </c>
      <c r="E273" s="11" t="inlineStr">
        <is>
          <t>Brooklyn</t>
        </is>
      </c>
      <c r="F273" s="12" t="n">
        <v>2</v>
      </c>
      <c r="G273" s="12" t="n">
        <v>2</v>
      </c>
      <c r="H273" s="13">
        <f>IF(AND(F273=2,G273=2),"AMBOS",IF(AND(F273=2,G273&lt;2),"solo JP",IF(AND(F273&lt;2,G273=2),"solo Thais","-")))</f>
        <v/>
      </c>
      <c r="I273" s="14" t="n">
        <v>0</v>
      </c>
      <c r="J273" s="15" t="n">
        <v>1.5</v>
      </c>
      <c r="K273" s="13" t="inlineStr">
        <is>
          <t>SÍ</t>
        </is>
      </c>
      <c r="L273" s="16" t="inlineStr">
        <is>
          <t>—</t>
        </is>
      </c>
      <c r="M273" s="11" t="inlineStr">
        <is>
          <t>—</t>
        </is>
      </c>
      <c r="N273" s="16" t="inlineStr">
        <is>
          <t>—</t>
        </is>
      </c>
      <c r="O273" s="16" t="inlineStr">
        <is>
          <t>—</t>
        </is>
      </c>
      <c r="P273" s="16" t="inlineStr">
        <is>
          <t>York St (F), High St (A,C)</t>
        </is>
      </c>
      <c r="Q273" s="16" t="inlineStr">
        <is>
          <t>Muelles reconvertidos con el skyline de Lower Manhattan de frente. Woody De Othello, 'Guardian Spirit', en el Pier 1 hasta marzo 2027.</t>
        </is>
      </c>
      <c r="R273" s="16" t="inlineStr">
        <is>
          <t>334 Furman St, Brooklyn</t>
        </is>
      </c>
      <c r="S273" s="17" t="inlineStr">
        <is>
          <t>Día 8 · sáb 5/9</t>
        </is>
      </c>
      <c r="T273" s="18" t="inlineStr">
        <is>
          <t>Abrir ↗</t>
        </is>
      </c>
      <c r="U273" s="21" t="inlineStr">
        <is>
          <t>otros</t>
        </is>
      </c>
      <c r="V273" s="20" t="inlineStr">
        <is>
          <t>SÍ</t>
        </is>
      </c>
    </row>
    <row r="274" ht="46" customHeight="1">
      <c r="A274" s="9" t="inlineStr">
        <is>
          <t>Bryant Park</t>
        </is>
      </c>
      <c r="B274" s="10" t="inlineStr">
        <is>
          <t>Parque urbano</t>
        </is>
      </c>
      <c r="C274" s="11" t="inlineStr">
        <is>
          <t>Parque</t>
        </is>
      </c>
      <c r="D274" s="11" t="inlineStr">
        <is>
          <t>Midtown</t>
        </is>
      </c>
      <c r="E274" s="11" t="inlineStr">
        <is>
          <t>Manhattan</t>
        </is>
      </c>
      <c r="F274" s="12" t="n">
        <v>2</v>
      </c>
      <c r="G274" s="12" t="n">
        <v>0</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5 Av-Bryant Pk (7,B,D,F,M)</t>
        </is>
      </c>
      <c r="Q274" s="16" t="inlineStr">
        <is>
          <t>El patio trasero de la Biblioteca Publica. Picnic Performances gratis toda la temporada: sab 29/8 (Accordion Festival), jue 3 y vie 4/9 (Brass Festival).</t>
        </is>
      </c>
      <c r="R274" s="16" t="inlineStr">
        <is>
          <t>Bryant Park, New York</t>
        </is>
      </c>
      <c r="S274" s="17" t="inlineStr">
        <is>
          <t>Día 3 · lun 31/8</t>
        </is>
      </c>
      <c r="T274" s="18" t="inlineStr">
        <is>
          <t>Abrir ↗</t>
        </is>
      </c>
      <c r="U274" s="21" t="inlineStr">
        <is>
          <t>otros</t>
        </is>
      </c>
      <c r="V274" s="20" t="inlineStr">
        <is>
          <t>SÍ</t>
        </is>
      </c>
    </row>
    <row r="275" ht="46" customHeight="1">
      <c r="A275" s="9" t="inlineStr">
        <is>
          <t>Carl Schurz Park</t>
        </is>
      </c>
      <c r="B275" s="10" t="inlineStr">
        <is>
          <t>Parque urbano</t>
        </is>
      </c>
      <c r="C275" s="11" t="inlineStr">
        <is>
          <t>Parque</t>
        </is>
      </c>
      <c r="D275" s="11" t="inlineStr">
        <is>
          <t>Upper East Side</t>
        </is>
      </c>
      <c r="E275" s="11" t="inlineStr">
        <is>
          <t>Manhattan</t>
        </is>
      </c>
      <c r="F275" s="12" t="n">
        <v>1</v>
      </c>
      <c r="G275" s="12" t="n">
        <v>1</v>
      </c>
      <c r="H275" s="13">
        <f>IF(AND(F275=2,G275=2),"AMBOS",IF(AND(F275=2,G275&lt;2),"solo JP",IF(AND(F275&lt;2,G275=2),"solo Thais","-")))</f>
        <v/>
      </c>
      <c r="I275" s="14" t="n">
        <v>0</v>
      </c>
      <c r="J275" s="15" t="n">
        <v>0.6</v>
      </c>
      <c r="K275" s="13" t="inlineStr">
        <is>
          <t>no</t>
        </is>
      </c>
      <c r="L275" s="16" t="inlineStr">
        <is>
          <t>—</t>
        </is>
      </c>
      <c r="M275" s="11" t="inlineStr">
        <is>
          <t>—</t>
        </is>
      </c>
      <c r="N275" s="16" t="inlineStr">
        <is>
          <t>—</t>
        </is>
      </c>
      <c r="O275" s="16" t="inlineStr">
        <is>
          <t>—</t>
        </is>
      </c>
      <c r="P275" s="16" t="inlineStr">
        <is>
          <t>86 St (4,5,6) + M86 al este</t>
        </is>
      </c>
      <c r="Q275" s="16" t="inlineStr">
        <is>
          <t>Promenade sobre el East River con Gracie Mansion adentro, la casa del intendente. Lo usan los vecinos, no los turistas.</t>
        </is>
      </c>
      <c r="R275" s="16" t="inlineStr">
        <is>
          <t>East End Ave y E 86th St</t>
        </is>
      </c>
      <c r="S275" s="16" t="inlineStr">
        <is>
          <t>—</t>
        </is>
      </c>
      <c r="T275" s="18" t="inlineStr">
        <is>
          <t>Abrir ↗</t>
        </is>
      </c>
      <c r="U275" s="21" t="inlineStr">
        <is>
          <t>otros</t>
        </is>
      </c>
      <c r="V275" s="20" t="inlineStr"/>
    </row>
    <row r="276" ht="46" customHeight="1">
      <c r="A276" s="9" t="inlineStr">
        <is>
          <t>Central Park</t>
        </is>
      </c>
      <c r="B276" s="10" t="inlineStr">
        <is>
          <t>Parque urbano</t>
        </is>
      </c>
      <c r="C276" s="11" t="inlineStr">
        <is>
          <t>Parque</t>
        </is>
      </c>
      <c r="D276" s="11" t="inlineStr">
        <is>
          <t>Central Park</t>
        </is>
      </c>
      <c r="E276" s="11" t="inlineStr">
        <is>
          <t>Manhattan</t>
        </is>
      </c>
      <c r="F276" s="12" t="n">
        <v>2</v>
      </c>
      <c r="G276" s="12" t="n">
        <v>2</v>
      </c>
      <c r="H276" s="13">
        <f>IF(AND(F276=2,G276=2),"AMBOS",IF(AND(F276=2,G276&lt;2),"solo JP",IF(AND(F276&lt;2,G276=2),"solo Thais","-")))</f>
        <v/>
      </c>
      <c r="I276" s="14" t="n">
        <v>0</v>
      </c>
      <c r="J276" s="15" t="n">
        <v>3</v>
      </c>
      <c r="K276" s="13" t="inlineStr">
        <is>
          <t>SÍ</t>
        </is>
      </c>
      <c r="L276" s="16" t="inlineStr">
        <is>
          <t>—</t>
        </is>
      </c>
      <c r="M276" s="11" t="inlineStr">
        <is>
          <t>—</t>
        </is>
      </c>
      <c r="N276" s="16" t="inlineStr">
        <is>
          <t>—</t>
        </is>
      </c>
      <c r="O276" s="16" t="inlineStr">
        <is>
          <t>—</t>
        </is>
      </c>
      <c r="P276" s="16" t="inlineStr">
        <is>
          <t>multiples: 72 St (B,C), 59 St-Columbus Circle, 86 St</t>
        </is>
      </c>
      <c r="Q276" s="16" t="inlineStr">
        <is>
          <t>Bethesda Terrace, el Ramble, Bow Bridge, el Reservoir. La mitad norte (arriba de la 96) esta casi vacia y es la mejor. A dos cuadras del hotel The Beacon.</t>
        </is>
      </c>
      <c r="R276" s="16" t="inlineStr">
        <is>
          <t>Central Park, New York</t>
        </is>
      </c>
      <c r="S276" s="17" t="inlineStr">
        <is>
          <t>Día 9 · dom 6/9</t>
        </is>
      </c>
      <c r="T276" s="18" t="inlineStr">
        <is>
          <t>Abrir ↗</t>
        </is>
      </c>
      <c r="U276" s="21" t="inlineStr">
        <is>
          <t>otros</t>
        </is>
      </c>
      <c r="V276" s="20" t="inlineStr">
        <is>
          <t>SÍ</t>
        </is>
      </c>
    </row>
    <row r="277" ht="46" customHeight="1">
      <c r="A277" s="9" t="inlineStr">
        <is>
          <t>Clinton Community Garden</t>
        </is>
      </c>
      <c r="B277" s="10" t="inlineStr">
        <is>
          <t>Parque urbano</t>
        </is>
      </c>
      <c r="C277" s="11" t="inlineStr">
        <is>
          <t>Parque</t>
        </is>
      </c>
      <c r="D277" s="11" t="inlineStr">
        <is>
          <t>Hell's Kitchen</t>
        </is>
      </c>
      <c r="E277" s="11" t="inlineStr">
        <is>
          <t>Manhattan</t>
        </is>
      </c>
      <c r="F277" s="12" t="n">
        <v>1</v>
      </c>
      <c r="G277" s="12" t="n">
        <v>1</v>
      </c>
      <c r="H277" s="13">
        <f>IF(AND(F277=2,G277=2),"AMBOS",IF(AND(F277=2,G277&lt;2),"solo JP",IF(AND(F277&lt;2,G277=2),"solo Thais","-")))</f>
        <v/>
      </c>
      <c r="I277" s="14" t="n">
        <v>0</v>
      </c>
      <c r="J277" s="15" t="n">
        <v>0.3</v>
      </c>
      <c r="K277" s="13" t="inlineStr">
        <is>
          <t>no</t>
        </is>
      </c>
      <c r="L277" s="16" t="inlineStr">
        <is>
          <t>—</t>
        </is>
      </c>
      <c r="M277" s="11" t="inlineStr">
        <is>
          <t>—</t>
        </is>
      </c>
      <c r="N277" s="16" t="inlineStr">
        <is>
          <t>—</t>
        </is>
      </c>
      <c r="O277" s="16" t="inlineStr">
        <is>
          <t>—</t>
        </is>
      </c>
      <c r="P277" s="16" t="inlineStr">
        <is>
          <t>50 St (C,E)</t>
        </is>
      </c>
      <c r="Q277"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7" s="16" t="inlineStr">
        <is>
          <t>434 W 48th St</t>
        </is>
      </c>
      <c r="S277" s="16" t="inlineStr">
        <is>
          <t>—</t>
        </is>
      </c>
      <c r="T277" s="18" t="inlineStr">
        <is>
          <t>Abrir ↗</t>
        </is>
      </c>
      <c r="U277" s="21" t="inlineStr">
        <is>
          <t>otros</t>
        </is>
      </c>
      <c r="V277" s="20" t="inlineStr"/>
    </row>
    <row r="278" ht="46" customHeight="1">
      <c r="A278" s="9" t="inlineStr">
        <is>
          <t>Columbus Park</t>
        </is>
      </c>
      <c r="B278" s="10" t="inlineStr">
        <is>
          <t>Parque urbano</t>
        </is>
      </c>
      <c r="C278" s="11" t="inlineStr">
        <is>
          <t>Parque</t>
        </is>
      </c>
      <c r="D278" s="11" t="inlineStr">
        <is>
          <t>Chinatown</t>
        </is>
      </c>
      <c r="E278" s="11" t="inlineStr">
        <is>
          <t>Manhattan</t>
        </is>
      </c>
      <c r="F278" s="12" t="n">
        <v>1</v>
      </c>
      <c r="G278" s="12" t="n">
        <v>1</v>
      </c>
      <c r="H278" s="13">
        <f>IF(AND(F278=2,G278=2),"AMBOS",IF(AND(F278=2,G278&lt;2),"solo JP",IF(AND(F278&lt;2,G278=2),"solo Thais","-")))</f>
        <v/>
      </c>
      <c r="I278" s="14" t="n">
        <v>0</v>
      </c>
      <c r="J278" s="15" t="n">
        <v>0.4</v>
      </c>
      <c r="K278" s="13" t="inlineStr">
        <is>
          <t>no</t>
        </is>
      </c>
      <c r="L278" s="16" t="inlineStr">
        <is>
          <t>—</t>
        </is>
      </c>
      <c r="M278" s="11" t="inlineStr">
        <is>
          <t>—</t>
        </is>
      </c>
      <c r="N278" s="16" t="inlineStr">
        <is>
          <t>—</t>
        </is>
      </c>
      <c r="O278" s="16" t="inlineStr">
        <is>
          <t>—</t>
        </is>
      </c>
      <c r="P278" s="16" t="inlineStr">
        <is>
          <t>Canal St (J,N,Q,R,W,6)</t>
        </is>
      </c>
      <c r="Q278" s="16" t="inlineStr">
        <is>
          <t>acá estaba Mulberry Bend, el corazón de Five Points — el peor conventillo de la historia de Nueva York, al que Jacob Riis le dedicó un capítulo entero de *How the Other Half Lives* llamándolo "el núcleo podrido de los suburbios de Nueva York".</t>
        </is>
      </c>
      <c r="R278" s="16" t="inlineStr">
        <is>
          <t>Columbus Park, Baxter St</t>
        </is>
      </c>
      <c r="S278" s="16" t="inlineStr">
        <is>
          <t>—</t>
        </is>
      </c>
      <c r="T278" s="18" t="inlineStr">
        <is>
          <t>Abrir ↗</t>
        </is>
      </c>
      <c r="U278" s="21" t="inlineStr">
        <is>
          <t>otros</t>
        </is>
      </c>
      <c r="V278" s="20" t="inlineStr"/>
    </row>
    <row r="279" ht="46" customHeight="1">
      <c r="A279" s="9" t="inlineStr">
        <is>
          <t>Greenacre Park</t>
        </is>
      </c>
      <c r="B279" s="10" t="inlineStr">
        <is>
          <t>Parque urbano</t>
        </is>
      </c>
      <c r="C279" s="11" t="inlineStr">
        <is>
          <t>Parque</t>
        </is>
      </c>
      <c r="D279" s="11" t="inlineStr">
        <is>
          <t>Midtown East</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51 St (6), Lexington Av-53 St (E,M)</t>
        </is>
      </c>
      <c r="Q279" s="16" t="inlineStr">
        <is>
          <t>El hermano escondido de Paley: cascada de 8 metros en un hueco entre edificios. Casi siempre vacio.</t>
        </is>
      </c>
      <c r="R279" s="16" t="inlineStr">
        <is>
          <t>217 E 51st St</t>
        </is>
      </c>
      <c r="S279" s="16" t="inlineStr">
        <is>
          <t>—</t>
        </is>
      </c>
      <c r="T279" s="18" t="inlineStr">
        <is>
          <t>Abrir ↗</t>
        </is>
      </c>
      <c r="U279" s="21" t="inlineStr">
        <is>
          <t>otros</t>
        </is>
      </c>
      <c r="V279" s="20" t="inlineStr"/>
    </row>
    <row r="280" ht="46" customHeight="1">
      <c r="A280" s="9" t="inlineStr">
        <is>
          <t>Hudson River Park Pier 84</t>
        </is>
      </c>
      <c r="B280" s="10" t="inlineStr">
        <is>
          <t>Parque urbano</t>
        </is>
      </c>
      <c r="C280" s="11" t="inlineStr">
        <is>
          <t>Parque</t>
        </is>
      </c>
      <c r="D280" s="11" t="inlineStr">
        <is>
          <t>Hell's Kitchen</t>
        </is>
      </c>
      <c r="E280" s="11" t="inlineStr">
        <is>
          <t>Manhattan</t>
        </is>
      </c>
      <c r="F280" s="12" t="n">
        <v>1</v>
      </c>
      <c r="G280" s="12" t="n">
        <v>1</v>
      </c>
      <c r="H280" s="13">
        <f>IF(AND(F280=2,G280=2),"AMBOS",IF(AND(F280=2,G280&lt;2),"solo JP",IF(AND(F280&lt;2,G280=2),"solo Thais","-")))</f>
        <v/>
      </c>
      <c r="I280" s="14" t="n">
        <v>0</v>
      </c>
      <c r="J280" s="15" t="n">
        <v>0.5</v>
      </c>
      <c r="K280" s="13" t="inlineStr">
        <is>
          <t>no</t>
        </is>
      </c>
      <c r="L280" s="16" t="inlineStr">
        <is>
          <t>—</t>
        </is>
      </c>
      <c r="M280" s="11" t="inlineStr">
        <is>
          <t>—</t>
        </is>
      </c>
      <c r="N280" s="16" t="inlineStr">
        <is>
          <t>—</t>
        </is>
      </c>
      <c r="O280" s="16" t="inlineStr">
        <is>
          <t>—</t>
        </is>
      </c>
      <c r="P280" s="16" t="inlineStr">
        <is>
          <t>42 St-Port Authority (A,C,E)</t>
        </is>
      </c>
      <c r="Q280" s="16" t="inlineStr">
        <is>
          <t>El muelle publico mas grande del rio, con el Intrepid al lado y el atardecer sobre New Jersey de frente.</t>
        </is>
      </c>
      <c r="R280" s="16" t="inlineStr">
        <is>
          <t>W 44th St y 12th Ave</t>
        </is>
      </c>
      <c r="S280" s="16" t="inlineStr">
        <is>
          <t>—</t>
        </is>
      </c>
      <c r="T280" s="18" t="inlineStr">
        <is>
          <t>Abrir ↗</t>
        </is>
      </c>
      <c r="U280" s="21" t="inlineStr">
        <is>
          <t>otros</t>
        </is>
      </c>
      <c r="V280" s="20" t="inlineStr"/>
    </row>
    <row r="281" ht="46" customHeight="1">
      <c r="A281" s="9" t="inlineStr">
        <is>
          <t>Paley Park</t>
        </is>
      </c>
      <c r="B281" s="10" t="inlineStr">
        <is>
          <t>Parque urbano</t>
        </is>
      </c>
      <c r="C281" s="11" t="inlineStr">
        <is>
          <t>Parque</t>
        </is>
      </c>
      <c r="D281" s="11" t="inlineStr">
        <is>
          <t>Midtown</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 Av-53 St (E,M)</t>
        </is>
      </c>
      <c r="Q281" s="16" t="inlineStr">
        <is>
          <t>Pocket park de 1967 con una cascada que tapa el ruido de la calle. El mejor invento urbano de Nueva York y entra en media cuadra.</t>
        </is>
      </c>
      <c r="R281" s="16" t="inlineStr">
        <is>
          <t>3 E 53rd St</t>
        </is>
      </c>
      <c r="S281" s="16" t="inlineStr">
        <is>
          <t>—</t>
        </is>
      </c>
      <c r="T281" s="18" t="inlineStr">
        <is>
          <t>Abrir ↗</t>
        </is>
      </c>
      <c r="U281" s="21" t="inlineStr">
        <is>
          <t>otros</t>
        </is>
      </c>
      <c r="V281" s="20" t="inlineStr"/>
    </row>
    <row r="282" ht="46" customHeight="1">
      <c r="A282" s="9" t="inlineStr">
        <is>
          <t>Prospect Park</t>
        </is>
      </c>
      <c r="B282" s="10" t="inlineStr">
        <is>
          <t>Parque urbano</t>
        </is>
      </c>
      <c r="C282" s="11" t="inlineStr">
        <is>
          <t>Parque</t>
        </is>
      </c>
      <c r="D282" s="11" t="inlineStr">
        <is>
          <t>Park Slope</t>
        </is>
      </c>
      <c r="E282" s="11" t="inlineStr">
        <is>
          <t>Brooklyn</t>
        </is>
      </c>
      <c r="F282" s="12" t="n">
        <v>1</v>
      </c>
      <c r="G282" s="12" t="n">
        <v>1</v>
      </c>
      <c r="H282" s="13">
        <f>IF(AND(F282=2,G282=2),"AMBOS",IF(AND(F282=2,G282&lt;2),"solo JP",IF(AND(F282&lt;2,G282=2),"solo Thais","-")))</f>
        <v/>
      </c>
      <c r="I282" s="14" t="n">
        <v>0</v>
      </c>
      <c r="J282" s="15" t="n">
        <v>1.5</v>
      </c>
      <c r="K282" s="13" t="inlineStr">
        <is>
          <t>no</t>
        </is>
      </c>
      <c r="L282" s="16" t="inlineStr">
        <is>
          <t>—</t>
        </is>
      </c>
      <c r="M282" s="11" t="inlineStr">
        <is>
          <t>—</t>
        </is>
      </c>
      <c r="N282" s="16" t="inlineStr">
        <is>
          <t>—</t>
        </is>
      </c>
      <c r="O282" s="16" t="inlineStr">
        <is>
          <t>—</t>
        </is>
      </c>
      <c r="P282" s="16" t="inlineStr">
        <is>
          <t>Grand Army Plaza (2,3)</t>
        </is>
      </c>
      <c r="Q282" s="16" t="inlineStr">
        <is>
          <t>El parque que Olmsted y Vaux consideraban SU obra maestra, mejor que Central Park: más bosque y menos turistas.</t>
        </is>
      </c>
      <c r="R282" s="16" t="inlineStr"/>
      <c r="S282" s="16" t="inlineStr">
        <is>
          <t>—</t>
        </is>
      </c>
      <c r="T282" s="18" t="inlineStr">
        <is>
          <t>Abrir ↗</t>
        </is>
      </c>
      <c r="U282" s="19" t="inlineStr">
        <is>
          <t>lista google</t>
        </is>
      </c>
      <c r="V282" s="20" t="inlineStr"/>
    </row>
    <row r="283" ht="46" customHeight="1">
      <c r="A283" s="9" t="inlineStr">
        <is>
          <t>Straus Park</t>
        </is>
      </c>
      <c r="B283" s="10" t="inlineStr">
        <is>
          <t>Parque urbano</t>
        </is>
      </c>
      <c r="C283" s="11" t="inlineStr">
        <is>
          <t>Parque</t>
        </is>
      </c>
      <c r="D283" s="11" t="inlineStr">
        <is>
          <t>Upper West Side</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103 St (1)</t>
        </is>
      </c>
      <c r="Q283" s="16" t="inlineStr">
        <is>
          <t>Isidor Straus era dueño de Macy's y murió en el Titanic. Su mujer Ida se negó a subir al bote salvavidas y se quedó con él.</t>
        </is>
      </c>
      <c r="R283" s="16" t="inlineStr">
        <is>
          <t>Broadway &amp; W 106th St</t>
        </is>
      </c>
      <c r="S283" s="16" t="inlineStr">
        <is>
          <t>—</t>
        </is>
      </c>
      <c r="T283" s="18" t="inlineStr">
        <is>
          <t>Abrir ↗</t>
        </is>
      </c>
      <c r="U283" s="21" t="inlineStr">
        <is>
          <t>otros</t>
        </is>
      </c>
      <c r="V283" s="20" t="inlineStr"/>
    </row>
    <row r="284" ht="46" customHeight="1">
      <c r="A284" s="9" t="inlineStr">
        <is>
          <t>Tudor City Greens</t>
        </is>
      </c>
      <c r="B284" s="10" t="inlineStr">
        <is>
          <t>Parque urbano</t>
        </is>
      </c>
      <c r="C284" s="11" t="inlineStr">
        <is>
          <t>Parque</t>
        </is>
      </c>
      <c r="D284" s="11" t="inlineStr">
        <is>
          <t>Midtown East</t>
        </is>
      </c>
      <c r="E284" s="11" t="inlineStr">
        <is>
          <t>Manhattan</t>
        </is>
      </c>
      <c r="F284" s="12" t="n">
        <v>1</v>
      </c>
      <c r="G284" s="12" t="n">
        <v>1</v>
      </c>
      <c r="H284" s="13">
        <f>IF(AND(F284=2,G284=2),"AMBOS",IF(AND(F284=2,G284&lt;2),"solo JP",IF(AND(F284&lt;2,G284=2),"solo Thais","-")))</f>
        <v/>
      </c>
      <c r="I284" s="14" t="n">
        <v>0</v>
      </c>
      <c r="J284" s="15" t="n">
        <v>0.3</v>
      </c>
      <c r="K284" s="13" t="inlineStr">
        <is>
          <t>no</t>
        </is>
      </c>
      <c r="L284" s="16" t="inlineStr">
        <is>
          <t>—</t>
        </is>
      </c>
      <c r="M284" s="11" t="inlineStr">
        <is>
          <t>—</t>
        </is>
      </c>
      <c r="N284" s="16" t="inlineStr">
        <is>
          <t>—</t>
        </is>
      </c>
      <c r="O284" s="16" t="inlineStr">
        <is>
          <t>—</t>
        </is>
      </c>
      <c r="P284" s="16" t="inlineStr">
        <is>
          <t>Grand Central-42 St (4,5,6,7,S)</t>
        </is>
      </c>
      <c r="Q284" s="16" t="inlineStr">
        <is>
          <t>dos parques privados abiertos al público arriba de un barranco, con el mirador que da directo sobre la 42 hacia el este — es la postal del puente de la 42 sobre el cañón de la calle.</t>
        </is>
      </c>
      <c r="R284" s="16" t="inlineStr">
        <is>
          <t>Tudor City Pl</t>
        </is>
      </c>
      <c r="S284" s="16" t="inlineStr">
        <is>
          <t>—</t>
        </is>
      </c>
      <c r="T284" s="18" t="inlineStr">
        <is>
          <t>Abrir ↗</t>
        </is>
      </c>
      <c r="U284" s="21" t="inlineStr">
        <is>
          <t>otros</t>
        </is>
      </c>
      <c r="V284" s="20" t="inlineStr"/>
    </row>
    <row r="285" ht="46" customHeight="1">
      <c r="A285" s="9" t="inlineStr">
        <is>
          <t>Washington Square Park</t>
        </is>
      </c>
      <c r="B285" s="10" t="inlineStr">
        <is>
          <t>Parque urbano</t>
        </is>
      </c>
      <c r="C285" s="11" t="inlineStr">
        <is>
          <t>Parque</t>
        </is>
      </c>
      <c r="D285" s="11" t="inlineStr">
        <is>
          <t>Greenwich Village</t>
        </is>
      </c>
      <c r="E285" s="11" t="inlineStr">
        <is>
          <t>Manhattan</t>
        </is>
      </c>
      <c r="F285" s="12" t="n">
        <v>2</v>
      </c>
      <c r="G285" s="12" t="n">
        <v>0</v>
      </c>
      <c r="H285" s="13">
        <f>IF(AND(F285=2,G285=2),"AMBOS",IF(AND(F285=2,G285&lt;2),"solo JP",IF(AND(F285&lt;2,G285=2),"solo Thais","-")))</f>
        <v/>
      </c>
      <c r="I285" s="14" t="n">
        <v>0</v>
      </c>
      <c r="J285" s="15" t="n">
        <v>0.75</v>
      </c>
      <c r="K285" s="13" t="inlineStr">
        <is>
          <t>SÍ</t>
        </is>
      </c>
      <c r="L285" s="16" t="inlineStr">
        <is>
          <t>—</t>
        </is>
      </c>
      <c r="M285" s="11" t="inlineStr">
        <is>
          <t>—</t>
        </is>
      </c>
      <c r="N285" s="16" t="inlineStr">
        <is>
          <t>—</t>
        </is>
      </c>
      <c r="O285" s="16" t="inlineStr">
        <is>
          <t>—</t>
        </is>
      </c>
      <c r="P285" s="16" t="inlineStr">
        <is>
          <t>W 4 St (A,B,C,D,E,F,M), 8 St-NYU (R,W)</t>
        </is>
      </c>
      <c r="Q285" s="16" t="inlineStr">
        <is>
          <t>El arco, el piano ambulante, los ajedrecistas y NYU alrededor. Es el mejor lugar de la ciudad para sentarse una hora a mirar gente.</t>
        </is>
      </c>
      <c r="R285" s="16" t="inlineStr">
        <is>
          <t>Washington Square Park</t>
        </is>
      </c>
      <c r="S285" s="17" t="inlineStr">
        <is>
          <t>Día 4 · mar 1/9</t>
        </is>
      </c>
      <c r="T285" s="18" t="inlineStr">
        <is>
          <t>Abrir ↗</t>
        </is>
      </c>
      <c r="U285" s="19" t="inlineStr">
        <is>
          <t>lista google</t>
        </is>
      </c>
      <c r="V285" s="20" t="inlineStr"/>
    </row>
    <row r="286" ht="46" customHeight="1">
      <c r="A286" s="9" t="inlineStr">
        <is>
          <t>The High Line</t>
        </is>
      </c>
      <c r="B286" s="10" t="inlineStr">
        <is>
          <t>Paseo elevado</t>
        </is>
      </c>
      <c r="C286" s="11" t="inlineStr">
        <is>
          <t>Parque</t>
        </is>
      </c>
      <c r="D286" s="11" t="inlineStr">
        <is>
          <t>Chelsea / Meatpacking</t>
        </is>
      </c>
      <c r="E286" s="11" t="inlineStr">
        <is>
          <t>Manhattan</t>
        </is>
      </c>
      <c r="F286" s="12" t="n">
        <v>2</v>
      </c>
      <c r="G286" s="12" t="n">
        <v>2</v>
      </c>
      <c r="H286" s="13">
        <f>IF(AND(F286=2,G286=2),"AMBOS",IF(AND(F286=2,G286&lt;2),"solo JP",IF(AND(F286&lt;2,G286=2),"solo Thais","-")))</f>
        <v/>
      </c>
      <c r="I286" s="14" t="n">
        <v>0</v>
      </c>
      <c r="J286" s="15" t="n">
        <v>1.5</v>
      </c>
      <c r="K286" s="13" t="inlineStr">
        <is>
          <t>SÍ</t>
        </is>
      </c>
      <c r="L286" s="16" t="inlineStr">
        <is>
          <t>—</t>
        </is>
      </c>
      <c r="M286" s="11" t="inlineStr">
        <is>
          <t>—</t>
        </is>
      </c>
      <c r="N286" s="16" t="inlineStr">
        <is>
          <t>—</t>
        </is>
      </c>
      <c r="O286" s="16" t="inlineStr">
        <is>
          <t>—</t>
        </is>
      </c>
      <c r="P286" s="16" t="inlineStr">
        <is>
          <t>14 St (A,C,E), 34 St-Hudson Yards (7)</t>
        </is>
      </c>
      <c r="Q286" s="16" t="inlineStr">
        <is>
          <t>Via ferroviaria elevada convertida en parque lineal de 2,3 km. Recorrer de sur a norte por la luz. Incluye 'The Light That Shines Through the Universe' de Tuan Andrew Nguyen, un Buda de arenisca de 9 metros.</t>
        </is>
      </c>
      <c r="R286" s="16" t="inlineStr">
        <is>
          <t>High Line, Gansevoort St a W 34th St</t>
        </is>
      </c>
      <c r="S286" s="17" t="inlineStr">
        <is>
          <t>Día 7 · vie 4/9</t>
        </is>
      </c>
      <c r="T286" s="18" t="inlineStr">
        <is>
          <t>Abrir ↗</t>
        </is>
      </c>
      <c r="U286" s="19" t="inlineStr">
        <is>
          <t>lista google</t>
        </is>
      </c>
      <c r="V286" s="20" t="inlineStr">
        <is>
          <t>SÍ</t>
        </is>
      </c>
    </row>
    <row r="287" ht="46" customHeight="1">
      <c r="A287" s="23" t="inlineStr">
        <is>
          <t>US Open (primeras rondas)</t>
        </is>
      </c>
      <c r="B287" s="24" t="inlineStr">
        <is>
          <t>Deporte</t>
        </is>
      </c>
      <c r="C287" s="25" t="inlineStr">
        <is>
          <t>Evento</t>
        </is>
      </c>
      <c r="D287" s="25" t="inlineStr">
        <is>
          <t>Flushing Meadows</t>
        </is>
      </c>
      <c r="E287" s="25" t="inlineStr">
        <is>
          <t>Queens</t>
        </is>
      </c>
      <c r="F287" s="12" t="n">
        <v>0</v>
      </c>
      <c r="G287" s="12" t="n">
        <v>0</v>
      </c>
      <c r="H287" s="26">
        <f>IF(AND(F287=2,G287=2),"AMBOS",IF(AND(F287=2,G287&lt;2),"solo JP",IF(AND(F287&lt;2,G287=2),"solo Thais","-")))</f>
        <v/>
      </c>
      <c r="I287" s="27" t="n">
        <v>80</v>
      </c>
      <c r="J287" s="28" t="n">
        <v>7</v>
      </c>
      <c r="K287" s="26" t="inlineStr">
        <is>
          <t>no</t>
        </is>
      </c>
      <c r="L287" s="29" t="inlineStr">
        <is>
          <t>—</t>
        </is>
      </c>
      <c r="M287" s="25" t="inlineStr">
        <is>
          <t>—</t>
        </is>
      </c>
      <c r="N287" s="29" t="inlineStr">
        <is>
          <t>—</t>
        </is>
      </c>
      <c r="O287" s="29" t="inlineStr">
        <is>
          <t>Ticketmaster</t>
        </is>
      </c>
      <c r="P287" s="29" t="inlineStr">
        <is>
          <t>Mets-Willets Point (7)</t>
        </is>
      </c>
      <c r="Q287" s="29" t="inlineStr">
        <is>
          <t>Cuadro principal del 30 de agosto al 13 de septiembre. Las primeras rondas (30 ago - 2 sep) son cuando mas partidos simultaneos hay y el grounds pass rinde mas: se ve a metros en las canchas exteriores. Se come un dia entero.</t>
        </is>
      </c>
      <c r="R287" s="29" t="inlineStr">
        <is>
          <t>USTA Billie Jean King NTC, Flushing</t>
        </is>
      </c>
      <c r="S287" s="29" t="inlineStr">
        <is>
          <t>—</t>
        </is>
      </c>
      <c r="T287" s="30" t="inlineStr">
        <is>
          <t>Abrir ↗</t>
        </is>
      </c>
      <c r="U287" s="31" t="inlineStr">
        <is>
          <t>otros</t>
        </is>
      </c>
      <c r="V287" s="20" t="inlineStr"/>
    </row>
    <row r="288" ht="46" customHeight="1">
      <c r="A288" s="23" t="inlineStr">
        <is>
          <t>Charlie Parker Jazz Festival - East Village</t>
        </is>
      </c>
      <c r="B288" s="24" t="inlineStr">
        <is>
          <t>Festival gratis</t>
        </is>
      </c>
      <c r="C288" s="25" t="inlineStr">
        <is>
          <t>Evento</t>
        </is>
      </c>
      <c r="D288" s="25" t="inlineStr">
        <is>
          <t>East Village</t>
        </is>
      </c>
      <c r="E288" s="25" t="inlineStr">
        <is>
          <t>Manhattan</t>
        </is>
      </c>
      <c r="F288" s="12" t="n">
        <v>0</v>
      </c>
      <c r="G288" s="12" t="n">
        <v>0</v>
      </c>
      <c r="H288" s="26">
        <f>IF(AND(F288=2,G288=2),"AMBOS",IF(AND(F288=2,G288&lt;2),"solo JP",IF(AND(F288&lt;2,G288=2),"solo Thais","-")))</f>
        <v/>
      </c>
      <c r="I288" s="27" t="n">
        <v>0</v>
      </c>
      <c r="J288" s="28" t="n">
        <v>4</v>
      </c>
      <c r="K288" s="26" t="inlineStr">
        <is>
          <t>no</t>
        </is>
      </c>
      <c r="L288" s="29" t="inlineStr">
        <is>
          <t>—</t>
        </is>
      </c>
      <c r="M288" s="25" t="inlineStr">
        <is>
          <t>—</t>
        </is>
      </c>
      <c r="N288" s="29" t="inlineStr">
        <is>
          <t>—</t>
        </is>
      </c>
      <c r="O288" s="29" t="inlineStr">
        <is>
          <t>—</t>
        </is>
      </c>
      <c r="P288" s="29" t="inlineStr">
        <is>
          <t>1 Av (L), Astor Pl (6)</t>
        </is>
      </c>
      <c r="Q288" s="29" t="inlineStr">
        <is>
          <t>DOMINGO 30 DE AGOSTO, 15-19h. Ravi Coltrane (headliner), Billy Hart Quartet, Kassa Overall, Vanisha Gould. Segundo dia del festival, en el East Village.</t>
        </is>
      </c>
      <c r="R288" s="29" t="inlineStr">
        <is>
          <t>Tompkins Square Park</t>
        </is>
      </c>
      <c r="S288" s="29" t="inlineStr">
        <is>
          <t>—</t>
        </is>
      </c>
      <c r="T288" s="30" t="inlineStr">
        <is>
          <t>Abrir ↗</t>
        </is>
      </c>
      <c r="U288" s="31" t="inlineStr">
        <is>
          <t>otros</t>
        </is>
      </c>
      <c r="V288" s="20" t="inlineStr"/>
    </row>
    <row r="289" ht="46" customHeight="1">
      <c r="A289" s="23" t="inlineStr">
        <is>
          <t>Charlie Parker Jazz Festival - Harlem</t>
        </is>
      </c>
      <c r="B289" s="24" t="inlineStr">
        <is>
          <t>Festival gratis</t>
        </is>
      </c>
      <c r="C289" s="25" t="inlineStr">
        <is>
          <t>Evento</t>
        </is>
      </c>
      <c r="D289" s="25" t="inlineStr">
        <is>
          <t>Harlem</t>
        </is>
      </c>
      <c r="E289" s="25" t="inlineStr">
        <is>
          <t>Manhattan</t>
        </is>
      </c>
      <c r="F289" s="12" t="n">
        <v>2</v>
      </c>
      <c r="G289" s="12" t="n">
        <v>2</v>
      </c>
      <c r="H289" s="26">
        <f>IF(AND(F289=2,G289=2),"AMBOS",IF(AND(F289=2,G289&lt;2),"solo JP",IF(AND(F289&lt;2,G289=2),"solo Thais","-")))</f>
        <v/>
      </c>
      <c r="I289" s="27" t="n">
        <v>0</v>
      </c>
      <c r="J289" s="28" t="n">
        <v>4</v>
      </c>
      <c r="K289" s="26" t="inlineStr">
        <is>
          <t>no</t>
        </is>
      </c>
      <c r="L289" s="29" t="inlineStr">
        <is>
          <t>—</t>
        </is>
      </c>
      <c r="M289" s="25" t="inlineStr">
        <is>
          <t>—</t>
        </is>
      </c>
      <c r="N289" s="29" t="inlineStr">
        <is>
          <t>—</t>
        </is>
      </c>
      <c r="O289" s="29" t="inlineStr">
        <is>
          <t>—</t>
        </is>
      </c>
      <c r="P289" s="29" t="inlineStr">
        <is>
          <t>125 St (2,3)</t>
        </is>
      </c>
      <c r="Q289" s="29" t="inlineStr">
        <is>
          <t>SABADO 29 DE AGOSTO, 14-19h. Joshua Redman (headliner), Nat Adderley Jr., Catherine Russell, Nicole Glover. Gratis, al aire libre, con el mismo nivel artistico que se paga $60-80 en un club. Llevar manta y llegar 1-2 h antes del headliner.</t>
        </is>
      </c>
      <c r="R289" s="29" t="inlineStr">
        <is>
          <t>Marcus Garvey Park, Harlem</t>
        </is>
      </c>
      <c r="S289" s="17" t="inlineStr">
        <is>
          <t>Día 1 · sáb 29/8</t>
        </is>
      </c>
      <c r="T289" s="30" t="inlineStr">
        <is>
          <t>Abrir ↗</t>
        </is>
      </c>
      <c r="U289" s="31" t="inlineStr">
        <is>
          <t>otros</t>
        </is>
      </c>
      <c r="V289" s="20" t="inlineStr">
        <is>
          <t>SÍ</t>
        </is>
      </c>
    </row>
    <row r="290" ht="46" customHeight="1">
      <c r="A290" s="23" t="inlineStr">
        <is>
          <t>SummerStage: Christian McBride (gratis)</t>
        </is>
      </c>
      <c r="B290" s="24" t="inlineStr">
        <is>
          <t>Festival gratis</t>
        </is>
      </c>
      <c r="C290" s="25" t="inlineStr">
        <is>
          <t>Evento</t>
        </is>
      </c>
      <c r="D290" s="25" t="inlineStr">
        <is>
          <t>Central Park</t>
        </is>
      </c>
      <c r="E290" s="25" t="inlineStr">
        <is>
          <t>Manhattan</t>
        </is>
      </c>
      <c r="F290" s="12" t="n">
        <v>2</v>
      </c>
      <c r="G290" s="12" t="n">
        <v>0</v>
      </c>
      <c r="H290" s="26">
        <f>IF(AND(F290=2,G290=2),"AMBOS",IF(AND(F290=2,G290&lt;2),"solo JP",IF(AND(F290&lt;2,G290=2),"solo Thais","-")))</f>
        <v/>
      </c>
      <c r="I290" s="27" t="n">
        <v>0</v>
      </c>
      <c r="J290" s="28" t="n">
        <v>3</v>
      </c>
      <c r="K290" s="26" t="inlineStr">
        <is>
          <t>no</t>
        </is>
      </c>
      <c r="L290" s="29" t="inlineStr">
        <is>
          <t>—</t>
        </is>
      </c>
      <c r="M290" s="25" t="inlineStr">
        <is>
          <t>—</t>
        </is>
      </c>
      <c r="N290" s="29" t="inlineStr">
        <is>
          <t>—</t>
        </is>
      </c>
      <c r="O290" s="29" t="inlineStr">
        <is>
          <t>—</t>
        </is>
      </c>
      <c r="P290" s="29" t="inlineStr">
        <is>
          <t>72 St (B,C)</t>
        </is>
      </c>
      <c r="Q290" s="29" t="inlineStr">
        <is>
          <t>MIERCOLES 2 DE SEPTIEMBRE. Christian McBride + SAMARA JOY (Verve 70 aniversario) + Mei Semones &amp; Friends tocando Getz/Gilberto. Puertas 18:00, show 19:00-22:00. Gratis, sin ticket, por orden de llegada: con ese cartel hay que llegar bastante antes de las 18:00.</t>
        </is>
      </c>
      <c r="R290" s="29" t="inlineStr">
        <is>
          <t>Rumsey Playfield, Central Park</t>
        </is>
      </c>
      <c r="S290" s="17" t="inlineStr">
        <is>
          <t>Día 5 · mié 2/9</t>
        </is>
      </c>
      <c r="T290" s="30" t="inlineStr">
        <is>
          <t>Abrir ↗</t>
        </is>
      </c>
      <c r="U290" s="31" t="inlineStr">
        <is>
          <t>otros</t>
        </is>
      </c>
      <c r="V290" s="20" t="inlineStr">
        <is>
          <t>SÍ</t>
        </is>
      </c>
    </row>
    <row r="291" ht="46" customHeight="1">
      <c r="A291" s="23" t="inlineStr">
        <is>
          <t>NY Caribbean Carnival Week (Panorama)</t>
        </is>
      </c>
      <c r="B291" s="24" t="inlineStr">
        <is>
          <t>Festival pago</t>
        </is>
      </c>
      <c r="C291" s="25" t="inlineStr">
        <is>
          <t>Evento</t>
        </is>
      </c>
      <c r="D291" s="25" t="inlineStr">
        <is>
          <t>Prospect Heights</t>
        </is>
      </c>
      <c r="E291" s="25" t="inlineStr">
        <is>
          <t>Brooklyn</t>
        </is>
      </c>
      <c r="F291" s="12" t="n">
        <v>1</v>
      </c>
      <c r="G291" s="12" t="n">
        <v>1</v>
      </c>
      <c r="H291" s="26">
        <f>IF(AND(F291=2,G291=2),"AMBOS",IF(AND(F291=2,G291&lt;2),"solo JP",IF(AND(F291&lt;2,G291=2),"solo Thais","-")))</f>
        <v/>
      </c>
      <c r="I291" s="27" t="n">
        <v>30</v>
      </c>
      <c r="J291" s="28" t="n">
        <v>4</v>
      </c>
      <c r="K291" s="26" t="inlineStr">
        <is>
          <t>no</t>
        </is>
      </c>
      <c r="L291" s="29" t="inlineStr">
        <is>
          <t>—</t>
        </is>
      </c>
      <c r="M291" s="25" t="inlineStr">
        <is>
          <t>—</t>
        </is>
      </c>
      <c r="N291" s="29" t="inlineStr">
        <is>
          <t>—</t>
        </is>
      </c>
      <c r="O291" s="29" t="inlineStr">
        <is>
          <t>—</t>
        </is>
      </c>
      <c r="P291" s="29" t="inlineStr">
        <is>
          <t>Eastern Pkwy-Brooklyn Museum (2,3)</t>
        </is>
      </c>
      <c r="Q291" s="29" t="inlineStr">
        <is>
          <t>Del 3 al 7 de septiembre en el Brooklyn Museum: Blocko Mania (jue 3), Soca Fest (vie 4), Junior Carnival y Panorama (sab 5 / dom 6). El Panorama es la competencia de steel pan mas grande de Norteamerica. Fechas de fuente secundaria: VERIFICAR.</t>
        </is>
      </c>
      <c r="R291" s="29" t="inlineStr">
        <is>
          <t>Brooklyn Museum, 200 Eastern Pkwy</t>
        </is>
      </c>
      <c r="S291" s="29" t="inlineStr">
        <is>
          <t>—</t>
        </is>
      </c>
      <c r="T291" s="30" t="inlineStr">
        <is>
          <t>Abrir ↗</t>
        </is>
      </c>
      <c r="U291" s="31" t="inlineStr">
        <is>
          <t>otros</t>
        </is>
      </c>
      <c r="V291" s="20" t="inlineStr"/>
    </row>
    <row r="292" ht="46" customHeight="1">
      <c r="A292" s="23" t="inlineStr">
        <is>
          <t>Paint 'N Pour</t>
        </is>
      </c>
      <c r="B292" s="24" t="inlineStr">
        <is>
          <t>Taller y experiencia</t>
        </is>
      </c>
      <c r="C292" s="25" t="inlineStr">
        <is>
          <t>Evento</t>
        </is>
      </c>
      <c r="D292" s="25" t="inlineStr">
        <is>
          <t>Manhattan</t>
        </is>
      </c>
      <c r="E292" s="25" t="inlineStr">
        <is>
          <t>Manhattan</t>
        </is>
      </c>
      <c r="F292" s="12" t="n">
        <v>1</v>
      </c>
      <c r="G292" s="12" t="n">
        <v>1</v>
      </c>
      <c r="H292" s="26">
        <f>IF(AND(F292=2,G292=2),"AMBOS",IF(AND(F292=2,G292&lt;2),"solo JP",IF(AND(F292&lt;2,G292=2),"solo Thais","-")))</f>
        <v/>
      </c>
      <c r="I292" s="27" t="n">
        <v>45</v>
      </c>
      <c r="J292" s="28" t="n">
        <v>2</v>
      </c>
      <c r="K292" s="26" t="inlineStr">
        <is>
          <t>no</t>
        </is>
      </c>
      <c r="L292" s="29" t="inlineStr">
        <is>
          <t>—</t>
        </is>
      </c>
      <c r="M292" s="25" t="inlineStr">
        <is>
          <t>—</t>
        </is>
      </c>
      <c r="N292" s="29" t="inlineStr">
        <is>
          <t>—</t>
        </is>
      </c>
      <c r="O292" s="29" t="inlineStr">
        <is>
          <t>—</t>
        </is>
      </c>
      <c r="P292" s="29" t="inlineStr">
        <is>
          <t>-</t>
        </is>
      </c>
      <c r="Q292" s="29" t="inlineStr">
        <is>
          <t>Taller de pintura con copa de vino. Se reserva por sesión.</t>
        </is>
      </c>
      <c r="R292" s="29" t="inlineStr"/>
      <c r="S292" s="29" t="inlineStr">
        <is>
          <t>—</t>
        </is>
      </c>
      <c r="T292" s="30" t="inlineStr">
        <is>
          <t>Abrir ↗</t>
        </is>
      </c>
      <c r="U292" s="32" t="inlineStr">
        <is>
          <t>lista google</t>
        </is>
      </c>
      <c r="V292" s="20" t="inlineStr"/>
    </row>
    <row r="293" ht="46" customHeight="1">
      <c r="A293" s="23" t="inlineStr">
        <is>
          <t>Time To Paint - Painting Studio</t>
        </is>
      </c>
      <c r="B293" s="24" t="inlineStr">
        <is>
          <t>Taller y experiencia</t>
        </is>
      </c>
      <c r="C293" s="25" t="inlineStr">
        <is>
          <t>Evento</t>
        </is>
      </c>
      <c r="D293" s="25" t="inlineStr">
        <is>
          <t>Manhattan</t>
        </is>
      </c>
      <c r="E293" s="25" t="inlineStr">
        <is>
          <t>Manhattan</t>
        </is>
      </c>
      <c r="F293" s="12" t="n">
        <v>1</v>
      </c>
      <c r="G293" s="12" t="n">
        <v>1</v>
      </c>
      <c r="H293" s="26">
        <f>IF(AND(F293=2,G293=2),"AMBOS",IF(AND(F293=2,G293&lt;2),"solo JP",IF(AND(F293&lt;2,G293=2),"solo Thais","-")))</f>
        <v/>
      </c>
      <c r="I293" s="27" t="n">
        <v>45</v>
      </c>
      <c r="J293" s="28" t="n">
        <v>2</v>
      </c>
      <c r="K293" s="26" t="inlineStr">
        <is>
          <t>no</t>
        </is>
      </c>
      <c r="L293" s="29" t="inlineStr">
        <is>
          <t>—</t>
        </is>
      </c>
      <c r="M293" s="25" t="inlineStr">
        <is>
          <t>—</t>
        </is>
      </c>
      <c r="N293" s="29" t="inlineStr">
        <is>
          <t>—</t>
        </is>
      </c>
      <c r="O293" s="29" t="inlineStr">
        <is>
          <t>—</t>
        </is>
      </c>
      <c r="P293" s="29" t="inlineStr">
        <is>
          <t>-</t>
        </is>
      </c>
      <c r="Q293" s="29" t="inlineStr">
        <is>
          <t>Estudio para pintar por sesión, mismo formato que Paint 'N Pour.</t>
        </is>
      </c>
      <c r="R293" s="29" t="inlineStr"/>
      <c r="S293" s="29" t="inlineStr">
        <is>
          <t>—</t>
        </is>
      </c>
      <c r="T293" s="30" t="inlineStr">
        <is>
          <t>Abrir ↗</t>
        </is>
      </c>
      <c r="U293" s="32" t="inlineStr">
        <is>
          <t>lista google</t>
        </is>
      </c>
      <c r="V293" s="20" t="inlineStr"/>
    </row>
    <row r="294" ht="46" customHeight="1">
      <c r="A294" s="23" t="inlineStr">
        <is>
          <t>Green-Wood Discover Trolley Tour</t>
        </is>
      </c>
      <c r="B294" s="24" t="inlineStr">
        <is>
          <t>Tour guiado</t>
        </is>
      </c>
      <c r="C294" s="25" t="inlineStr">
        <is>
          <t>Evento</t>
        </is>
      </c>
      <c r="D294" s="25" t="inlineStr">
        <is>
          <t>Greenwood Heights</t>
        </is>
      </c>
      <c r="E294" s="25" t="inlineStr">
        <is>
          <t>Brooklyn</t>
        </is>
      </c>
      <c r="F294" s="12" t="n">
        <v>0</v>
      </c>
      <c r="G294" s="12" t="n">
        <v>0</v>
      </c>
      <c r="H294" s="26">
        <f>IF(AND(F294=2,G294=2),"AMBOS",IF(AND(F294=2,G294&lt;2),"solo JP",IF(AND(F294&lt;2,G294=2),"solo Thais","-")))</f>
        <v/>
      </c>
      <c r="I294" s="27" t="n">
        <v>25</v>
      </c>
      <c r="J294" s="28" t="n">
        <v>2</v>
      </c>
      <c r="K294" s="26" t="inlineStr">
        <is>
          <t>no</t>
        </is>
      </c>
      <c r="L294" s="29" t="inlineStr">
        <is>
          <t>—</t>
        </is>
      </c>
      <c r="M294" s="25" t="inlineStr">
        <is>
          <t>—</t>
        </is>
      </c>
      <c r="N294" s="29" t="inlineStr">
        <is>
          <t>—</t>
        </is>
      </c>
      <c r="O294" s="29" t="inlineStr">
        <is>
          <t>reservar</t>
        </is>
      </c>
      <c r="P294" s="29" t="inlineStr">
        <is>
          <t>25 St (R)</t>
        </is>
      </c>
      <c r="Q294" s="29" t="inlineStr">
        <is>
          <t>SABADO 29 DE AGOSTO y SABADO 5 DE SEPTIEMBRE, 13-15h. Recorrido en trolley por las 190 hectareas con guia. Es la forma de ver el cementerio entero sin caminar seis horas.</t>
        </is>
      </c>
      <c r="R294" s="29" t="inlineStr">
        <is>
          <t>500 25th St, Brooklyn</t>
        </is>
      </c>
      <c r="S294" s="29" t="inlineStr">
        <is>
          <t>—</t>
        </is>
      </c>
      <c r="T294" s="30" t="inlineStr">
        <is>
          <t>Abrir ↗</t>
        </is>
      </c>
      <c r="U294" s="31" t="inlineStr">
        <is>
          <t>otros</t>
        </is>
      </c>
      <c r="V294" s="20" t="inlineStr"/>
    </row>
    <row r="295" ht="46" customHeight="1">
      <c r="A295" s="23" t="inlineStr">
        <is>
          <t>Hamilton</t>
        </is>
      </c>
      <c r="B295" s="24" t="inlineStr">
        <is>
          <t>Musical de Broadway</t>
        </is>
      </c>
      <c r="C295" s="25" t="inlineStr">
        <is>
          <t>Teatro</t>
        </is>
      </c>
      <c r="D295" s="25" t="inlineStr">
        <is>
          <t>Theater District</t>
        </is>
      </c>
      <c r="E295" s="25" t="inlineStr">
        <is>
          <t>Manhattan</t>
        </is>
      </c>
      <c r="F295" s="12" t="n">
        <v>0</v>
      </c>
      <c r="G295" s="12" t="n">
        <v>0</v>
      </c>
      <c r="H295" s="26">
        <f>IF(AND(F295=2,G295=2),"AMBOS",IF(AND(F295=2,G295&lt;2),"solo JP",IF(AND(F295&lt;2,G295=2),"solo Thais","-")))</f>
        <v/>
      </c>
      <c r="I295" s="27" t="n">
        <v>112</v>
      </c>
      <c r="J295" s="28" t="n">
        <v>3</v>
      </c>
      <c r="K295" s="26" t="inlineStr">
        <is>
          <t>SÍ</t>
        </is>
      </c>
      <c r="L295" s="29" t="inlineStr">
        <is>
          <t>—</t>
        </is>
      </c>
      <c r="M295" s="25" t="inlineStr">
        <is>
          <t>—</t>
        </is>
      </c>
      <c r="N295" s="29" t="inlineStr">
        <is>
          <t>—</t>
        </is>
      </c>
      <c r="O295" s="29" t="inlineStr">
        <is>
          <t>—</t>
        </is>
      </c>
      <c r="P295" s="29" t="inlineStr">
        <is>
          <t>50 St (1), 49 St (N,R,W)</t>
        </is>
      </c>
      <c r="Q295" s="29" t="inlineStr">
        <is>
          <t>Sigue siendo el show mas dificil de conseguir barato, pero la loteria de $10 es gratis de intentar y asigna butacas de primera fila. Anotarse todos los dias desde ya.</t>
        </is>
      </c>
      <c r="R295" s="29" t="inlineStr">
        <is>
          <t>Richard Rodgers Theatre, 226 W 46th St</t>
        </is>
      </c>
      <c r="S295" s="29" t="inlineStr">
        <is>
          <t>—</t>
        </is>
      </c>
      <c r="T295" s="30" t="inlineStr">
        <is>
          <t>Abrir ↗</t>
        </is>
      </c>
      <c r="U295" s="31" t="inlineStr">
        <is>
          <t>otros</t>
        </is>
      </c>
      <c r="V295" s="20" t="inlineStr"/>
    </row>
    <row r="296" ht="46" customHeight="1">
      <c r="A296" s="23" t="inlineStr">
        <is>
          <t>Maybe Happy Ending</t>
        </is>
      </c>
      <c r="B296" s="24" t="inlineStr">
        <is>
          <t>Musical de Broadway</t>
        </is>
      </c>
      <c r="C296" s="25" t="inlineStr">
        <is>
          <t>Teatro</t>
        </is>
      </c>
      <c r="D296" s="25" t="inlineStr">
        <is>
          <t>Theater District</t>
        </is>
      </c>
      <c r="E296" s="25" t="inlineStr">
        <is>
          <t>Manhattan</t>
        </is>
      </c>
      <c r="F296" s="12" t="n">
        <v>0</v>
      </c>
      <c r="G296" s="12" t="n">
        <v>0</v>
      </c>
      <c r="H296" s="26">
        <f>IF(AND(F296=2,G296=2),"AMBOS",IF(AND(F296=2,G296&lt;2),"solo JP",IF(AND(F296&lt;2,G296=2),"solo Thais","-")))</f>
        <v/>
      </c>
      <c r="I296" s="27" t="n">
        <v>59</v>
      </c>
      <c r="J296" s="28" t="n">
        <v>2.5</v>
      </c>
      <c r="K296" s="26" t="inlineStr">
        <is>
          <t>no</t>
        </is>
      </c>
      <c r="L296" s="29" t="inlineStr">
        <is>
          <t>—</t>
        </is>
      </c>
      <c r="M296" s="25" t="inlineStr">
        <is>
          <t>—</t>
        </is>
      </c>
      <c r="N296" s="29" t="inlineStr">
        <is>
          <t>—</t>
        </is>
      </c>
      <c r="O296" s="29" t="inlineStr">
        <is>
          <t>—</t>
        </is>
      </c>
      <c r="P296" s="29" t="inlineStr">
        <is>
          <t>49 St (N,R,W)</t>
        </is>
      </c>
      <c r="Q296" s="29" t="inlineStr">
        <is>
          <t>Musical sobre dos robots obsoletos en Seul. Es la mejor relacion calidad/precio de la cartelera actual y la loteria de $20 es de las mas accesibles.</t>
        </is>
      </c>
      <c r="R296" s="29" t="inlineStr">
        <is>
          <t>Belasco Theatre, 111 W 44th St</t>
        </is>
      </c>
      <c r="S296" s="29" t="inlineStr">
        <is>
          <t>—</t>
        </is>
      </c>
      <c r="T296" s="30" t="inlineStr">
        <is>
          <t>Abrir ↗</t>
        </is>
      </c>
      <c r="U296" s="31" t="inlineStr">
        <is>
          <t>otros</t>
        </is>
      </c>
      <c r="V296" s="20" t="inlineStr"/>
    </row>
    <row r="297" ht="46" customHeight="1">
      <c r="A297" s="23" t="inlineStr">
        <is>
          <t>Moulin Rouge! (ULTIMAS FUNCIONES)</t>
        </is>
      </c>
      <c r="B297" s="24" t="inlineStr">
        <is>
          <t>Musical de Broadway</t>
        </is>
      </c>
      <c r="C297" s="25" t="inlineStr">
        <is>
          <t>Teatro</t>
        </is>
      </c>
      <c r="D297" s="25" t="inlineStr">
        <is>
          <t>Theater District</t>
        </is>
      </c>
      <c r="E297" s="25" t="inlineStr">
        <is>
          <t>Manhattan</t>
        </is>
      </c>
      <c r="F297" s="12" t="n">
        <v>1</v>
      </c>
      <c r="G297" s="12" t="n">
        <v>1</v>
      </c>
      <c r="H297" s="26">
        <f>IF(AND(F297=2,G297=2),"AMBOS",IF(AND(F297=2,G297&lt;2),"solo JP",IF(AND(F297&lt;2,G297=2),"solo Thais","-")))</f>
        <v/>
      </c>
      <c r="I297" s="27" t="n">
        <v>90</v>
      </c>
      <c r="J297" s="28" t="n">
        <v>3</v>
      </c>
      <c r="K297" s="26" t="inlineStr">
        <is>
          <t>no</t>
        </is>
      </c>
      <c r="L297" s="29" t="inlineStr">
        <is>
          <t>—</t>
        </is>
      </c>
      <c r="M297" s="25" t="inlineStr">
        <is>
          <t>—</t>
        </is>
      </c>
      <c r="N297" s="29" t="inlineStr">
        <is>
          <t>—</t>
        </is>
      </c>
      <c r="O297" s="29" t="inlineStr">
        <is>
          <t>urgente si lo quieren</t>
        </is>
      </c>
      <c r="P297" s="29" t="inlineStr">
        <is>
          <t>42 St-Port Authority (A,C,E)</t>
        </is>
      </c>
      <c r="Q297" s="29" t="inlineStr">
        <is>
          <t>CIERRA EL 30 DE AGOSTO DE 2026 (ya postergo el cierre una vez, de julio a agosto: puede volver a extender). Las dos ultimas funciones caen en el fin de semana de llegada, con demanda y precios en pico. Aaron Tveit protagoniza del 18 al 29 de agosto.</t>
        </is>
      </c>
      <c r="R297" s="29" t="inlineStr">
        <is>
          <t>Al Hirschfeld Theatre, 302 W 45th St</t>
        </is>
      </c>
      <c r="S297" s="29" t="inlineStr">
        <is>
          <t>—</t>
        </is>
      </c>
      <c r="T297" s="30" t="inlineStr">
        <is>
          <t>Abrir ↗</t>
        </is>
      </c>
      <c r="U297" s="31" t="inlineStr">
        <is>
          <t>otros</t>
        </is>
      </c>
      <c r="V297" s="20" t="inlineStr"/>
    </row>
    <row r="298" ht="46" customHeight="1">
      <c r="A298" s="23" t="inlineStr">
        <is>
          <t>Operation Mincemeat</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63</v>
      </c>
      <c r="J298" s="28" t="n">
        <v>2.5</v>
      </c>
      <c r="K298" s="26" t="inlineStr">
        <is>
          <t>no</t>
        </is>
      </c>
      <c r="L298" s="29" t="inlineStr">
        <is>
          <t>—</t>
        </is>
      </c>
      <c r="M298" s="25" t="inlineStr">
        <is>
          <t>—</t>
        </is>
      </c>
      <c r="N298" s="29" t="inlineStr">
        <is>
          <t>—</t>
        </is>
      </c>
      <c r="O298" s="29" t="inlineStr">
        <is>
          <t>—</t>
        </is>
      </c>
      <c r="P298" s="29" t="inlineStr">
        <is>
          <t>49 St (N,R,W)</t>
        </is>
      </c>
      <c r="Q298" s="29" t="inlineStr">
        <is>
          <t>Comedia musical britanica sobre una operacion de contrainteligencia real de la Segunda Guerra. Cinco actores haciendo ochenta personajes. Muy bien recibida y mas barata que los grandes musicales.</t>
        </is>
      </c>
      <c r="R298" s="29" t="inlineStr">
        <is>
          <t>John Golden Theatre, 252 W 45th St</t>
        </is>
      </c>
      <c r="S298" s="29" t="inlineStr">
        <is>
          <t>—</t>
        </is>
      </c>
      <c r="T298" s="30" t="inlineStr">
        <is>
          <t>Abrir ↗</t>
        </is>
      </c>
      <c r="U298" s="31" t="inlineStr">
        <is>
          <t>otros</t>
        </is>
      </c>
      <c r="V298" s="20" t="inlineStr"/>
    </row>
    <row r="299" ht="46" customHeight="1">
      <c r="A299" s="23" t="inlineStr">
        <is>
          <t>Little Shop of Horrors (Off-Broadway)</t>
        </is>
      </c>
      <c r="B299" s="24" t="inlineStr">
        <is>
          <t>Off-Broadway</t>
        </is>
      </c>
      <c r="C299" s="25" t="inlineStr">
        <is>
          <t>Teatro</t>
        </is>
      </c>
      <c r="D299" s="25" t="inlineStr">
        <is>
          <t>Theater District</t>
        </is>
      </c>
      <c r="E299" s="25" t="inlineStr">
        <is>
          <t>Manhattan</t>
        </is>
      </c>
      <c r="F299" s="12" t="n">
        <v>0</v>
      </c>
      <c r="G299" s="12" t="n">
        <v>0</v>
      </c>
      <c r="H299" s="26">
        <f>IF(AND(F299=2,G299=2),"AMBOS",IF(AND(F299=2,G299&lt;2),"solo JP",IF(AND(F299&lt;2,G299=2),"solo Thais","-")))</f>
        <v/>
      </c>
      <c r="I299" s="27" t="n">
        <v>40</v>
      </c>
      <c r="J299" s="28" t="n">
        <v>2</v>
      </c>
      <c r="K299" s="26" t="inlineStr">
        <is>
          <t>no</t>
        </is>
      </c>
      <c r="L299" s="29" t="inlineStr">
        <is>
          <t>—</t>
        </is>
      </c>
      <c r="M299" s="25" t="inlineStr">
        <is>
          <t>—</t>
        </is>
      </c>
      <c r="N299" s="29" t="inlineStr">
        <is>
          <t>—</t>
        </is>
      </c>
      <c r="O299" s="29" t="inlineStr">
        <is>
          <t>—</t>
        </is>
      </c>
      <c r="P299" s="29" t="inlineStr">
        <is>
          <t>50 St (C,E)</t>
        </is>
      </c>
      <c r="Q299" s="29" t="inlineStr">
        <is>
          <t>Sala chica, produccion excelente, y a un cuarto del precio de un musical grande. Off-Broadway hecho bien.</t>
        </is>
      </c>
      <c r="R299" s="29" t="inlineStr">
        <is>
          <t>Westside Theatre, 407 W 43rd St</t>
        </is>
      </c>
      <c r="S299" s="29" t="inlineStr">
        <is>
          <t>—</t>
        </is>
      </c>
      <c r="T299" s="30" t="inlineStr">
        <is>
          <t>Abrir ↗</t>
        </is>
      </c>
      <c r="U299" s="31" t="inlineStr">
        <is>
          <t>otros</t>
        </is>
      </c>
      <c r="V299" s="20" t="inlineStr"/>
    </row>
    <row r="300" ht="46" customHeight="1">
      <c r="A300" s="23" t="inlineStr">
        <is>
          <t>Stranger Things: The First Shadow (play)</t>
        </is>
      </c>
      <c r="B300" s="24" t="inlineStr">
        <is>
          <t>Play de Broadway</t>
        </is>
      </c>
      <c r="C300" s="25" t="inlineStr">
        <is>
          <t>Teatro</t>
        </is>
      </c>
      <c r="D300" s="25" t="inlineStr">
        <is>
          <t>Midtown</t>
        </is>
      </c>
      <c r="E300" s="25" t="inlineStr">
        <is>
          <t>Manhattan</t>
        </is>
      </c>
      <c r="F300" s="12" t="n">
        <v>2</v>
      </c>
      <c r="G300" s="12" t="n">
        <v>2</v>
      </c>
      <c r="H300" s="26">
        <f>IF(AND(F300=2,G300=2),"AMBOS",IF(AND(F300=2,G300&lt;2),"solo JP",IF(AND(F300&lt;2,G300=2),"solo Thais","-")))</f>
        <v/>
      </c>
      <c r="I300" s="27" t="n">
        <v>90</v>
      </c>
      <c r="J300" s="28" t="n">
        <v>2.5</v>
      </c>
      <c r="K300" s="26" t="inlineStr">
        <is>
          <t>SÍ</t>
        </is>
      </c>
      <c r="L300" s="29" t="inlineStr">
        <is>
          <t>—</t>
        </is>
      </c>
      <c r="M300" s="25" t="inlineStr">
        <is>
          <t>—</t>
        </is>
      </c>
      <c r="N300" s="29" t="inlineStr">
        <is>
          <t>—</t>
        </is>
      </c>
      <c r="O300" s="29" t="inlineStr">
        <is>
          <t>compra firme esta semana - verificar horario de funcion (19:00/19:30/20:00)</t>
        </is>
      </c>
      <c r="P300" s="29" t="inlineStr">
        <is>
          <t>Times Sq-42 St</t>
        </is>
      </c>
      <c r="Q300" s="29" t="inlineStr">
        <is>
          <t>EL play-espectaculo de Broadway: la precuela de Stranger Things con la maquinaria escenica que gano el Tony. Para quien viene de Mercer Labs, es el mismo musculo llevado al teatro.</t>
        </is>
      </c>
      <c r="R300" s="29" t="inlineStr">
        <is>
          <t>Marquis Theatre, 210 W 46th St</t>
        </is>
      </c>
      <c r="S300" s="17" t="inlineStr">
        <is>
          <t>Día 8 · sáb 5/9</t>
        </is>
      </c>
      <c r="T300" s="30" t="inlineStr">
        <is>
          <t>Abrir ↗</t>
        </is>
      </c>
      <c r="U300" s="31" t="inlineStr">
        <is>
          <t>otros</t>
        </is>
      </c>
      <c r="V300" s="20" t="inlineStr"/>
    </row>
    <row r="301" ht="46" customHeight="1">
      <c r="A301" s="23" t="inlineStr">
        <is>
          <t>TKTS Lincoln Center</t>
        </is>
      </c>
      <c r="B301" s="24" t="inlineStr">
        <is>
          <t>Tickets con descuento</t>
        </is>
      </c>
      <c r="C301" s="25" t="inlineStr">
        <is>
          <t>Teatro</t>
        </is>
      </c>
      <c r="D301" s="25" t="inlineStr">
        <is>
          <t>Lincoln Square</t>
        </is>
      </c>
      <c r="E301" s="25" t="inlineStr">
        <is>
          <t>Manhattan</t>
        </is>
      </c>
      <c r="F301" s="12" t="n">
        <v>0</v>
      </c>
      <c r="G301" s="12" t="n">
        <v>0</v>
      </c>
      <c r="H301" s="26">
        <f>IF(AND(F301=2,G301=2),"AMBOS",IF(AND(F301=2,G301&lt;2),"solo JP",IF(AND(F301&lt;2,G301=2),"solo Thais","-")))</f>
        <v/>
      </c>
      <c r="I301" s="27" t="n">
        <v>0</v>
      </c>
      <c r="J301" s="28" t="n">
        <v>0.75</v>
      </c>
      <c r="K301" s="26" t="inlineStr">
        <is>
          <t>no</t>
        </is>
      </c>
      <c r="L301" s="29" t="inlineStr">
        <is>
          <t>lunes: cerrado · martes a sábado: 11:00–18:00 · domingo: cerrado</t>
        </is>
      </c>
      <c r="M301" s="25" t="inlineStr">
        <is>
          <t>lunes y domingos</t>
        </is>
      </c>
      <c r="N301" s="29" t="inlineStr">
        <is>
          <t>—</t>
        </is>
      </c>
      <c r="O301" s="29" t="inlineStr">
        <is>
          <t>—</t>
        </is>
      </c>
      <c r="P301" s="29" t="inlineStr">
        <is>
          <t>66 St-Lincoln Center (1)</t>
        </is>
      </c>
      <c r="Q301" s="29" t="inlineStr">
        <is>
          <t>Mismo inventario que el booth de Times Square y casi siempre sin cola. Mar-sab 11-18h. Usar la app de TKTS para ver el inventario en tiempo real ANTES de ir. A 10 cuadras del hotel The Beacon.</t>
        </is>
      </c>
      <c r="R301" s="29" t="inlineStr">
        <is>
          <t>61 W 62nd St</t>
        </is>
      </c>
      <c r="S301" s="29" t="inlineStr">
        <is>
          <t>—</t>
        </is>
      </c>
      <c r="T301" s="30" t="inlineStr">
        <is>
          <t>Abrir ↗</t>
        </is>
      </c>
      <c r="U301" s="32" t="inlineStr">
        <is>
          <t>lista google</t>
        </is>
      </c>
      <c r="V301" s="20" t="inlineStr"/>
    </row>
    <row r="302" ht="46" customHeight="1">
      <c r="A302" s="9" t="inlineStr">
        <is>
          <t>NYC Ferry DUMBO → Wall St</t>
        </is>
      </c>
      <c r="B302" s="10" t="inlineStr">
        <is>
          <t>Ferry y teleférico</t>
        </is>
      </c>
      <c r="C302" s="11" t="inlineStr">
        <is>
          <t>Logística</t>
        </is>
      </c>
      <c r="D302" s="11" t="inlineStr">
        <is>
          <t>East River</t>
        </is>
      </c>
      <c r="E302" s="11" t="inlineStr">
        <is>
          <t>Manhattan</t>
        </is>
      </c>
      <c r="F302" s="12" t="n">
        <v>1</v>
      </c>
      <c r="G302" s="12" t="n">
        <v>1</v>
      </c>
      <c r="H302" s="13">
        <f>IF(AND(F302=2,G302=2),"AMBOS",IF(AND(F302=2,G302&lt;2),"solo JP",IF(AND(F302&lt;2,G302=2),"solo Thais","-")))</f>
        <v/>
      </c>
      <c r="I302" s="14" t="n">
        <v>4</v>
      </c>
      <c r="J302" s="15" t="n">
        <v>0.5</v>
      </c>
      <c r="K302" s="13" t="inlineStr">
        <is>
          <t>no</t>
        </is>
      </c>
      <c r="L302" s="16" t="inlineStr">
        <is>
          <t>—</t>
        </is>
      </c>
      <c r="M302" s="11" t="inlineStr">
        <is>
          <t>—</t>
        </is>
      </c>
      <c r="N302" s="16" t="inlineStr">
        <is>
          <t>—</t>
        </is>
      </c>
      <c r="O302" s="16" t="inlineStr">
        <is>
          <t>—</t>
        </is>
      </c>
      <c r="P302" s="16" t="inlineStr">
        <is>
          <t>Pier 1 DUMBO / Pier 11 Wall St</t>
        </is>
      </c>
      <c r="Q302" s="16" t="inlineStr">
        <is>
          <t>$4,50 y cruza el East River con el puente de Brooklyn de frente: la vista del crucero turístico por precio de subte.</t>
        </is>
      </c>
      <c r="R302" s="16" t="inlineStr"/>
      <c r="S302" s="16" t="inlineStr">
        <is>
          <t>—</t>
        </is>
      </c>
      <c r="T302" s="18" t="inlineStr">
        <is>
          <t>Abrir ↗</t>
        </is>
      </c>
      <c r="U302" s="19" t="inlineStr">
        <is>
          <t>lista google</t>
        </is>
      </c>
      <c r="V302" s="20" t="inlineStr"/>
    </row>
    <row r="303" ht="46" customHeight="1">
      <c r="A303" s="9" t="inlineStr">
        <is>
          <t>Hotel Ink48 (29-31 ago)</t>
        </is>
      </c>
      <c r="B303" s="10" t="inlineStr">
        <is>
          <t>Hotel</t>
        </is>
      </c>
      <c r="C303" s="11" t="inlineStr">
        <is>
          <t>Logística</t>
        </is>
      </c>
      <c r="D303" s="11" t="inlineStr">
        <is>
          <t>Hell's Kitchen</t>
        </is>
      </c>
      <c r="E303" s="11" t="inlineStr">
        <is>
          <t>Manhattan</t>
        </is>
      </c>
      <c r="F303" s="12" t="n">
        <v>2</v>
      </c>
      <c r="G303" s="12" t="n">
        <v>2</v>
      </c>
      <c r="H303" s="13">
        <f>IF(AND(F303=2,G303=2),"AMBOS",IF(AND(F303=2,G303&lt;2),"solo JP",IF(AND(F303&lt;2,G303=2),"solo Thais","-")))</f>
        <v/>
      </c>
      <c r="I303" s="14" t="n">
        <v>0</v>
      </c>
      <c r="J303" s="15" t="n">
        <v>0</v>
      </c>
      <c r="K303" s="13" t="inlineStr">
        <is>
          <t>no</t>
        </is>
      </c>
      <c r="L303" s="16" t="inlineStr">
        <is>
          <t>—</t>
        </is>
      </c>
      <c r="M303" s="11" t="inlineStr">
        <is>
          <t>—</t>
        </is>
      </c>
      <c r="N303" s="16" t="inlineStr">
        <is>
          <t>—</t>
        </is>
      </c>
      <c r="O303" s="16" t="inlineStr">
        <is>
          <t>—</t>
        </is>
      </c>
      <c r="P303" s="16" t="inlineStr">
        <is>
          <t>50 St (C,E) a ~12 min caminando</t>
        </is>
      </c>
      <c r="Q303" s="16" t="inlineStr">
        <is>
          <t>Base 29-31 de agosto. Esta lejos del subte (12 min al este hasta la 8va Av). Cerca: Intrepid, High Line norte, Hudson Yards, Birdland.</t>
        </is>
      </c>
      <c r="R303" s="16" t="inlineStr">
        <is>
          <t>653 11th Ave</t>
        </is>
      </c>
      <c r="S303" s="17" t="inlineStr">
        <is>
          <t>Día 1 · sáb 29/8, Día 3 · lun 31/8</t>
        </is>
      </c>
      <c r="T303" s="18" t="inlineStr">
        <is>
          <t>Abrir ↗</t>
        </is>
      </c>
      <c r="U303" s="19" t="inlineStr">
        <is>
          <t>lista google</t>
        </is>
      </c>
      <c r="V303" s="20" t="inlineStr"/>
    </row>
    <row r="304" ht="46" customHeight="1">
      <c r="A304" s="9" t="inlineStr">
        <is>
          <t>Hotel The Beacon (3-6 sep)</t>
        </is>
      </c>
      <c r="B304" s="10" t="inlineStr">
        <is>
          <t>Hotel</t>
        </is>
      </c>
      <c r="C304" s="11" t="inlineStr">
        <is>
          <t>Logística</t>
        </is>
      </c>
      <c r="D304" s="11" t="inlineStr">
        <is>
          <t>Upper West Side</t>
        </is>
      </c>
      <c r="E304" s="11" t="inlineStr">
        <is>
          <t>Manhattan</t>
        </is>
      </c>
      <c r="F304" s="12" t="n">
        <v>2</v>
      </c>
      <c r="G304" s="12" t="n">
        <v>2</v>
      </c>
      <c r="H304" s="13">
        <f>IF(AND(F304=2,G304=2),"AMBOS",IF(AND(F304=2,G304&lt;2),"solo JP",IF(AND(F304&lt;2,G304=2),"solo Thais","-")))</f>
        <v/>
      </c>
      <c r="I304" s="14" t="n">
        <v>0</v>
      </c>
      <c r="J304" s="15" t="n">
        <v>0</v>
      </c>
      <c r="K304" s="13" t="inlineStr">
        <is>
          <t>no</t>
        </is>
      </c>
      <c r="L304" s="16" t="inlineStr">
        <is>
          <t>—</t>
        </is>
      </c>
      <c r="M304" s="11" t="inlineStr">
        <is>
          <t>—</t>
        </is>
      </c>
      <c r="N304" s="16" t="inlineStr">
        <is>
          <t>—</t>
        </is>
      </c>
      <c r="O304" s="16" t="inlineStr">
        <is>
          <t>—</t>
        </is>
      </c>
      <c r="P304" s="16" t="inlineStr">
        <is>
          <t>72 St (1,2,3) a 3 cuadras</t>
        </is>
      </c>
      <c r="Q304" s="16" t="inlineStr">
        <is>
          <t>Base 3-6 de septiembre. Ubicacion excelente: la 1/2/3 llega a Penn Station en 10 min. Cerca: Central Park, AMNH, TKTS Lincoln Center, Dizzy's.</t>
        </is>
      </c>
      <c r="R304" s="16" t="inlineStr">
        <is>
          <t>2130 Broadway</t>
        </is>
      </c>
      <c r="S304" s="17" t="inlineStr">
        <is>
          <t>Día 6 · jue 3/9, Día 9 · dom 6/9</t>
        </is>
      </c>
      <c r="T304" s="18" t="inlineStr">
        <is>
          <t>Abrir ↗</t>
        </is>
      </c>
      <c r="U304" s="19" t="inlineStr">
        <is>
          <t>lista google</t>
        </is>
      </c>
      <c r="V304" s="20" t="inlineStr"/>
    </row>
    <row r="305" ht="46" customHeight="1">
      <c r="A305" s="9" t="inlineStr">
        <is>
          <t>JGSTAY SoHo (JP: 31 ago-2 sep)</t>
        </is>
      </c>
      <c r="B305" s="10" t="inlineStr">
        <is>
          <t>Hotel</t>
        </is>
      </c>
      <c r="C305" s="11" t="inlineStr">
        <is>
          <t>Logística</t>
        </is>
      </c>
      <c r="D305" s="11" t="inlineStr">
        <is>
          <t>SoHo</t>
        </is>
      </c>
      <c r="E305" s="11" t="inlineStr">
        <is>
          <t>Manhattan</t>
        </is>
      </c>
      <c r="F305" s="12" t="n">
        <v>2</v>
      </c>
      <c r="G305" s="12" t="n">
        <v>0</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Canal St: la del 6/J/Z esta EN la esquina (Lafayette y Canal); N/Q/R/W a 2 cuadras</t>
        </is>
      </c>
      <c r="Q305" s="16" t="inlineStr">
        <is>
          <t>Base de JP lunes y martes a la noche: se acabaron las dos vueltas nocturnas a New Jersey. Recepcion 24 h, CONSIGNA de equipaje y desayuno incluido 7-9 AM. Canal St al lado = 6 directo al MET y Grand Central, A/C al AMNH, y el Village a 15-20 min a pie.</t>
        </is>
      </c>
      <c r="R305" s="16" t="inlineStr">
        <is>
          <t>120 Lafayette St, NY 10013</t>
        </is>
      </c>
      <c r="S305" s="17" t="inlineStr">
        <is>
          <t>Día 3 · lun 31/8, Día 4 · mar 1/9, Día 5 · mié 2/9</t>
        </is>
      </c>
      <c r="T305" s="18" t="inlineStr">
        <is>
          <t>Abrir ↗</t>
        </is>
      </c>
      <c r="U305" s="21" t="inlineStr">
        <is>
          <t>otros</t>
        </is>
      </c>
      <c r="V305" s="20" t="inlineStr"/>
    </row>
    <row r="306" ht="46" customHeight="1">
      <c r="A306" s="9" t="inlineStr">
        <is>
          <t>Residence Inn Branchburg (Thais 31/8-3/9 · JP solo la noche del 2)</t>
        </is>
      </c>
      <c r="B306" s="10" t="inlineStr">
        <is>
          <t>Hotel</t>
        </is>
      </c>
      <c r="C306" s="11" t="inlineStr">
        <is>
          <t>Logística</t>
        </is>
      </c>
      <c r="D306" s="11" t="inlineStr">
        <is>
          <t>Branchburg</t>
        </is>
      </c>
      <c r="E306" s="11" t="inlineStr">
        <is>
          <t>New Jersey</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Estacion Raritan (NJ Transit RVL) a 6,4 km</t>
        </is>
      </c>
      <c r="Q306" s="16" t="inlineStr">
        <is>
          <t>Base en NJ. NO tiene shuttle (confirmado por Marriott). Estacionamiento propio gratis. Para llegar al tren hay que tomar Uber (~$14-20 por tramo a Raritan).</t>
        </is>
      </c>
      <c r="R306" s="16" t="inlineStr">
        <is>
          <t>3241 US Highway 22 East, Branchburg NJ</t>
        </is>
      </c>
      <c r="S306" s="17" t="inlineStr">
        <is>
          <t>Día 5 · mié 2/9, Día 6 · jue 3/9</t>
        </is>
      </c>
      <c r="T306" s="18" t="inlineStr">
        <is>
          <t>Abrir ↗</t>
        </is>
      </c>
      <c r="U306" s="19" t="inlineStr">
        <is>
          <t>lista google</t>
        </is>
      </c>
      <c r="V306" s="20" t="inlineStr"/>
    </row>
  </sheetData>
  <autoFilter ref="A4:V306"/>
  <mergeCells count="2">
    <mergeCell ref="A2:V2"/>
    <mergeCell ref="A1:V1"/>
  </mergeCells>
  <conditionalFormatting sqref="H5:H306">
    <cfRule type="cellIs" priority="1" operator="equal" dxfId="0">
      <formula>"AMBOS"</formula>
    </cfRule>
  </conditionalFormatting>
  <dataValidations count="2">
    <dataValidation sqref="F5:G306" showDropDown="0" showInputMessage="0" showErrorMessage="0" allowBlank="0" errorTitle="Valor inválido" error="Solo 0, 1 o 2" promptTitle="Nivel de interés" prompt="0 = no me interesa · 1 = quizás · 2 = sí quiero" type="list">
      <formula1>"0,1,2"</formula1>
    </dataValidation>
    <dataValidation sqref="V5:V306"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2"/>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0" s="37" t="inlineStr">
        <is>
          <t>Stone St</t>
        </is>
      </c>
      <c r="G110" s="40" t="inlineStr">
        <is>
          <t>🚶 ~14 min a pie · 1.1 km · estimado</t>
        </is>
      </c>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~20 min a pie (1.2 km) o 🚇 ~15 min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MoMA PS1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PS1, que cierra a las 18:00.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15:30</t>
        </is>
      </c>
      <c r="D172" s="38" t="inlineStr">
        <is>
          <t>Ambos</t>
        </is>
      </c>
      <c r="E172" s="39" t="inlineStr">
        <is>
          <t>SALIR 15:05 de Four Freedoms Park y caminar 15 min al norte por el borde del río hasta la ESTACIÓN DEL F, que está en el medio de la isla (Main St y Roosevelt Island Bridge). Hoy NO se vuelve en teleférico: se cruza a Queens por abajo.</t>
        </is>
      </c>
      <c r="F172" s="37" t="inlineStr"/>
      <c r="G172" s="40" t="inlineStr"/>
      <c r="H172" s="41" t="inlineStr"/>
      <c r="I172" s="41" t="inlineStr"/>
    </row>
    <row r="173" ht="30" customHeight="1">
      <c r="A173" s="35" t="n"/>
      <c r="B173" s="36" t="inlineStr">
        <is>
          <t>15:30</t>
        </is>
      </c>
      <c r="C173" s="37" t="inlineStr">
        <is>
          <t>15:45</t>
        </is>
      </c>
      <c r="D173" s="38" t="inlineStr">
        <is>
          <t>Ambos</t>
        </is>
      </c>
      <c r="E173" s="39" t="inlineStr">
        <is>
          <t>Subte F, UNA parada: Roosevelt Island → 21 St-Queensbridge (~4 min). Salir y caminar 12-15 min al sur por 21st St / Jackson Ave.</t>
        </is>
      </c>
      <c r="F173" s="37" t="inlineStr"/>
      <c r="G173" s="40" t="inlineStr"/>
      <c r="H173" s="41" t="inlineStr"/>
      <c r="I173" s="41" t="inlineStr"/>
    </row>
    <row r="174" ht="30" customHeight="1">
      <c r="A174" s="35" t="n"/>
      <c r="B174" s="42" t="inlineStr">
        <is>
          <t>15:45</t>
        </is>
      </c>
      <c r="C174" s="43" t="inlineStr">
        <is>
          <t>17:45</t>
        </is>
      </c>
      <c r="D174" s="44" t="inlineStr">
        <is>
          <t>Ambos</t>
        </is>
      </c>
      <c r="E174"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4" s="43" t="inlineStr">
        <is>
          <t>MoMA PS1</t>
        </is>
      </c>
      <c r="G174" s="40" t="inlineStr"/>
      <c r="H174" s="41" t="inlineStr"/>
      <c r="I174" s="41" t="inlineStr"/>
    </row>
    <row r="175" ht="30" customHeight="1">
      <c r="A175" s="35" t="n"/>
      <c r="B175" s="36" t="inlineStr">
        <is>
          <t>17:45</t>
        </is>
      </c>
      <c r="C175" s="37" t="inlineStr">
        <is>
          <t>18:20</t>
        </is>
      </c>
      <c r="D175" s="38" t="inlineStr">
        <is>
          <t>Ambos</t>
        </is>
      </c>
      <c r="E175" s="39" t="inlineStr">
        <is>
          <t>Del PS1 al hotel: subte 7 desde Court Sq hasta Times Sq y 1/2/3 hasta 72 St, o E/M hasta 53 St (~45 min). Llegan 18:30, justo para las valijas. El vuelo no se toca.</t>
        </is>
      </c>
      <c r="F175" s="37" t="inlineStr"/>
      <c r="G175" s="40" t="inlineStr"/>
      <c r="H175" s="41" t="inlineStr"/>
      <c r="I175" s="41" t="inlineStr"/>
    </row>
    <row r="176" ht="30" customHeight="1">
      <c r="A176" s="35" t="n"/>
      <c r="B176" s="36" t="inlineStr">
        <is>
          <t>18:20</t>
        </is>
      </c>
      <c r="C176" s="37" t="inlineStr">
        <is>
          <t>18:30</t>
        </is>
      </c>
      <c r="D176" s="38" t="inlineStr">
        <is>
          <t>Ambos</t>
        </is>
      </c>
      <c r="E176"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6" s="37" t="inlineStr"/>
      <c r="G176" s="40" t="inlineStr"/>
      <c r="H176" s="41" t="inlineStr"/>
      <c r="I176" s="41" t="inlineStr"/>
    </row>
    <row r="177" ht="16" customHeight="1">
      <c r="A177" s="35" t="n"/>
      <c r="B177" s="36" t="inlineStr">
        <is>
          <t>18:30</t>
        </is>
      </c>
      <c r="C177" s="37" t="inlineStr">
        <is>
          <t>19:40</t>
        </is>
      </c>
      <c r="D177" s="38" t="inlineStr">
        <is>
          <t>Ambos</t>
        </is>
      </c>
      <c r="E177" s="39" t="inlineStr">
        <is>
          <t>Retirar las valijas del bell desk. Cena tranquila cerca del hotel: es la última.</t>
        </is>
      </c>
      <c r="F177" s="37" t="inlineStr"/>
      <c r="G177" s="40" t="inlineStr"/>
      <c r="H177" s="41" t="inlineStr"/>
      <c r="I177" s="41" t="inlineStr"/>
    </row>
    <row r="178" ht="16" customHeight="1">
      <c r="A178" s="35" t="n"/>
      <c r="B178" s="36" t="inlineStr">
        <is>
          <t>19:40</t>
        </is>
      </c>
      <c r="C178" s="37" t="inlineStr">
        <is>
          <t>20:14</t>
        </is>
      </c>
      <c r="D178" s="38" t="inlineStr">
        <is>
          <t>Ambos</t>
        </is>
      </c>
      <c r="E178" s="39" t="inlineStr">
        <is>
          <t>Salir de The Beacon. Subte 1/2/3 desde 72 St hasta 34 St-Penn Station: ~10 min, $3.</t>
        </is>
      </c>
      <c r="F178" s="37" t="inlineStr"/>
      <c r="G178" s="40" t="inlineStr"/>
      <c r="H178" s="41" t="inlineStr"/>
      <c r="I178" s="41" t="inlineStr"/>
    </row>
    <row r="179" ht="30" customHeight="1">
      <c r="A179" s="35" t="n"/>
      <c r="B179" s="36" t="inlineStr">
        <is>
          <t>20:14</t>
        </is>
      </c>
      <c r="C179" s="37" t="inlineStr">
        <is>
          <t>20:45</t>
        </is>
      </c>
      <c r="D179" s="38" t="inlineStr">
        <is>
          <t>Ambos</t>
        </is>
      </c>
      <c r="E179" s="39" t="inlineStr">
        <is>
          <t>NJ Transit Penn Station → EWR, llega 20:38. $17,25 (incluye el AirTrain). VERIFICAR el horario dominical en njtransit.com unos días antes.</t>
        </is>
      </c>
      <c r="F179" s="37" t="inlineStr"/>
      <c r="G179" s="40" t="inlineStr"/>
      <c r="H179" s="41" t="inlineStr"/>
      <c r="I179" s="41" t="inlineStr"/>
    </row>
    <row r="180" ht="16" customHeight="1">
      <c r="A180" s="35" t="n"/>
      <c r="B180" s="36" t="inlineStr">
        <is>
          <t>20:45</t>
        </is>
      </c>
      <c r="C180" s="37" t="inlineStr">
        <is>
          <t>20:55</t>
        </is>
      </c>
      <c r="D180" s="38" t="inlineStr">
        <is>
          <t>Ambos</t>
        </is>
      </c>
      <c r="E180" s="39" t="inlineStr">
        <is>
          <t>AirTrain hasta la terminal: 10-15 min.</t>
        </is>
      </c>
      <c r="F180" s="37" t="inlineStr"/>
      <c r="G180" s="40" t="inlineStr"/>
      <c r="H180" s="41" t="inlineStr"/>
      <c r="I180" s="41" t="inlineStr"/>
    </row>
    <row r="181" ht="30" customHeight="1">
      <c r="A181" s="35" t="n"/>
      <c r="B181" s="36" t="inlineStr">
        <is>
          <t>20:55</t>
        </is>
      </c>
      <c r="C181" s="37" t="inlineStr"/>
      <c r="D181" s="38" t="inlineStr">
        <is>
          <t>Ambos</t>
        </is>
      </c>
      <c r="E181" s="39" t="inlineStr">
        <is>
          <t>En terminal. Faltan 2h45 para el vuelo de las 23:40 — correcto para un internacional en el domingo de Labor Day, que es la noche de más tráfico del año en EWR.</t>
        </is>
      </c>
      <c r="F181" s="37" t="inlineStr"/>
      <c r="G181" s="40" t="inlineStr"/>
      <c r="H181" s="41" t="inlineStr"/>
      <c r="I181" s="41" t="inlineStr"/>
    </row>
    <row r="182" ht="32" customHeight="1">
      <c r="A182"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G1"/>
    <mergeCell ref="A68:I68"/>
    <mergeCell ref="A28:I28"/>
    <mergeCell ref="A161:I161"/>
    <mergeCell ref="A44:I44"/>
    <mergeCell ref="A102:I102"/>
    <mergeCell ref="A67:I67"/>
    <mergeCell ref="A83:I83"/>
    <mergeCell ref="A142:I142"/>
    <mergeCell ref="A182:I182"/>
    <mergeCell ref="A123:I123"/>
    <mergeCell ref="A2:G2"/>
    <mergeCell ref="A6:I6"/>
  </mergeCells>
  <dataValidations count="1">
    <dataValidation sqref="H5:H184"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SUMIF(Lugares!$F$5:$F$306,2,Lugares!$I$5:$I$306)-SUMIFS(Lugares!$I$5:$I$306,Lugares!$F$5:$F$306,2,Lugares!$C$5:$C$306,"Comida")-SUMIFS(Lugares!$I$5:$I$306,Lugares!$F$5:$F$306,2,Lugares!$C$5:$C$306,"Música")</f>
        <v/>
      </c>
      <c r="C5" s="48">
        <f>SUMIF(Lugares!$G$5:$G$306,2,Lugares!$I$5:$I$306)-SUMIFS(Lugares!$I$5:$I$306,Lugares!$G$5:$G$306,2,Lugares!$C$5:$C$306,"Comida")-SUMIFS(Lugares!$I$5:$I$306,Lugares!$G$5:$G$306,2,Lugares!$C$5:$C$306,"Música")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y preguntar DOS cosas: si la rotonda está abierta y si sigue el pay-what-you-wish</t>
        </is>
      </c>
      <c r="C16" s="59" t="inlineStr">
        <is>
          <t>La mañana del domingo 6, antes de salir del hotel</t>
        </is>
      </c>
      <c r="D16" s="59" t="inlineStr">
        <is>
          <t>guggenheim.org / +1 212-423-3500</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2026-08-28T01:43:28Z</dcterms:created>
  <dcterms:modified xsi:type="dcterms:W3CDTF">2026-08-28T01:43:28Z</dcterms:modified>
</cp:coreProperties>
</file>