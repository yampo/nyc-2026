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ÉEME" sheetId="1" state="visible" r:id="rId1"/>
    <sheet name="Lugares" sheetId="2" state="visible" r:id="rId2"/>
    <sheet name="Itinerario" sheetId="3" state="visible" r:id="rId3"/>
    <sheet name="Costos" sheetId="4" state="visible" r:id="rId4"/>
    <sheet name="Transporte" sheetId="5" state="visible" r:id="rId5"/>
    <sheet name="Pases" sheetId="6" state="visible" r:id="rId6"/>
    <sheet name="Reservas" sheetId="7" state="visible" r:id="rId7"/>
    <sheet name="Decisiones" sheetId="8" state="visible" r:id="rId8"/>
  </sheets>
  <definedNames>
    <definedName name="_xlnm._FilterDatabase" localSheetId="1" hidden="1">'Lugares'!$A$4:$V$308</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
  </numFmts>
  <fonts count="21">
    <font>
      <name val="Calibri"/>
      <family val="2"/>
      <color theme="1"/>
      <sz val="11"/>
      <scheme val="minor"/>
    </font>
    <font>
      <name val="Arial"/>
      <b val="1"/>
      <color rgb="001F3864"/>
      <sz val="16"/>
    </font>
    <font>
      <name val="Arial"/>
      <i val="1"/>
      <color rgb="00595959"/>
      <sz val="9"/>
    </font>
    <font>
      <name val="Arial"/>
      <b val="1"/>
      <color rgb="001F3864"/>
      <sz val="10"/>
    </font>
    <font>
      <name val="Arial"/>
      <b val="1"/>
      <sz val="10"/>
    </font>
    <font>
      <name val="Arial"/>
      <sz val="10"/>
    </font>
    <font>
      <name val="Arial"/>
      <b val="1"/>
      <color rgb="00FFFFFF"/>
      <sz val="10"/>
    </font>
    <font>
      <name val="Arial"/>
      <b val="1"/>
      <color rgb="000000FF"/>
      <sz val="10"/>
    </font>
    <font>
      <name val="Arial"/>
      <color rgb="000563C1"/>
      <sz val="10"/>
      <u val="single"/>
    </font>
    <font>
      <name val="Arial"/>
      <b val="1"/>
      <color rgb="005B3A91"/>
      <sz val="10"/>
    </font>
    <font>
      <name val="Arial"/>
      <b val="1"/>
      <color rgb="008A6008"/>
      <sz val="10"/>
    </font>
    <font>
      <name val="Arial"/>
      <b val="1"/>
      <color rgb="001F6B3A"/>
      <sz val="10"/>
    </font>
    <font>
      <name val="Arial"/>
      <b val="1"/>
      <color rgb="007A736A"/>
      <sz val="10"/>
    </font>
    <font>
      <name val="Arial"/>
      <b val="1"/>
      <color rgb="00FFFFFF"/>
      <sz val="12"/>
    </font>
    <font>
      <name val="Arial"/>
      <color rgb="00595959"/>
      <sz val="9"/>
    </font>
    <font>
      <name val="Arial"/>
      <sz val="9"/>
    </font>
    <font>
      <name val="Arial"/>
      <i val="1"/>
      <color rgb="00833C00"/>
      <sz val="9"/>
    </font>
    <font>
      <name val="Arial"/>
      <color rgb="00FFFFFF"/>
      <sz val="9"/>
    </font>
    <font>
      <name val="Arial"/>
      <b val="1"/>
      <color rgb="001F3864"/>
      <sz val="11"/>
    </font>
    <font>
      <name val="Arial"/>
      <b val="1"/>
      <color rgb="001F6F3D"/>
      <sz val="10"/>
    </font>
    <font>
      <name val="Arial"/>
      <b val="1"/>
      <color rgb="00FFFFFF"/>
      <sz val="13"/>
    </font>
  </fonts>
  <fills count="9">
    <fill>
      <patternFill/>
    </fill>
    <fill>
      <patternFill patternType="gray125"/>
    </fill>
    <fill>
      <patternFill patternType="solid">
        <fgColor rgb="00DDEBF7"/>
      </patternFill>
    </fill>
    <fill>
      <patternFill patternType="solid">
        <fgColor rgb="001F3864"/>
      </patternFill>
    </fill>
    <fill>
      <patternFill patternType="solid">
        <fgColor rgb="00FFF2CC"/>
      </patternFill>
    </fill>
    <fill>
      <patternFill patternType="solid">
        <fgColor rgb="00E2EFDA"/>
      </patternFill>
    </fill>
    <fill>
      <patternFill patternType="solid">
        <fgColor rgb="00FCE4D6"/>
      </patternFill>
    </fill>
    <fill>
      <patternFill patternType="solid">
        <fgColor rgb="00F2F2F2"/>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3" fillId="2" borderId="0" pivotButton="0" quotePrefix="0" xfId="0"/>
    <xf numFmtId="0" fontId="3" fillId="2" borderId="0" applyAlignment="1" pivotButton="0" quotePrefix="0" xfId="0">
      <alignment vertical="top" wrapText="1"/>
    </xf>
    <xf numFmtId="0" fontId="6" fillId="3" borderId="1" applyAlignment="1" pivotButton="0" quotePrefix="0" xfId="0">
      <alignment horizontal="center" vertical="center" wrapText="1"/>
    </xf>
    <xf numFmtId="0" fontId="4" fillId="0" borderId="1" applyAlignment="1" pivotButton="0" quotePrefix="0" xfId="0">
      <alignment horizontal="left" vertical="top"/>
    </xf>
    <xf numFmtId="0" fontId="3" fillId="0" borderId="1" applyAlignment="1" pivotButton="0" quotePrefix="0" xfId="0">
      <alignment horizontal="left" vertical="top"/>
    </xf>
    <xf numFmtId="0" fontId="5" fillId="0" borderId="1" applyAlignment="1" pivotButton="0" quotePrefix="0" xfId="0">
      <alignment horizontal="left" vertical="top"/>
    </xf>
    <xf numFmtId="0" fontId="7" fillId="4" borderId="1" applyAlignment="1" pivotButton="0" quotePrefix="0" xfId="0">
      <alignment horizontal="center" vertical="top"/>
    </xf>
    <xf numFmtId="0" fontId="5" fillId="0" borderId="1" applyAlignment="1" pivotButton="0" quotePrefix="0" xfId="0">
      <alignment horizontal="center" vertical="top"/>
    </xf>
    <xf numFmtId="164" fontId="5" fillId="0" borderId="1" applyAlignment="1" pivotButton="0" quotePrefix="0" xfId="0">
      <alignment horizontal="center" vertical="top"/>
    </xf>
    <xf numFmtId="165" fontId="5" fillId="0" borderId="1" applyAlignment="1" pivotButton="0" quotePrefix="0" xfId="0">
      <alignment horizontal="center" vertical="top"/>
    </xf>
    <xf numFmtId="0" fontId="5" fillId="0" borderId="1" applyAlignment="1" pivotButton="0" quotePrefix="0" xfId="0">
      <alignment horizontal="left" vertical="top" wrapText="1"/>
    </xf>
    <xf numFmtId="0" fontId="11" fillId="5" borderId="1" applyAlignment="1" pivotButton="0" quotePrefix="0" xfId="0">
      <alignment horizontal="left" vertical="top" wrapText="1"/>
    </xf>
    <xf numFmtId="0" fontId="8" fillId="0" borderId="0" pivotButton="0" quotePrefix="0" xfId="0"/>
    <xf numFmtId="0" fontId="9" fillId="0" borderId="0" pivotButton="0" quotePrefix="0" xfId="0"/>
    <xf numFmtId="0" fontId="10" fillId="4" borderId="0" applyAlignment="1" pivotButton="0" quotePrefix="0" xfId="0">
      <alignment horizontal="center"/>
    </xf>
    <xf numFmtId="0" fontId="12" fillId="0" borderId="0" pivotButton="0" quotePrefix="0" xfId="0"/>
    <xf numFmtId="0" fontId="5" fillId="5" borderId="1" applyAlignment="1" pivotButton="0" quotePrefix="0" xfId="0">
      <alignment horizontal="left" vertical="top" wrapText="1"/>
    </xf>
    <xf numFmtId="0" fontId="4" fillId="6" borderId="1" applyAlignment="1" pivotButton="0" quotePrefix="0" xfId="0">
      <alignment horizontal="left" vertical="top"/>
    </xf>
    <xf numFmtId="0" fontId="3" fillId="6" borderId="1" applyAlignment="1" pivotButton="0" quotePrefix="0" xfId="0">
      <alignment horizontal="left" vertical="top"/>
    </xf>
    <xf numFmtId="0" fontId="5" fillId="6" borderId="1" applyAlignment="1" pivotButton="0" quotePrefix="0" xfId="0">
      <alignment horizontal="left" vertical="top"/>
    </xf>
    <xf numFmtId="0" fontId="5" fillId="6" borderId="1" applyAlignment="1" pivotButton="0" quotePrefix="0" xfId="0">
      <alignment horizontal="center" vertical="top"/>
    </xf>
    <xf numFmtId="164" fontId="5" fillId="6" borderId="1" applyAlignment="1" pivotButton="0" quotePrefix="0" xfId="0">
      <alignment horizontal="center" vertical="top"/>
    </xf>
    <xf numFmtId="165" fontId="5" fillId="6" borderId="1" applyAlignment="1" pivotButton="0" quotePrefix="0" xfId="0">
      <alignment horizontal="center" vertical="top"/>
    </xf>
    <xf numFmtId="0" fontId="5" fillId="6" borderId="1" applyAlignment="1" pivotButton="0" quotePrefix="0" xfId="0">
      <alignment horizontal="left" vertical="top" wrapText="1"/>
    </xf>
    <xf numFmtId="0" fontId="8" fillId="6" borderId="0" pivotButton="0" quotePrefix="0" xfId="0"/>
    <xf numFmtId="0" fontId="12" fillId="6" borderId="0" pivotButton="0" quotePrefix="0" xfId="0"/>
    <xf numFmtId="0" fontId="9" fillId="6" borderId="0" pivotButton="0" quotePrefix="0" xfId="0"/>
    <xf numFmtId="0" fontId="13" fillId="3" borderId="0" applyAlignment="1" pivotButton="0" quotePrefix="0" xfId="0">
      <alignment vertical="center" indent="1"/>
    </xf>
    <xf numFmtId="0" fontId="2" fillId="7" borderId="0" applyAlignment="1" pivotButton="0" quotePrefix="0" xfId="0">
      <alignment vertical="center" wrapText="1"/>
    </xf>
    <xf numFmtId="0" fontId="0" fillId="0" borderId="1" pivotButton="0" quotePrefix="0" xfId="0"/>
    <xf numFmtId="0" fontId="4" fillId="0" borderId="1" pivotButton="0" quotePrefix="0" xfId="0"/>
    <xf numFmtId="0" fontId="14" fillId="0" borderId="1" pivotButton="0" quotePrefix="0" xfId="0"/>
    <xf numFmtId="0" fontId="15" fillId="0" borderId="1" pivotButton="0" quotePrefix="0" xfId="0"/>
    <xf numFmtId="0" fontId="5" fillId="0" borderId="1" applyAlignment="1" pivotButton="0" quotePrefix="0" xfId="0">
      <alignment vertical="top" wrapText="1"/>
    </xf>
    <xf numFmtId="0" fontId="2" fillId="0" borderId="1" applyAlignment="1" pivotButton="0" quotePrefix="0" xfId="0">
      <alignment vertical="top" wrapText="1"/>
    </xf>
    <xf numFmtId="0" fontId="0" fillId="4" borderId="1" pivotButton="0" quotePrefix="0" xfId="0"/>
    <xf numFmtId="0" fontId="4" fillId="5" borderId="1" pivotButton="0" quotePrefix="0" xfId="0"/>
    <xf numFmtId="0" fontId="14" fillId="5" borderId="1" pivotButton="0" quotePrefix="0" xfId="0"/>
    <xf numFmtId="0" fontId="15" fillId="5" borderId="1" pivotButton="0" quotePrefix="0" xfId="0"/>
    <xf numFmtId="0" fontId="4" fillId="5" borderId="1" applyAlignment="1" pivotButton="0" quotePrefix="0" xfId="0">
      <alignment vertical="top" wrapText="1"/>
    </xf>
    <xf numFmtId="0" fontId="16" fillId="6" borderId="0" applyAlignment="1" pivotButton="0" quotePrefix="0" xfId="0">
      <alignment vertical="center" wrapText="1"/>
    </xf>
    <xf numFmtId="0" fontId="5" fillId="0" borderId="1" pivotButton="0" quotePrefix="0" xfId="0"/>
    <xf numFmtId="164" fontId="5" fillId="0" borderId="1" pivotButton="0" quotePrefix="0" xfId="0"/>
    <xf numFmtId="164" fontId="4" fillId="0" borderId="1" pivotButton="0" quotePrefix="0" xfId="0"/>
    <xf numFmtId="0" fontId="14" fillId="0" borderId="1" applyAlignment="1" pivotButton="0" quotePrefix="0" xfId="0">
      <alignment vertical="top" wrapText="1"/>
    </xf>
    <xf numFmtId="0" fontId="13" fillId="3" borderId="1" pivotButton="0" quotePrefix="0" xfId="0"/>
    <xf numFmtId="166" fontId="13" fillId="3" borderId="1" pivotButton="0" quotePrefix="0" xfId="0"/>
    <xf numFmtId="0" fontId="17" fillId="3" borderId="1" pivotButton="0" quotePrefix="0" xfId="0"/>
    <xf numFmtId="0" fontId="18" fillId="0" borderId="0" pivotButton="0" quotePrefix="0" xfId="0"/>
    <xf numFmtId="0" fontId="5" fillId="5" borderId="1" pivotButton="0" quotePrefix="0" xfId="0"/>
    <xf numFmtId="0" fontId="19" fillId="0" borderId="0" applyAlignment="1" pivotButton="0" quotePrefix="0" xfId="0">
      <alignment wrapText="1"/>
    </xf>
    <xf numFmtId="0" fontId="4" fillId="2"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vertical="top" wrapText="1"/>
    </xf>
    <xf numFmtId="0" fontId="20" fillId="8" borderId="0" applyAlignment="1" pivotButton="0" quotePrefix="0" xfId="0">
      <alignment vertical="center" wrapText="1" indent="1"/>
    </xf>
    <xf numFmtId="0" fontId="4" fillId="0" borderId="1" applyAlignment="1" pivotButton="0" quotePrefix="0" xfId="0">
      <alignment vertical="top" wrapText="1"/>
    </xf>
    <xf numFmtId="0" fontId="5" fillId="4" borderId="0" applyAlignment="1" pivotButton="0" quotePrefix="0" xfId="0">
      <alignment vertical="top" wrapText="1"/>
    </xf>
  </cellXfs>
  <cellStyles count="1">
    <cellStyle name="Normal" xfId="0" builtinId="0" hidden="0"/>
  </cellStyles>
  <dxfs count="1">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Plan NYC</author>
  </authors>
  <commentList>
    <comment ref="I5" authorId="0" shapeId="0">
      <text>
        <t>$3 por sentido (OMNY). Hay que pagar de nuevo para volver.</t>
      </text>
    </comment>
    <comment ref="U5" authorId="0" shapeId="0">
      <text>
        <t>En la lista de Google figura como: Teleférico Isla Roosevelt
(coincide con lo que habíamos propuesto nosotros)</t>
      </text>
    </comment>
    <comment ref="I6" authorId="0" shapeId="0">
      <text>
        <t>GRATIS, 24/7</t>
      </text>
    </comment>
    <comment ref="U6" authorId="0" shapeId="0">
      <text>
        <t>En la lista de Google figura como: Staten Island Ferry
(coincide con lo que habíamos propuesto nosotros)</t>
      </text>
    </comment>
    <comment ref="U7" authorId="0" shapeId="0">
      <text>
        <t>En la lista de Google figura como: Brooklyn Heights Promenade
(coincide con lo que habíamos propuesto nosotros)</t>
      </text>
    </comment>
    <comment ref="U17" authorId="0" shapeId="0">
      <text>
        <t>En la lista de Google figura como: Sunset Park
(coincide con lo que habíamos propuesto nosotros)</t>
      </text>
    </comment>
    <comment ref="I18" authorId="0" shapeId="0">
      <text>
        <t>Advance Saver $34 reservando 14+ dias antes. GA $42+$2. Flex $73.</t>
      </text>
    </comment>
    <comment ref="U18" authorId="0" shapeId="0">
      <text>
        <t>En la lista de Google figura como: Edge NYC
(coincide con lo que habíamos propuesto nosotros)</t>
      </text>
    </comment>
    <comment ref="I19" authorId="0" shapeId="0">
      <text>
        <t>$44 + $5 booking fee (86th). 86th+102nd $79+$5.</t>
      </text>
    </comment>
    <comment ref="I20" authorId="0" shapeId="0">
      <text>
        <t>$44+$3.50. 50% OFF despues de las 20:00 (~$22).</t>
      </text>
    </comment>
    <comment ref="I21" authorId="0" shapeId="0">
      <text>
        <t>desde $44 (incl. $3 fee). Atardecer $57-63. NO esta en ningun pase.</t>
      </text>
    </comment>
    <comment ref="U21" authorId="0" shapeId="0">
      <text>
        <t>En la lista de Google figura como: SUMMIT One Vanderbilt
(coincide con lo que habíamos propuesto nosotros)</t>
      </text>
    </comment>
    <comment ref="I22" authorId="0" shapeId="0">
      <text>
        <t>desde $42, hasta $65 en horario pico. Incluido en CityPASS C3 y Go City.</t>
      </text>
    </comment>
    <comment ref="U22" authorId="0" shapeId="0">
      <text>
        <t>En la lista de Google figura como: Top of The Rock
(coincide con lo que habíamos propuesto nosotros)</t>
      </text>
    </comment>
    <comment ref="I23" authorId="0" shapeId="0">
      <text>
        <t>Coctel ~$26-32. Sin cover: se paga lo que se toma. Reserva por SevenRooms desde su web.</t>
      </text>
    </comment>
    <comment ref="I24" authorId="0" shapeId="0">
      <text>
        <t>estimado, sin verificar contra la fuente</t>
      </text>
    </comment>
    <comment ref="I25" authorId="0" shapeId="0">
      <text>
        <t>Sin cover. Happy hour mar-vie 16-18h.</t>
      </text>
    </comment>
    <comment ref="U25" authorId="0" shapeId="0">
      <text>
        <t>En la lista de Google figura como: The Crown
(coincide con lo que habíamos propuesto nosotros)</t>
      </text>
    </comment>
    <comment ref="I26" authorId="0" shapeId="0">
      <text>
        <t>Sin cover. Precio de un trago (~$20).</t>
      </text>
    </comment>
    <comment ref="U26" authorId="0" shapeId="0">
      <text>
        <t>En la lista de Google figura como: Westlight
(coincide con lo que habíamos propuesto nosotros)</t>
      </text>
    </comment>
    <comment ref="I29" authorId="0" shapeId="0">
      <text>
        <t>$25</t>
      </text>
    </comment>
    <comment ref="U29" authorId="0" shapeId="0">
      <text>
        <t>En la lista de Google figura como: The Morgan Library &amp; Museum
(coincide con lo que habíamos propuesto nosotros)</t>
      </text>
    </comment>
    <comment ref="I30" authorId="0" shapeId="0">
      <text>
        <t>$16 sugerido (contribucion voluntaria); $25 con muestra temporaria</t>
      </text>
    </comment>
    <comment ref="I31" authorId="0" shapeId="0">
      <text>
        <t>$25 entrada + ~$35 tren ida y vuelta</t>
      </text>
    </comment>
    <comment ref="I32" authorId="0" shapeId="0">
      <text>
        <t>~$16 reducido hasta el 17-sep-2026 por cambio de muestra en la rotonda (VERIFICAR). $30 despues.</t>
      </text>
    </comment>
    <comment ref="I33" authorId="0" shapeId="0">
      <text>
        <t>estimado, sin verificar contra la fuente</t>
      </text>
    </comment>
    <comment ref="I34" authorId="0" shapeId="0">
      <text>
        <t>$30. El cine esta INCLUIDO en la entrada general.</t>
      </text>
    </comment>
    <comment ref="U34" authorId="0" shapeId="0">
      <text>
        <t>En la lista de Google figura como: The Museum of Modern Art
(coincide con lo que habíamos propuesto nosotros)</t>
      </text>
    </comment>
    <comment ref="I35" authorId="0" shapeId="0">
      <text>
        <t>GRATIS para todos (donacion de Sonya Yu). Es la politica vigente, no una garantia escrita para todo 2026.</t>
      </text>
    </comment>
    <comment ref="I37" authorId="0" shapeId="0">
      <text>
        <t>Pay-what-you-can, sugerido $16</t>
      </text>
    </comment>
    <comment ref="I38" authorId="0" shapeId="0">
      <text>
        <t>$30</t>
      </text>
    </comment>
    <comment ref="U38" authorId="0" shapeId="0">
      <text>
        <t>En la lista de Google figura como: The Frick Collection
(coincide con lo que habíamos propuesto nosotros)</t>
      </text>
    </comment>
    <comment ref="I39" authorId="0" shapeId="0">
      <text>
        <t>INCLUIDO en la entrada del MET del mismo dia.</t>
      </text>
    </comment>
    <comment ref="U39" authorId="0" shapeId="0">
      <text>
        <t>En la lista de Google figura como: The Cloisters
(coincide con lo que habíamos propuesto nosotros)</t>
      </text>
    </comment>
    <comment ref="I40" authorId="0" shapeId="0">
      <text>
        <t>$30. El pay-what-you-wish alcanza a residentes del Estado de NY Y a estudiantes de NY, NJ y CT (no solo residentes): un turista extranjero paga los $30. Incluye The Cloisters el MISMO dia. NO esta en ningun pase.</t>
      </text>
    </comment>
    <comment ref="U40" authorId="0" shapeId="0">
      <text>
        <t>En la lista de Google figura como: Museo Metropolitano de Arte
(coincide con lo que habíamos propuesto nosotros)</t>
      </text>
    </comment>
    <comment ref="I42" authorId="0" shapeId="0">
      <text>
        <t>~$16 (verificar 2026)</t>
      </text>
    </comment>
    <comment ref="I43" authorId="0" shapeId="0">
      <text>
        <t>$30. Menores de 25 GRATIS siempre.</t>
      </text>
    </comment>
    <comment ref="U43" authorId="0" shapeId="0">
      <text>
        <t>En la lista de Google figura como: Whitney Museum of American Art
(coincide con lo que habíamos propuesto nosotros)</t>
      </text>
    </comment>
    <comment ref="I44" authorId="0" shapeId="0">
      <text>
        <t>$37 general; $43 con exhibicion; $48 all access.</t>
      </text>
    </comment>
    <comment ref="U44" authorId="0" shapeId="0">
      <text>
        <t>En la lista de Google figura como: Museo Americano de Historia Natural
(coincide con lo que habíamos propuesto nosotros)</t>
      </text>
    </comment>
    <comment ref="I45" authorId="0" shapeId="0">
      <text>
        <t>$36 general. El memorial exterior (las fuentes) es SIEMPRE gratis.</t>
      </text>
    </comment>
    <comment ref="U45" authorId="0" shapeId="0">
      <text>
        <t>En la lista de Google figura como: National September 11 Memorial &amp; Museum
(coincide con lo que habíamos propuesto nosotros)</t>
      </text>
    </comment>
    <comment ref="I50" authorId="0" shapeId="0">
      <text>
        <t>estimado, sin verificar contra la fuente</t>
      </text>
    </comment>
    <comment ref="I51" authorId="0" shapeId="0">
      <text>
        <t>$23</t>
      </text>
    </comment>
    <comment ref="U52" authorId="0" shapeId="0">
      <text>
        <t>En la lista de Google figura como: New York Transit Museum
(coincide con lo que habíamos propuesto nosotros)</t>
      </text>
    </comment>
    <comment ref="I53" authorId="0" shapeId="0">
      <text>
        <t>$30 por tour + $3 fee. Cada tour se paga aparte. NO esta en ningun pase. Sin reembolso.</t>
      </text>
    </comment>
    <comment ref="I55" authorId="0" shapeId="0">
      <text>
        <t>estimado, sin verificar contra la fuente</t>
      </text>
    </comment>
    <comment ref="I57" authorId="0" shapeId="0">
      <text>
        <t>estimado, sin verificar contra la fuente</t>
      </text>
    </comment>
    <comment ref="I58" authorId="0" shapeId="0">
      <text>
        <t>$38. Add-ons: Concorde $13, VR Apollo $13.</t>
      </text>
    </comment>
    <comment ref="U58" authorId="0" shapeId="0">
      <text>
        <t>En la lista de Google figura como: Intrepid Sea-Air-Space Museum
(coincide con lo que habíamos propuesto nosotros)</t>
      </text>
    </comment>
    <comment ref="I59" authorId="0" shapeId="0">
      <text>
        <t>Hasta $57 segun franja horaria. Timed ticket por Fever (mercerlabs.com) — los slots se agotan.</t>
      </text>
    </comment>
    <comment ref="U59" authorId="0" shapeId="0">
      <text>
        <t>En la lista de Google figura como: Mercer Labs
(coincide con lo que habíamos propuesto nosotros)</t>
      </text>
    </comment>
    <comment ref="I60" authorId="0" shapeId="0">
      <text>
        <t>$20</t>
      </text>
    </comment>
    <comment ref="I61" authorId="0" shapeId="0">
      <text>
        <t>estimado, sin verificar contra la fuente</t>
      </text>
    </comment>
    <comment ref="I62" authorId="0" shapeId="0">
      <text>
        <t>estimado, sin verificar contra la fuente</t>
      </text>
    </comment>
    <comment ref="I63" authorId="0" shapeId="0">
      <text>
        <t>estimado, sin verificar contra la fuente</t>
      </text>
    </comment>
    <comment ref="U71" authorId="0" shapeId="0">
      <text>
        <t>En la lista de Google figura como: Arthur Ave
(coincide con lo que habíamos propuesto nosotros)</t>
      </text>
    </comment>
    <comment ref="I80" authorId="0" shapeId="0">
      <text>
        <t>Ferry $5 ida y vuelta. GRATIS sabados y domingos antes de las 11:00 - SOLO en la ruta de Manhattan (Battery Maritime Building, 10 South St). Las rutas de Brooklyn no tienen esa ventana.</t>
      </text>
    </comment>
    <comment ref="U81" authorId="0" shapeId="0">
      <text>
        <t>En la lista de Google figura como: Roosevelt Island
(coincide con lo que habíamos propuesto nosotros)</t>
      </text>
    </comment>
    <comment ref="I87" authorId="0" shapeId="0">
      <text>
        <t>estimado, sin verificar contra la fuente</t>
      </text>
    </comment>
    <comment ref="U96" authorId="0" shapeId="0">
      <text>
        <t>En la lista de Google figura como: Casa Della Mozzarella
(coincide con lo que habíamos propuesto nosotros)</t>
      </text>
    </comment>
    <comment ref="I98" authorId="0" shapeId="0">
      <text>
        <t>estimado, sin verificar contra la fuente</t>
      </text>
    </comment>
    <comment ref="I99" authorId="0" shapeId="0">
      <text>
        <t>estimado, sin verificar contra la fuente</t>
      </text>
    </comment>
    <comment ref="I101" authorId="0" shapeId="0">
      <text>
        <t>estimado, sin verificar contra la fuente</t>
      </text>
    </comment>
    <comment ref="I102" authorId="0" shapeId="0">
      <text>
        <t>estimado, sin verificar contra la fuente</t>
      </text>
    </comment>
    <comment ref="I103" authorId="0" shapeId="0">
      <text>
        <t>estimado, sin verificar contra la fuente</t>
      </text>
    </comment>
    <comment ref="I104" authorId="0" shapeId="0">
      <text>
        <t>estimado, sin verificar contra la fuente</t>
      </text>
    </comment>
    <comment ref="I105" authorId="0" shapeId="0">
      <text>
        <t>estimado, sin verificar contra la fuente</t>
      </text>
    </comment>
    <comment ref="I106" authorId="0" shapeId="0">
      <text>
        <t>$15-25</t>
      </text>
    </comment>
    <comment ref="U106" authorId="0" shapeId="0">
      <text>
        <t>En la lista de Google figura como: Frankel's Delicatessen &amp; Appetizing
(coincide con lo que habíamos propuesto nosotros)</t>
      </text>
    </comment>
    <comment ref="I107" authorId="0" shapeId="0">
      <text>
        <t>~$29 el sandwich de pastrami</t>
      </text>
    </comment>
    <comment ref="U107" authorId="0" shapeId="0">
      <text>
        <t>En la lista de Google figura como: Katz's Delicatessen
(coincide con lo que habíamos propuesto nosotros)</t>
      </text>
    </comment>
    <comment ref="U108" authorId="0" shapeId="0">
      <text>
        <t>En la lista de Google figura como: Russ &amp; Daughters
(coincide con lo que habíamos propuesto nosotros)</t>
      </text>
    </comment>
    <comment ref="I110" authorId="0" shapeId="0">
      <text>
        <t>$18-26</t>
      </text>
    </comment>
    <comment ref="U110" authorId="0" shapeId="0">
      <text>
        <t>En la lista de Google figura como: S&amp;P Lunch
(coincide con lo que habíamos propuesto nosotros)</t>
      </text>
    </comment>
    <comment ref="I114" authorId="0" shapeId="0">
      <text>
        <t>estimado, sin verificar contra la fuente</t>
      </text>
    </comment>
    <comment ref="I116" authorId="0" shapeId="0">
      <text>
        <t>estimado, sin verificar contra la fuente</t>
      </text>
    </comment>
    <comment ref="I117" authorId="0" shapeId="0">
      <text>
        <t>~$15-20 con papas y bebida. SIN reservas: counter por orden de llegada.</t>
      </text>
    </comment>
    <comment ref="U117" authorId="0" shapeId="0">
      <text>
        <t>En la lista de Google figura como: Hamburger America
(coincide con lo que habíamos propuesto nosotros)</t>
      </text>
    </comment>
    <comment ref="I122" authorId="0" shapeId="0">
      <text>
        <t>estimado, sin verificar contra la fuente</t>
      </text>
    </comment>
    <comment ref="I123" authorId="0" shapeId="0">
      <text>
        <t>estimado, sin verificar contra la fuente</t>
      </text>
    </comment>
    <comment ref="U124" authorId="0" shapeId="0">
      <text>
        <t>En la lista de Google figura como: Arthur Avenue Retail Market
(coincide con lo que habíamos propuesto nosotros)</t>
      </text>
    </comment>
    <comment ref="U125" authorId="0" shapeId="0">
      <text>
        <t>En la lista de Google figura como: Chelsea Market
(coincide con lo que habíamos propuesto nosotros)</t>
      </text>
    </comment>
    <comment ref="U126" authorId="0" shapeId="0">
      <text>
        <t>En la lista de Google figura como: Dekalb Market Hall
(coincide con lo que habíamos propuesto nosotros)</t>
      </text>
    </comment>
    <comment ref="U128" authorId="0" shapeId="0">
      <text>
        <t>En la lista de Google figura como: Essex Market
(coincide con lo que habíamos propuesto nosotros)</t>
      </text>
    </comment>
    <comment ref="I129" authorId="0" shapeId="0">
      <text>
        <t>estimado, sin verificar contra la fuente</t>
      </text>
    </comment>
    <comment ref="I132" authorId="0" shapeId="0">
      <text>
        <t>estimado, sin verificar contra la fuente</t>
      </text>
    </comment>
    <comment ref="U133" authorId="0" shapeId="0">
      <text>
        <t>En la lista de Google figura como: Time Out Market New York
(coincide con lo que habíamos propuesto nosotros)</t>
      </text>
    </comment>
    <comment ref="I135" authorId="0" shapeId="0">
      <text>
        <t>estimado, sin verificar contra la fuente</t>
      </text>
    </comment>
    <comment ref="U136" authorId="0" shapeId="0">
      <text>
        <t>En la lista de Google figura como: BO's Bagels
(coincide con lo que habíamos propuesto nosotros)</t>
      </text>
    </comment>
    <comment ref="I141" authorId="0" shapeId="0">
      <text>
        <t>estimado, sin verificar contra la fuente</t>
      </text>
    </comment>
    <comment ref="I143" authorId="0" shapeId="0">
      <text>
        <t>estimado, sin verificar contra la fuente</t>
      </text>
    </comment>
    <comment ref="I144" authorId="0" shapeId="0">
      <text>
        <t>estimado, sin verificar contra la fuente</t>
      </text>
    </comment>
    <comment ref="I146" authorId="0" shapeId="0">
      <text>
        <t>estimado, sin verificar contra la fuente</t>
      </text>
    </comment>
    <comment ref="U147" authorId="0" shapeId="0">
      <text>
        <t>En la lista de Google figura como: L&amp;B Spumoni Gardens
(coincide con lo que habíamos propuesto nosotros)</t>
      </text>
    </comment>
    <comment ref="I148" authorId="0" shapeId="0">
      <text>
        <t>solo efectivo, BYOB</t>
      </text>
    </comment>
    <comment ref="I149" authorId="0" shapeId="0">
      <text>
        <t>porcion $3.75-4</t>
      </text>
    </comment>
    <comment ref="I152" authorId="0" shapeId="0">
      <text>
        <t>estimado, sin verificar contra la fuente</t>
      </text>
    </comment>
    <comment ref="I153" authorId="0" shapeId="0">
      <text>
        <t>estimado, sin verificar contra la fuente</t>
      </text>
    </comment>
    <comment ref="I156" authorId="0" shapeId="0">
      <text>
        <t>estimado, sin verificar contra la fuente</t>
      </text>
    </comment>
    <comment ref="I159" authorId="0" shapeId="0">
      <text>
        <t>~$20 para dos con bebida</t>
      </text>
    </comment>
    <comment ref="I162" authorId="0" shapeId="0">
      <text>
        <t>estimado, sin verificar contra la fuente</t>
      </text>
    </comment>
    <comment ref="I165" authorId="0" shapeId="0">
      <text>
        <t>estimado, sin verificar contra la fuente</t>
      </text>
    </comment>
    <comment ref="I169" authorId="0" shapeId="0">
      <text>
        <t>estimado, sin verificar contra la fuente</t>
      </text>
    </comment>
    <comment ref="U174" authorId="0" shapeId="0">
      <text>
        <t>En la lista de Google figura como: Tanoreen
(coincide con lo que habíamos propuesto nosotros)</t>
      </text>
    </comment>
    <comment ref="I176" authorId="0" shapeId="0">
      <text>
        <t>estimado, sin verificar contra la fuente</t>
      </text>
    </comment>
    <comment ref="I177" authorId="0" shapeId="0">
      <text>
        <t>estimado, sin verificar contra la fuente</t>
      </text>
    </comment>
    <comment ref="I178" authorId="0" shapeId="0">
      <text>
        <t>Porterhouse p/2 ~$140 + sides + propina: ~$110-130 por cabeza. SIN TARJETAS DE CREDITO: efectivo, debito US o cheque.</t>
      </text>
    </comment>
    <comment ref="U178" authorId="0" shapeId="0">
      <text>
        <t>En la lista de Google figura como: Peter Luger Steak House
(coincide con lo que habíamos propuesto nosotros)</t>
      </text>
    </comment>
    <comment ref="I179" authorId="0" shapeId="0">
      <text>
        <t>Frecuentemente sin cover (minimo de consumo)</t>
      </text>
    </comment>
    <comment ref="U179" authorId="0" shapeId="0">
      <text>
        <t>En la lista de Google figura como: Bar Bayeux
(coincide con lo que habíamos propuesto nosotros)</t>
      </text>
    </comment>
    <comment ref="I180" authorId="0" shapeId="0">
      <text>
        <t>$10 sugerido EN EFECTIVO - los musicos cobran de las donaciones</t>
      </text>
    </comment>
    <comment ref="U180" authorId="0" shapeId="0">
      <text>
        <t>En la lista de Google figura como: LunÀtico
(coincide con lo que habíamos propuesto nosotros)</t>
      </text>
    </comment>
    <comment ref="I181" authorId="0" shapeId="0">
      <text>
        <t>Reserva GRATIS por Eventbrite (es solo reserva, no entrada). $20 de music charge por cabeza se suma a la cuenta + consumo.</t>
      </text>
    </comment>
    <comment ref="U181" authorId="0" shapeId="0">
      <text>
        <t>En la lista de Google figura como: Cafe Wha?
(coincide con lo que habíamos propuesto nosotros)</t>
      </text>
    </comment>
    <comment ref="I183" authorId="0" shapeId="0">
      <text>
        <t>~$30-40 el set, entrada por la web. BYOB: se lleva la bebida propia.</t>
      </text>
    </comment>
    <comment ref="I184" authorId="0" shapeId="0">
      <text>
        <t>$20-45 cover + $20 minimo por persona por set. Solo TicketWeb.</t>
      </text>
    </comment>
    <comment ref="U184" authorId="0" shapeId="0">
      <text>
        <t>En la lista de Google figura como: Birdland Jazz Club
(coincide con lo que habíamos propuesto nosotros)</t>
      </text>
    </comment>
    <comment ref="I185" authorId="0" shapeId="0">
      <text>
        <t>$20-45 + $5 minimo de mesa</t>
      </text>
    </comment>
    <comment ref="U185" authorId="0" shapeId="0">
      <text>
        <t>En la lista de Google figura como: Blue Note
(coincide con lo que habíamos propuesto nosotros)</t>
      </text>
    </comment>
    <comment ref="I186" authorId="0" shapeId="0">
      <text>
        <t>$20-45 + $21-25 minimo. LATE NIGHT jue-sab ~22:45 desde $10-20.</t>
      </text>
    </comment>
    <comment ref="U186" authorId="0" shapeId="0">
      <text>
        <t>En la lista de Google figura como: Dizzy's Club
(coincide con lo que habíamos propuesto nosotros)</t>
      </text>
    </comment>
    <comment ref="I187" authorId="0" shapeId="0">
      <text>
        <t>$25 incluye una bebida</t>
      </text>
    </comment>
    <comment ref="U187" authorId="0" shapeId="0">
      <text>
        <t>En la lista de Google figura como: Mezzrow
(coincide con lo que habíamos propuesto nosotros)</t>
      </text>
    </comment>
    <comment ref="I188" authorId="0" shapeId="0">
      <text>
        <t>$15-25</t>
      </text>
    </comment>
    <comment ref="U188" authorId="0" shapeId="0">
      <text>
        <t>En la lista de Google figura como: Ornithology Jazz Club
(coincide con lo que habíamos propuesto nosotros)</t>
      </text>
    </comment>
    <comment ref="I189" authorId="0" shapeId="0">
      <text>
        <t>$25 incluye una bebida</t>
      </text>
    </comment>
    <comment ref="U189" authorId="0" shapeId="0">
      <text>
        <t>En la lista de Google figura como: Smalls Jazz Club
(coincide con lo que habíamos propuesto nosotros)</t>
      </text>
    </comment>
    <comment ref="I190" authorId="0" shapeId="0">
      <text>
        <t>$45 la entrada GA (YA COMPRADA, 26/8) + minimo de UNA consumicion por persona - vale gaseosa, jugo o agua. No sirven comida. Aceptan tarjeta.</t>
      </text>
    </comment>
    <comment ref="U190" authorId="0" shapeId="0">
      <text>
        <t>En la lista de Google figura como: Village Vanguard
(coincide con lo que habíamos propuesto nosotros)</t>
      </text>
    </comment>
    <comment ref="I191" authorId="0" shapeId="0">
      <text>
        <t>Donacion sugerida ~$10-20, efectivo</t>
      </text>
    </comment>
    <comment ref="U191" authorId="0" shapeId="0">
      <text>
        <t>En la lista de Google figura como: Barbès
(coincide con lo que habíamos propuesto nosotros)</t>
      </text>
    </comment>
    <comment ref="U192" authorId="0" shapeId="0">
      <text>
        <t>En la lista de Google figura como: Nublu
(coincide con lo que habíamos propuesto nosotros)</t>
      </text>
    </comment>
    <comment ref="I197" authorId="0" shapeId="0">
      <text>
        <t>La plaza es GRATIS siempre. Temporadas: la Filarmonica (Dudamel) abre el 10/9, Met Opera y City Ballet mas tarde — durante el viaje las salas grandes estan oscuras.</t>
      </text>
    </comment>
    <comment ref="U197" authorId="0" shapeId="0">
      <text>
        <t>En la lista de Google figura como: Lincoln Center for the Performing Arts
(coincide con lo que habíamos propuesto nosotros)</t>
      </text>
    </comment>
    <comment ref="U199" authorId="0" shapeId="0">
      <text>
        <t>En la lista de Google figura como: Oculus Center
(coincide con lo que habíamos propuesto nosotros)</t>
      </text>
    </comment>
    <comment ref="I202" authorId="0" shapeId="0">
      <text>
        <t>Gratis entrar; ~$8.50 el AirTrain de JFK</t>
      </text>
    </comment>
    <comment ref="I203" authorId="0" shapeId="0">
      <text>
        <t>$10 (flex online $15). Reabierto con redes de seguridad; algunos tramos altos hacia el Hudson siguen cerrados.</t>
      </text>
    </comment>
    <comment ref="U203" authorId="0" shapeId="0">
      <text>
        <t>En la lista de Google figura como: Vessel
(coincide con lo que habíamos propuesto nosotros)</t>
      </text>
    </comment>
    <comment ref="I217" authorId="0" shapeId="0">
      <text>
        <t>estimado, sin verificar contra la fuente</t>
      </text>
    </comment>
    <comment ref="I229" authorId="0" shapeId="0">
      <text>
        <t>a voluntad</t>
      </text>
    </comment>
    <comment ref="I234" authorId="0" shapeId="0">
      <text>
        <t>GRATIS pero requiere preinscripcion online antes de las 17h del dia anterior</t>
      </text>
    </comment>
    <comment ref="U234" authorId="0" shapeId="0">
      <text>
        <t>En la lista de Google figura como: Ford Foundation Public Atrium Garden
(coincide con lo que habíamos propuesto nosotros)</t>
      </text>
    </comment>
    <comment ref="U236" authorId="0" shapeId="0">
      <text>
        <t>En la lista de Google figura como: Grand Central Terminal
(coincide con lo que habíamos propuesto nosotros)</t>
      </text>
    </comment>
    <comment ref="I239" authorId="0" shapeId="0">
      <text>
        <t>GRATIS, lun-vie 8-18h. Fotos si, video no.</t>
      </text>
    </comment>
    <comment ref="I240" authorId="0" shapeId="0">
      <text>
        <t>GRATIS. Tours gratuitos lun-sab 11:00 y 14:00 (edificio); 11:20, 13:30 y 15:00 (Rose Room).</t>
      </text>
    </comment>
    <comment ref="U240" authorId="0" shapeId="0">
      <text>
        <t>En la lista de Google figura como: Biblioteca Pública de Nueva York
(coincide con lo que habíamos propuesto nosotros)</t>
      </text>
    </comment>
    <comment ref="I246" authorId="0" shapeId="0">
      <text>
        <t>estimado, sin verificar contra la fuente</t>
      </text>
    </comment>
    <comment ref="I248" authorId="0" shapeId="0">
      <text>
        <t>$15. Lunes y viernes pay-what-you-wish.</t>
      </text>
    </comment>
    <comment ref="U248" authorId="0" shapeId="0">
      <text>
        <t>En la lista de Google figura como: Museum at Eldridge Street
(coincide con lo que habíamos propuesto nosotros)</t>
      </text>
    </comment>
    <comment ref="I259" authorId="0" shapeId="0">
      <text>
        <t>una botella ronda $12-20; probar es gratis</t>
      </text>
    </comment>
    <comment ref="I260" authorId="0" shapeId="0">
      <text>
        <t>una botella ronda $12-20; probar es gratis</t>
      </text>
    </comment>
    <comment ref="I267" authorId="0" shapeId="0">
      <text>
        <t>Entrada libre 7-19h. Trolley tours con costo: sab 29/8 y sab 5/9, 13-15h.</t>
      </text>
    </comment>
    <comment ref="I269" authorId="0" shapeId="0">
      <text>
        <t>estimado, sin verificar contra la fuente</t>
      </text>
    </comment>
    <comment ref="I270" authorId="0" shapeId="0">
      <text>
        <t>$10. GRATIS todos los jueves.</t>
      </text>
    </comment>
    <comment ref="U270" authorId="0" shapeId="0">
      <text>
        <t>En la lista de Google figura como: Wave Hill Public Garden &amp; Cultural Center
(coincide con lo que habíamos propuesto nosotros)</t>
      </text>
    </comment>
    <comment ref="U287" authorId="0" shapeId="0">
      <text>
        <t>En la lista de Google figura como: Washington Square Park
(coincide con lo que habíamos propuesto nosotros)</t>
      </text>
    </comment>
    <comment ref="U288" authorId="0" shapeId="0">
      <text>
        <t>En la lista de Google figura como: High Line
(coincide con lo que habíamos propuesto nosotros)</t>
      </text>
    </comment>
    <comment ref="I289" authorId="0" shapeId="0">
      <text>
        <t>Grounds pass desde ~$80 segun sesion</t>
      </text>
    </comment>
    <comment ref="I290" authorId="0" shapeId="0">
      <text>
        <t>GRATIS, sin reserva</t>
      </text>
    </comment>
    <comment ref="I291" authorId="0" shapeId="0">
      <text>
        <t>GRATIS, sin reserva</t>
      </text>
    </comment>
    <comment ref="I292" authorId="0" shapeId="0">
      <text>
        <t>GRATIS</t>
      </text>
    </comment>
    <comment ref="I293" authorId="0" shapeId="0">
      <text>
        <t>precios no publicados aun - VERIFICAR en wiadcacarnival.org</t>
      </text>
    </comment>
    <comment ref="I296" authorId="0" shapeId="0">
      <text>
        <t>precio no publicado - consultar green-wood.com</t>
      </text>
    </comment>
    <comment ref="I297" authorId="0" shapeId="0">
      <text>
        <t>Promedio real pagado $112. LOTERIA $10 (HamiltonMusical.com, cierra jueves 12h de la semana previa).</t>
      </text>
    </comment>
    <comment ref="I298" authorId="0" shapeId="0">
      <text>
        <t>Promedio real pagado $59. LOTERIA $20.64 (Telecharge, cierra 15h del dia previo). Rush $49.</t>
      </text>
    </comment>
    <comment ref="I299" authorId="0" shapeId="0">
      <text>
        <t>Loteria LuckySeat $49. Funciones de cierre suelen encarecerse.</t>
      </text>
    </comment>
    <comment ref="I300" authorId="0" shapeId="0">
      <text>
        <t>Promedio real $63. Rush $49 en boleteria a las 10h. TKTS ~40% off.</t>
      </text>
    </comment>
    <comment ref="I301" authorId="0" shapeId="0">
      <text>
        <t>Loteria digital $40 (Telecharge, sorteos 10h y 15h)</t>
      </text>
    </comment>
    <comment ref="I302" authorId="0" shapeId="0">
      <text>
        <t>Desde ~$76-100 segun funcion. Alternativas de play esa semana: Harry Potter and the Cursed Child (Lyric), Paranormal Activity (August Wilson), The Imaginary Invalid (Roundabout).</t>
      </text>
    </comment>
    <comment ref="I303" authorId="0" shapeId="0">
      <text>
        <t>Hasta 50% off (tipico 40%) + $8 de fee por ticket. Max 6 por persona.</t>
      </text>
    </comment>
    <comment ref="U303" authorId="0" shapeId="0">
      <text>
        <t>En la lista de Google figura como: TKTS Lincoln Center
(coincide con lo que habíamos propuesto nosotros)</t>
      </text>
    </comment>
    <comment ref="U305" authorId="0" shapeId="0">
      <text>
        <t>En la lista de Google figura como: Ink 48 Hotel
(coincide con lo que habíamos propuesto nosotros)</t>
      </text>
    </comment>
    <comment ref="U306" authorId="0" shapeId="0">
      <text>
        <t>En la lista de Google figura como: Hotel Beacon
(coincide con lo que habíamos propuesto nosotros)</t>
      </text>
    </comment>
    <comment ref="U308" authorId="0" shapeId="0">
      <text>
        <t>En la lista de Google figura como: Residence Inn by Marriott Bridgewater Branchburg
(coincide con lo que habíamos propuesto nosotros)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google.com/maps/search/?api=1&amp;query=Roosevelt%20Island%20Tramway%2C%20E%2059th%20St%20%26%202nd%20Ave%2C%20New%20York" TargetMode="External" Id="rId1" /><Relationship Type="http://schemas.openxmlformats.org/officeDocument/2006/relationships/hyperlink" Target="https://www.google.com/maps/search/?api=1&amp;query=Staten%20Island%20Ferry%2C%204%20Whitehall%20St%2C%20Whitehall%20Terminal%2C%20New%20York" TargetMode="External" Id="rId2" /><Relationship Type="http://schemas.openxmlformats.org/officeDocument/2006/relationships/hyperlink" Target="https://www.google.com/maps/search/?api=1&amp;query=Brooklyn%20Heights%20Promenade%2C%20Columbia%20Heights%2C%20Brooklyn%2C%20New%20York" TargetMode="External" Id="rId3" /><Relationship Type="http://schemas.openxmlformats.org/officeDocument/2006/relationships/hyperlink" Target="https://www.google.com/maps/search/?api=1&amp;query=Castillo%20Belvedere%2C%20New%20York" TargetMode="External" Id="rId4" /><Relationship Type="http://schemas.openxmlformats.org/officeDocument/2006/relationships/hyperlink" Target="https://www.google.com/maps/search/?api=1&amp;query=Domino%20Park%2C%20300%20Kent%20Ave%2C%20Brooklyn%2C%20New%20York" TargetMode="External" Id="rId5" /><Relationship Type="http://schemas.openxmlformats.org/officeDocument/2006/relationships/hyperlink" Target="https://www.google.com/maps/search/?api=1&amp;query=Elevated%20Acre%2C%2055%20Water%20St%2C%20New%20York" TargetMode="External" Id="rId6" /><Relationship Type="http://schemas.openxmlformats.org/officeDocument/2006/relationships/hyperlink" Target="https://www.google.com/maps/search/?api=1&amp;query=Fort%20Tryon%20Park%2C%20Fort%20Tryon%20Park%2C%20Manhattan%2C%20New%20York" TargetMode="External" Id="rId7" /><Relationship Type="http://schemas.openxmlformats.org/officeDocument/2006/relationships/hyperlink" Target="https://www.google.com/maps/search/?api=1&amp;query=Fulton%20Ferry%20Landing%2C%20Fulton%20Ferry%20Landing%2C%20Brooklyn%2C%20New%20York" TargetMode="External" Id="rId8" /><Relationship Type="http://schemas.openxmlformats.org/officeDocument/2006/relationships/hyperlink" Target="https://www.google.com/maps/search/?api=1&amp;query=Gantry%20Plaza%20State%20Park%2C%204-09%2047th%20Rd%2C%20LIC%2C%20New%20York" TargetMode="External" Id="rId9" /><Relationship Type="http://schemas.openxmlformats.org/officeDocument/2006/relationships/hyperlink" Target="https://www.google.com/maps/search/?api=1&amp;query=Louis%20Valentino%20Jr.%20Pier%2C%20Ferris%20St%20%26%20Coffey%20St%2C%20Brooklyn%2C%20New%20York" TargetMode="External" Id="rId10" /><Relationship Type="http://schemas.openxmlformats.org/officeDocument/2006/relationships/hyperlink" Target="https://www.google.com/maps/search/?api=1&amp;query=Pier%2035%2C%20New%20York" TargetMode="External" Id="rId11" /><Relationship Type="http://schemas.openxmlformats.org/officeDocument/2006/relationships/hyperlink" Target="https://www.google.com/maps/search/?api=1&amp;query=Pier%2057%2C%2025%2011th%20Ave%2C%20New%20York" TargetMode="External" Id="rId12" /><Relationship Type="http://schemas.openxmlformats.org/officeDocument/2006/relationships/hyperlink" Target="https://www.google.com/maps/search/?api=1&amp;query=Sunset%20Park%20%28el%20mirador%29%2C%20Sunset%20Park%2C%205th%20Ave%20%26%2041st%20St%2C%20Brooklyn%2C%20New%20York" TargetMode="External" Id="rId13" /><Relationship Type="http://schemas.openxmlformats.org/officeDocument/2006/relationships/hyperlink" Target="https://www.google.com/maps/search/?api=1&amp;query=Edge%20Hudson%20Yards%2C%2030%20Hudson%20Yards%2C%20New%20York" TargetMode="External" Id="rId14" /><Relationship Type="http://schemas.openxmlformats.org/officeDocument/2006/relationships/hyperlink" Target="https://www.google.com/maps/search/?api=1&amp;query=Empire%20State%20Building%2C%2020%20W%2034th%20St%2C%20New%20York" TargetMode="External" Id="rId15" /><Relationship Type="http://schemas.openxmlformats.org/officeDocument/2006/relationships/hyperlink" Target="https://www.google.com/maps/search/?api=1&amp;query=One%20World%20Observatory%2C%20117%20West%20St%2C%20New%20York" TargetMode="External" Id="rId16" /><Relationship Type="http://schemas.openxmlformats.org/officeDocument/2006/relationships/hyperlink" Target="https://www.google.com/maps/search/?api=1&amp;query=SUMMIT%20One%20Vanderbilt%2C%2045%20E%2042nd%20St%2C%20New%20York" TargetMode="External" Id="rId17" /><Relationship Type="http://schemas.openxmlformats.org/officeDocument/2006/relationships/hyperlink" Target="https://www.google.com/maps/search/?api=1&amp;query=Top%20of%20the%20Rock%2C%2030%20Rockefeller%20Plaza%2C%20New%20York" TargetMode="External" Id="rId18" /><Relationship Type="http://schemas.openxmlformats.org/officeDocument/2006/relationships/hyperlink" Target="https://www.google.com/maps/search/?api=1&amp;query=MO%20Lounge%20%E2%80%94%20Mandarin%20Oriental%20%28piso%2035%29%2C%2080%20Columbus%20Circle%2C%20piso%2035%2C%20New%20York" TargetMode="External" Id="rId19" /><Relationship Type="http://schemas.openxmlformats.org/officeDocument/2006/relationships/hyperlink" Target="https://www.google.com/maps/search/?api=1&amp;query=The%20Campbell%2C%2015%20Vanderbilt%20Ave%2C%20New%20York" TargetMode="External" Id="rId20" /><Relationship Type="http://schemas.openxmlformats.org/officeDocument/2006/relationships/hyperlink" Target="https://www.google.com/maps/search/?api=1&amp;query=The%20Crown%20%2850%20Bowery%29%2C%2050%20Bowery%2C%20piso%2021%2C%20New%20York" TargetMode="External" Id="rId21" /><Relationship Type="http://schemas.openxmlformats.org/officeDocument/2006/relationships/hyperlink" Target="https://www.google.com/maps/search/?api=1&amp;query=Westlight%20%28rooftop%29%2C%20111%20N%2012th%20St%2C%20piso%2022%2C%20Brooklyn%2C%20New%20York" TargetMode="External" Id="rId22" /><Relationship Type="http://schemas.openxmlformats.org/officeDocument/2006/relationships/hyperlink" Target="https://www.google.com/maps/search/?api=1&amp;query=Jefferson%20Market%20Library%2C%20425%206th%20Ave%2C%20New%20York" TargetMode="External" Id="rId23" /><Relationship Type="http://schemas.openxmlformats.org/officeDocument/2006/relationships/hyperlink" Target="https://www.google.com/maps/search/?api=1&amp;query=Poets%20House%2C%2010%20River%20Terrace%2C%20New%20York" TargetMode="External" Id="rId24" /><Relationship Type="http://schemas.openxmlformats.org/officeDocument/2006/relationships/hyperlink" Target="https://www.google.com/maps/search/?api=1&amp;query=The%20Morgan%20Library%20%26%20Museum%2C%20225%20Madison%20Ave%2C%20New%20York" TargetMode="External" Id="rId25" /><Relationship Type="http://schemas.openxmlformats.org/officeDocument/2006/relationships/hyperlink" Target="https://www.google.com/maps/search/?api=1&amp;query=Brooklyn%20Museum%2C%20200%20Eastern%20Pkwy%2C%20Brooklyn%2C%20New%20York" TargetMode="External" Id="rId26" /><Relationship Type="http://schemas.openxmlformats.org/officeDocument/2006/relationships/hyperlink" Target="https://www.google.com/maps/search/?api=1&amp;query=Dia%20Beacon%20%28excursion%29%2C%203%20Beekman%20St%2C%20Beacon%20NY%2C%20New%20York" TargetMode="External" Id="rId27" /><Relationship Type="http://schemas.openxmlformats.org/officeDocument/2006/relationships/hyperlink" Target="https://www.google.com/maps/search/?api=1&amp;query=Guggenheim%2C%201071%205th%20Ave%2C%20New%20York" TargetMode="External" Id="rId28" /><Relationship Type="http://schemas.openxmlformats.org/officeDocument/2006/relationships/hyperlink" Target="https://www.google.com/maps/search/?api=1&amp;query=Judd%20Foundation%20%28101%20Spring%20St%29%2C%20101%20Spring%20St%2C%20New%20York" TargetMode="External" Id="rId29" /><Relationship Type="http://schemas.openxmlformats.org/officeDocument/2006/relationships/hyperlink" Target="https://www.google.com/maps/search/?api=1&amp;query=MoMA%2C%2011%20W%2053rd%20St%2C%20New%20York" TargetMode="External" Id="rId30" /><Relationship Type="http://schemas.openxmlformats.org/officeDocument/2006/relationships/hyperlink" Target="https://www.google.com/maps/search/?api=1&amp;query=MoMA%20PS1%2C%2022-25%20Jackson%20Ave%2C%20LIC%2C%20New%20York" TargetMode="External" Id="rId31" /><Relationship Type="http://schemas.openxmlformats.org/officeDocument/2006/relationships/hyperlink" Target="https://www.google.com/maps/search/?api=1&amp;query=Nicholas%20Roerich%20Museum%2C%20319%20W%20107th%20St%2C%20New%20York" TargetMode="External" Id="rId32" /><Relationship Type="http://schemas.openxmlformats.org/officeDocument/2006/relationships/hyperlink" Target="https://www.google.com/maps/search/?api=1&amp;query=Studio%20Museum%20in%20Harlem%2C%20144%20W%20125th%20St%2C%20New%20York" TargetMode="External" Id="rId33" /><Relationship Type="http://schemas.openxmlformats.org/officeDocument/2006/relationships/hyperlink" Target="https://www.google.com/maps/search/?api=1&amp;query=The%20Frick%20Collection%2C%201%20E%2070th%20St%2C%20New%20York" TargetMode="External" Id="rId34" /><Relationship Type="http://schemas.openxmlformats.org/officeDocument/2006/relationships/hyperlink" Target="https://www.google.com/maps/search/?api=1&amp;query=The%20Met%20Cloisters%2C%2099%20Margaret%20Corbin%20Dr%2C%20New%20York" TargetMode="External" Id="rId35" /><Relationship Type="http://schemas.openxmlformats.org/officeDocument/2006/relationships/hyperlink" Target="https://www.google.com/maps/search/?api=1&amp;query=The%20Metropolitan%20Museum%20of%20Art%2C%201000%205th%20Ave%2C%20New%20York" TargetMode="External" Id="rId36" /><Relationship Type="http://schemas.openxmlformats.org/officeDocument/2006/relationships/hyperlink" Target="https://www.google.com/maps/search/?api=1&amp;query=The%20New%20York%20Earth%20Room%2C%20141%20Wooster%20St%2C%202%C2%BA%20piso%2C%20New%20York" TargetMode="External" Id="rId37" /><Relationship Type="http://schemas.openxmlformats.org/officeDocument/2006/relationships/hyperlink" Target="https://www.google.com/maps/search/?api=1&amp;query=The%20Noguchi%20Museum%2C%209-01%2033rd%20Rd%2C%20LIC%2C%20New%20York" TargetMode="External" Id="rId38" /><Relationship Type="http://schemas.openxmlformats.org/officeDocument/2006/relationships/hyperlink" Target="https://www.google.com/maps/search/?api=1&amp;query=Whitney%20Museum%2C%2099%20Gansevoort%20St%2C%20New%20York" TargetMode="External" Id="rId39" /><Relationship Type="http://schemas.openxmlformats.org/officeDocument/2006/relationships/hyperlink" Target="https://www.google.com/maps/search/?api=1&amp;query=American%20Museum%20of%20Natural%20History%2C%20200%20Central%20Park%20West%2C%20New%20York" TargetMode="External" Id="rId40" /><Relationship Type="http://schemas.openxmlformats.org/officeDocument/2006/relationships/hyperlink" Target="https://www.google.com/maps/search/?api=1&amp;query=9/11%20Memorial%20Museum%2C%20180%20Greenwich%20St%2C%20New%20York" TargetMode="External" Id="rId41" /><Relationship Type="http://schemas.openxmlformats.org/officeDocument/2006/relationships/hyperlink" Target="https://www.google.com/maps/search/?api=1&amp;query=African%20Burial%20Ground%20National%20Monument%2C%20290%20Broadway%2C%20New%20York" TargetMode="External" Id="rId42" /><Relationship Type="http://schemas.openxmlformats.org/officeDocument/2006/relationships/hyperlink" Target="https://www.google.com/maps/search/?api=1&amp;query=Alexander%20Hamilton%20U.S.%20Custom%20House%2C%201%20Bowling%20Green%2C%20New%20York" TargetMode="External" Id="rId43" /><Relationship Type="http://schemas.openxmlformats.org/officeDocument/2006/relationships/hyperlink" Target="https://www.google.com/maps/search/?api=1&amp;query=Federal%20Hall%20National%20Memorial%2C%2026%20Wall%20St%2C%20New%20York" TargetMode="External" Id="rId44" /><Relationship Type="http://schemas.openxmlformats.org/officeDocument/2006/relationships/hyperlink" Target="https://www.google.com/maps/search/?api=1&amp;query=Hamilton%20Grange%2C%20414%20W%20141st%20St%2C%20New%20York" TargetMode="External" Id="rId45" /><Relationship Type="http://schemas.openxmlformats.org/officeDocument/2006/relationships/hyperlink" Target="https://www.google.com/maps/search/?api=1&amp;query=Merchant%27s%20House%20Museum%2C%2029%20E%204th%20St%2C%20New%20York" TargetMode="External" Id="rId46" /><Relationship Type="http://schemas.openxmlformats.org/officeDocument/2006/relationships/hyperlink" Target="https://www.google.com/maps/search/?api=1&amp;query=Museum%20of%20the%20City%20of%20New%20York%2C%201220%205th%20Ave%2C%20New%20York" TargetMode="External" Id="rId47" /><Relationship Type="http://schemas.openxmlformats.org/officeDocument/2006/relationships/hyperlink" Target="https://www.google.com/maps/search/?api=1&amp;query=New%20York%20Transit%20Museum%2C%2099%20Schermerhorn%20St%2C%20Brooklyn%2C%20New%20York" TargetMode="External" Id="rId48" /><Relationship Type="http://schemas.openxmlformats.org/officeDocument/2006/relationships/hyperlink" Target="https://www.google.com/maps/search/?api=1&amp;query=Tenement%20Museum%2C%20103%20Orchard%20St%2C%20New%20York" TargetMode="External" Id="rId49" /><Relationship Type="http://schemas.openxmlformats.org/officeDocument/2006/relationships/hyperlink" Target="https://www.google.com/maps/search/?api=1&amp;query=The%20City%20Reliquary%2C%20370%20Metropolitan%20Ave%2C%20Brooklyn%2C%20New%20York" TargetMode="External" Id="rId50" /><Relationship Type="http://schemas.openxmlformats.org/officeDocument/2006/relationships/hyperlink" Target="https://www.google.com/maps/search/?api=1&amp;query=The%20New%20York%20Historical%2C%20170%20Central%20Park%20West%2C%20New%20York" TargetMode="External" Id="rId51" /><Relationship Type="http://schemas.openxmlformats.org/officeDocument/2006/relationships/hyperlink" Target="https://www.google.com/maps/search/?api=1&amp;query=Balloon%20Museum%20NYC%20-%20DAYDREAM%2C%20New%20York" TargetMode="External" Id="rId52" /><Relationship Type="http://schemas.openxmlformats.org/officeDocument/2006/relationships/hyperlink" Target="https://www.google.com/maps/search/?api=1&amp;query=City%20Reliquary%2C%20370%20Metropolitan%20Ave%2C%20Brooklyn%2C%20New%20York" TargetMode="External" Id="rId53" /><Relationship Type="http://schemas.openxmlformats.org/officeDocument/2006/relationships/hyperlink" Target="https://www.google.com/maps/search/?api=1&amp;query=Intrepid%20Museum%2C%20Pier%2086%2C%20W%2046th%20St%20%26%2012th%20Ave%2C%20New%20York" TargetMode="External" Id="rId54" /><Relationship Type="http://schemas.openxmlformats.org/officeDocument/2006/relationships/hyperlink" Target="https://www.google.com/maps/search/?api=1&amp;query=Mercer%20Labs%20%E2%80%94%20Museum%20of%20Art%20and%20Technology%2C%2021%20Dey%20St%2C%20New%20York" TargetMode="External" Id="rId55" /><Relationship Type="http://schemas.openxmlformats.org/officeDocument/2006/relationships/hyperlink" Target="https://www.google.com/maps/search/?api=1&amp;query=Museum%20of%20the%20Moving%20Image%2C%2036-01%2035th%20Ave%2C%20Astoria%2C%20New%20York" TargetMode="External" Id="rId56" /><Relationship Type="http://schemas.openxmlformats.org/officeDocument/2006/relationships/hyperlink" Target="https://www.google.com/maps/search/?api=1&amp;query=New%20York%20City%20Fire%20Museum%2C%20278%20Spring%20St%2C%20New%20York" TargetMode="External" Id="rId57" /><Relationship Type="http://schemas.openxmlformats.org/officeDocument/2006/relationships/hyperlink" Target="https://www.google.com/maps/search/?api=1&amp;query=Poster%20House%2C%20119%20W%2023rd%20St%2C%20New%20York" TargetMode="External" Id="rId58" /><Relationship Type="http://schemas.openxmlformats.org/officeDocument/2006/relationships/hyperlink" Target="https://www.google.com/maps/search/?api=1&amp;query=Skyscraper%20Museum%2C%2039%20Battery%20Pl%2C%20New%20York" TargetMode="External" Id="rId59" /><Relationship Type="http://schemas.openxmlformats.org/officeDocument/2006/relationships/hyperlink" Target="https://www.google.com/maps/search/?api=1&amp;query=East%20Village%2C%20New%20York" TargetMode="External" Id="rId60" /><Relationship Type="http://schemas.openxmlformats.org/officeDocument/2006/relationships/hyperlink" Target="https://www.google.com/maps/search/?api=1&amp;query=Harlem%2C%20W%20125th%20St%2C%20Manhattan%2C%20New%20York" TargetMode="External" Id="rId61" /><Relationship Type="http://schemas.openxmlformats.org/officeDocument/2006/relationships/hyperlink" Target="https://www.google.com/maps/search/?api=1&amp;query=Inwood%2C%20Dyckman%20St%2C%20Manhattan%2C%20New%20York" TargetMode="External" Id="rId62" /><Relationship Type="http://schemas.openxmlformats.org/officeDocument/2006/relationships/hyperlink" Target="https://www.google.com/maps/search/?api=1&amp;query=Lower%20East%20Side%2C%20Orchard%20St%20%26%20Delancey%20St%2C%20New%20York" TargetMode="External" Id="rId63" /><Relationship Type="http://schemas.openxmlformats.org/officeDocument/2006/relationships/hyperlink" Target="https://www.google.com/maps/search/?api=1&amp;query=SoHo%2C%20New%20York" TargetMode="External" Id="rId64" /><Relationship Type="http://schemas.openxmlformats.org/officeDocument/2006/relationships/hyperlink" Target="https://www.google.com/maps/search/?api=1&amp;query=Vinegar%20Hill%2C%20Hudson%20Ave%20%26%20Front%20St%2C%20Brooklyn%2C%20New%20York" TargetMode="External" Id="rId65" /><Relationship Type="http://schemas.openxmlformats.org/officeDocument/2006/relationships/hyperlink" Target="https://www.google.com/maps/search/?api=1&amp;query=West%20Village%2C%20Bleecker%20St%20%26%20Bank%20St%2C%20New%20York" TargetMode="External" Id="rId66" /><Relationship Type="http://schemas.openxmlformats.org/officeDocument/2006/relationships/hyperlink" Target="https://www.google.com/maps/search/?api=1&amp;query=Arthur%20Avenue%20%28Belmont%29%2C%20Arthur%20Ave%20%26%20E%20187th%20St%2C%20Bronx%2C%20New%20York" TargetMode="External" Id="rId67" /><Relationship Type="http://schemas.openxmlformats.org/officeDocument/2006/relationships/hyperlink" Target="https://www.google.com/maps/search/?api=1&amp;query=Astoria%2C%2030th%20Ave%20%26%2031st%20St%2C%20Astoria%2C%20New%20York" TargetMode="External" Id="rId68" /><Relationship Type="http://schemas.openxmlformats.org/officeDocument/2006/relationships/hyperlink" Target="https://www.google.com/maps/search/?api=1&amp;query=Bay%20Ridge%2C%205th%20Ave%20%26%2086th%20St%2C%20Brooklyn%2C%20New%20York" TargetMode="External" Id="rId69" /><Relationship Type="http://schemas.openxmlformats.org/officeDocument/2006/relationships/hyperlink" Target="https://www.google.com/maps/search/?api=1&amp;query=Chinatown%20%28Manhattan%29%2C%20Mott%20St%20%26%20Canal%20St%2C%20New%20York" TargetMode="External" Id="rId70" /><Relationship Type="http://schemas.openxmlformats.org/officeDocument/2006/relationships/hyperlink" Target="https://www.google.com/maps/search/?api=1&amp;query=Flushing%2C%20Main%20St%20%26%20Roosevelt%20Ave%2C%20Flushing%2C%20New%20York" TargetMode="External" Id="rId71" /><Relationship Type="http://schemas.openxmlformats.org/officeDocument/2006/relationships/hyperlink" Target="https://www.google.com/maps/search/?api=1&amp;query=Greenpoint%2C%20Manhattan%20Ave%20%26%20Nassau%20Ave%2C%20Brooklyn%2C%20New%20York" TargetMode="External" Id="rId72" /><Relationship Type="http://schemas.openxmlformats.org/officeDocument/2006/relationships/hyperlink" Target="https://www.google.com/maps/search/?api=1&amp;query=Jackson%20Heights%2C%2074th%20St%20%26%20Roosevelt%20Ave%2C%20Queens%2C%20New%20York" TargetMode="External" Id="rId73" /><Relationship Type="http://schemas.openxmlformats.org/officeDocument/2006/relationships/hyperlink" Target="https://www.google.com/maps/search/?api=1&amp;query=Ridgewood%2C%20Forest%20Ave%2C%20Ridgewood%2C%20Queens%2C%20New%20York" TargetMode="External" Id="rId74" /><Relationship Type="http://schemas.openxmlformats.org/officeDocument/2006/relationships/hyperlink" Target="https://www.google.com/maps/search/?api=1&amp;query=Sunset%20Park%20%28barrio%29%2C%205th%20Ave%20%26%2045th%20St%2C%20Brooklyn%2C%20New%20York" TargetMode="External" Id="rId75" /><Relationship Type="http://schemas.openxmlformats.org/officeDocument/2006/relationships/hyperlink" Target="https://www.google.com/maps/search/?api=1&amp;query=Governors%20Island%2C%20Governors%20Island%2C%20New%20York%2C%20New%20York" TargetMode="External" Id="rId76" /><Relationship Type="http://schemas.openxmlformats.org/officeDocument/2006/relationships/hyperlink" Target="https://www.google.com/maps/search/?api=1&amp;query=Roosevelt%20Island%2C%20Roosevelt%20Island%2C%20New%20York%2C%20New%20York" TargetMode="External" Id="rId77" /><Relationship Type="http://schemas.openxmlformats.org/officeDocument/2006/relationships/hyperlink" Target="https://www.google.com/maps/search/?api=1&amp;query=DUMBO%2C%20Washington%20St%20%26%20Water%20St%2C%20Brooklyn%2C%20New%20York" TargetMode="External" Id="rId78" /><Relationship Type="http://schemas.openxmlformats.org/officeDocument/2006/relationships/hyperlink" Target="https://www.google.com/maps/search/?api=1&amp;query=Red%20Hook%2C%20Van%20Brunt%20St%2C%20Brooklyn%2C%20New%20York" TargetMode="External" Id="rId79" /><Relationship Type="http://schemas.openxmlformats.org/officeDocument/2006/relationships/hyperlink" Target="https://www.google.com/maps/search/?api=1&amp;query=%25%20Arabica%2C%20New%20York" TargetMode="External" Id="rId80" /><Relationship Type="http://schemas.openxmlformats.org/officeDocument/2006/relationships/hyperlink" Target="https://www.google.com/maps/search/?api=1&amp;query=Biblioth%C3%A8que%2C%20New%20York" TargetMode="External" Id="rId81" /><Relationship Type="http://schemas.openxmlformats.org/officeDocument/2006/relationships/hyperlink" Target="https://www.google.com/maps/search/?api=1&amp;query=Bluestone%20Lane%20UWS%20Caf%C3%A9%2C%20New%20York" TargetMode="External" Id="rId82" /><Relationship Type="http://schemas.openxmlformats.org/officeDocument/2006/relationships/hyperlink" Target="https://www.google.com/maps/search/?api=1&amp;query=Bubby%27s%20Tribeca%2C%20120%20Hudson%20St%2C%20New%20York" TargetMode="External" Id="rId83" /><Relationship Type="http://schemas.openxmlformats.org/officeDocument/2006/relationships/hyperlink" Target="https://www.google.com/maps/search/?api=1&amp;query=Culture%20Espresso%2C%2072%20W%2038th%20St%2C%20New%20York" TargetMode="External" Id="rId84" /><Relationship Type="http://schemas.openxmlformats.org/officeDocument/2006/relationships/hyperlink" Target="https://www.google.com/maps/search/?api=1&amp;query=Jack%27s%20Wife%20Freda%2C%20224%20Lafayette%20St%2C%20New%20York" TargetMode="External" Id="rId85" /><Relationship Type="http://schemas.openxmlformats.org/officeDocument/2006/relationships/hyperlink" Target="https://www.google.com/maps/search/?api=1&amp;query=Sarabeth%27s%20Central%20Park%20South%2C%2040%20Central%20Park%20S%2C%20New%20York" TargetMode="External" Id="rId86" /><Relationship Type="http://schemas.openxmlformats.org/officeDocument/2006/relationships/hyperlink" Target="https://www.google.com/maps/search/?api=1&amp;query=Starbucks%20Reserve%20Roastery%2C%2061%209th%20Ave%2C%20New%20York" TargetMode="External" Id="rId87" /><Relationship Type="http://schemas.openxmlformats.org/officeDocument/2006/relationships/hyperlink" Target="https://www.google.com/maps/search/?api=1&amp;query=The%20Grey%20Dog%20-%20Union%20Square%2C%2090%20University%20Pl%2C%20New%20York" TargetMode="External" Id="rId88" /><Relationship Type="http://schemas.openxmlformats.org/officeDocument/2006/relationships/hyperlink" Target="https://www.google.com/maps/search/?api=1&amp;query=Double%20Chicken%20Please%2C%20115%20Allen%20St%2C%20New%20York" TargetMode="External" Id="rId89" /><Relationship Type="http://schemas.openxmlformats.org/officeDocument/2006/relationships/hyperlink" Target="https://www.google.com/maps/search/?api=1&amp;query=Adel%27s%20Famous%20Halal%20Food%2C%20New%20York" TargetMode="External" Id="rId90" /><Relationship Type="http://schemas.openxmlformats.org/officeDocument/2006/relationships/hyperlink" Target="https://www.google.com/maps/search/?api=1&amp;query=Bark%20Barbecue%2C%20New%20York" TargetMode="External" Id="rId91" /><Relationship Type="http://schemas.openxmlformats.org/officeDocument/2006/relationships/hyperlink" Target="https://www.google.com/maps/search/?api=1&amp;query=Casa%20Della%20Mozzarella%2C%20604%20E%20187th%20St%2C%20Bronx%2C%20New%20York" TargetMode="External" Id="rId92" /><Relationship Type="http://schemas.openxmlformats.org/officeDocument/2006/relationships/hyperlink" Target="https://www.google.com/maps/search/?api=1&amp;query=Cosenza%27s%20Fish%20Market%2C%202354%20Arthur%20Ave%2C%20Bronx%2C%20New%20York" TargetMode="External" Id="rId93" /><Relationship Type="http://schemas.openxmlformats.org/officeDocument/2006/relationships/hyperlink" Target="https://www.google.com/maps/search/?api=1&amp;query=Di%20Palo%27s%20Fine%20Foods%2C%20200%20Grand%20St%2C%20New%20York" TargetMode="External" Id="rId94" /><Relationship Type="http://schemas.openxmlformats.org/officeDocument/2006/relationships/hyperlink" Target="https://www.google.com/maps/search/?api=1&amp;query=Gray%27s%20Papaya%2C%202090%20Broadway%2C%20New%20York" TargetMode="External" Id="rId95" /><Relationship Type="http://schemas.openxmlformats.org/officeDocument/2006/relationships/hyperlink" Target="https://www.google.com/maps/search/?api=1&amp;query=Los%20Tacos%20No.%201%2C%2075%209th%20Ave%20%28Chelsea%20Market%29%2C%20New%20York" TargetMode="External" Id="rId96" /><Relationship Type="http://schemas.openxmlformats.org/officeDocument/2006/relationships/hyperlink" Target="https://www.google.com/maps/search/?api=1&amp;query=Murray%27s%20Cheese%2C%20254%20Bleecker%20St%2C%20New%20York" TargetMode="External" Id="rId97" /><Relationship Type="http://schemas.openxmlformats.org/officeDocument/2006/relationships/hyperlink" Target="https://www.google.com/maps/search/?api=1&amp;query=Papaya%20King%2C%20206%20E%2086th%20St%2C%20New%20York" TargetMode="External" Id="rId98" /><Relationship Type="http://schemas.openxmlformats.org/officeDocument/2006/relationships/hyperlink" Target="https://www.google.com/maps/search/?api=1&amp;query=Pommes%20Frites%2C%20128%20MacDougal%20St%2C%20New%20York" TargetMode="External" Id="rId99" /><Relationship Type="http://schemas.openxmlformats.org/officeDocument/2006/relationships/hyperlink" Target="https://www.google.com/maps/search/?api=1&amp;query=Xi%27an%20Famous%20Foods%20%28W%2045th%29%2C%2060%20W%2045th%20St%2C%20New%20York" TargetMode="External" Id="rId100" /><Relationship Type="http://schemas.openxmlformats.org/officeDocument/2006/relationships/hyperlink" Target="https://www.google.com/maps/search/?api=1&amp;query=Barney%20Greengrass%2C%20541%20Amsterdam%20Ave%2C%20New%20York" TargetMode="External" Id="rId101" /><Relationship Type="http://schemas.openxmlformats.org/officeDocument/2006/relationships/hyperlink" Target="https://www.google.com/maps/search/?api=1&amp;query=Frankel%27s%20Delicatessen%2C%20631%20Manhattan%20Ave%2C%20Brooklyn%2C%20New%20York" TargetMode="External" Id="rId102" /><Relationship Type="http://schemas.openxmlformats.org/officeDocument/2006/relationships/hyperlink" Target="https://www.google.com/maps/search/?api=1&amp;query=Katz%27s%20Delicatessen%2C%20205%20E%20Houston%20St%2C%20New%20York" TargetMode="External" Id="rId103" /><Relationship Type="http://schemas.openxmlformats.org/officeDocument/2006/relationships/hyperlink" Target="https://www.google.com/maps/search/?api=1&amp;query=Russ%20%26%20Daughters%2C%20179%20E%20Houston%20St%2C%20New%20York" TargetMode="External" Id="rId104" /><Relationship Type="http://schemas.openxmlformats.org/officeDocument/2006/relationships/hyperlink" Target="https://www.google.com/maps/search/?api=1&amp;query=Russ%20%26%20Daughters%20Cafe%2C%20127%20Orchard%20St%2C%20New%20York" TargetMode="External" Id="rId105" /><Relationship Type="http://schemas.openxmlformats.org/officeDocument/2006/relationships/hyperlink" Target="https://www.google.com/maps/search/?api=1&amp;query=S%26P%20Lunch%2C%20174%205th%20Ave%2C%20New%20York" TargetMode="External" Id="rId106" /><Relationship Type="http://schemas.openxmlformats.org/officeDocument/2006/relationships/hyperlink" Target="https://www.google.com/maps/search/?api=1&amp;query=Sarge%27s%20Delicatessen%20%26%20Diner%2C%20548%203rd%20Ave%2C%20New%20York" TargetMode="External" Id="rId107" /><Relationship Type="http://schemas.openxmlformats.org/officeDocument/2006/relationships/hyperlink" Target="https://www.google.com/maps/search/?api=1&amp;query=Golden%20Diner%2C%20123%20Madison%20St%2C%20New%20York" TargetMode="External" Id="rId108" /><Relationship Type="http://schemas.openxmlformats.org/officeDocument/2006/relationships/hyperlink" Target="https://www.google.com/maps/search/?api=1&amp;query=Junior%27s%20Restaurant%20and%20Bakery%2C%201626%20Broadway%2C%20New%20York" TargetMode="External" Id="rId109" /><Relationship Type="http://schemas.openxmlformats.org/officeDocument/2006/relationships/hyperlink" Target="https://www.google.com/maps/search/?api=1&amp;query=Lexington%20Candy%20Shop%2C%201226%20Lexington%20Ave%2C%20New%20York" TargetMode="External" Id="rId110" /><Relationship Type="http://schemas.openxmlformats.org/officeDocument/2006/relationships/hyperlink" Target="https://www.google.com/maps/search/?api=1&amp;query=Tick%20Tock%20Diner%20NY%2C%20481%208th%20Ave%2C%20New%20York" TargetMode="External" Id="rId111" /><Relationship Type="http://schemas.openxmlformats.org/officeDocument/2006/relationships/hyperlink" Target="https://www.google.com/maps/search/?api=1&amp;query=Corner%20Bistro%2C%20331%20W%204th%20St%2C%20New%20York" TargetMode="External" Id="rId112" /><Relationship Type="http://schemas.openxmlformats.org/officeDocument/2006/relationships/hyperlink" Target="https://www.google.com/maps/search/?api=1&amp;query=Hamburger%20America%2C%20155%20W%20Houston%20St%2C%20New%20York" TargetMode="External" Id="rId113" /><Relationship Type="http://schemas.openxmlformats.org/officeDocument/2006/relationships/hyperlink" Target="https://www.google.com/maps/search/?api=1&amp;query=Shake%20Shack%20%28Columbus%20Circle%20/%20Theater%20District%29%2C%20New%20York" TargetMode="External" Id="rId114" /><Relationship Type="http://schemas.openxmlformats.org/officeDocument/2006/relationships/hyperlink" Target="https://www.google.com/maps/search/?api=1&amp;query=Amorino%2C%20New%20York" TargetMode="External" Id="rId115" /><Relationship Type="http://schemas.openxmlformats.org/officeDocument/2006/relationships/hyperlink" Target="https://www.google.com/maps/search/?api=1&amp;query=Dough%20Doughnuts%2C%20New%20York" TargetMode="External" Id="rId116" /><Relationship Type="http://schemas.openxmlformats.org/officeDocument/2006/relationships/hyperlink" Target="https://www.google.com/maps/search/?api=1&amp;query=Krispy%20Kreme%20Times%20Square%2C%201601%20Broadway%2C%20New%20York" TargetMode="External" Id="rId117" /><Relationship Type="http://schemas.openxmlformats.org/officeDocument/2006/relationships/hyperlink" Target="https://www.google.com/maps/search/?api=1&amp;query=Levain%20Bakery%2C%20351%20Amsterdam%20Ave%2C%20New%20York" TargetMode="External" Id="rId118" /><Relationship Type="http://schemas.openxmlformats.org/officeDocument/2006/relationships/hyperlink" Target="https://www.google.com/maps/search/?api=1&amp;query=OddFellows%20Ice%20Cream%20%28Domino%20Park%29%2C%2040%20River%20St%2C%20Brooklyn%2C%20New%20York" TargetMode="External" Id="rId119" /><Relationship Type="http://schemas.openxmlformats.org/officeDocument/2006/relationships/hyperlink" Target="https://www.google.com/maps/search/?api=1&amp;query=Arthur%20Avenue%20Retail%20Market%2C%202344%20Arthur%20Ave%2C%20Bronx%2C%20New%20York" TargetMode="External" Id="rId120" /><Relationship Type="http://schemas.openxmlformats.org/officeDocument/2006/relationships/hyperlink" Target="https://www.google.com/maps/search/?api=1&amp;query=Chelsea%20Market%2C%2075%209th%20Ave%2C%20New%20York" TargetMode="External" Id="rId121" /><Relationship Type="http://schemas.openxmlformats.org/officeDocument/2006/relationships/hyperlink" Target="https://www.google.com/maps/search/?api=1&amp;query=DeKalb%20Market%20Hall%2C%20445%20Albee%20Square%20W%2C%20Brooklyn%2C%20New%20York" TargetMode="External" Id="rId122" /><Relationship Type="http://schemas.openxmlformats.org/officeDocument/2006/relationships/hyperlink" Target="https://www.google.com/maps/search/?api=1&amp;query=Eataly%20Flatiron%2C%20200%205th%20Ave%2C%20New%20York" TargetMode="External" Id="rId123" /><Relationship Type="http://schemas.openxmlformats.org/officeDocument/2006/relationships/hyperlink" Target="https://www.google.com/maps/search/?api=1&amp;query=Essex%20Market%2C%2088%20Essex%20St%2C%20New%20York" TargetMode="External" Id="rId124" /><Relationship Type="http://schemas.openxmlformats.org/officeDocument/2006/relationships/hyperlink" Target="https://www.google.com/maps/search/?api=1&amp;query=Gansevoort%20Market%2C%20353%20W%2014th%20St%2C%20New%20York" TargetMode="External" Id="rId125" /><Relationship Type="http://schemas.openxmlformats.org/officeDocument/2006/relationships/hyperlink" Target="https://www.google.com/maps/search/?api=1&amp;query=Morningside%20Park%20Farmers%20Market%2C%20New%20York" TargetMode="External" Id="rId126" /><Relationship Type="http://schemas.openxmlformats.org/officeDocument/2006/relationships/hyperlink" Target="https://www.google.com/maps/search/?api=1&amp;query=New%20World%20Mall%20Food%20Court%2C%20136-20%20Roosevelt%20Ave%2C%20Flushing%2C%20New%20York" TargetMode="External" Id="rId127" /><Relationship Type="http://schemas.openxmlformats.org/officeDocument/2006/relationships/hyperlink" Target="https://www.google.com/maps/search/?api=1&amp;query=Smorgasburg%20Williamsburg%2C%20Marsha%20P.%20Johnson%20State%20Park%2C%20Kent%20Ave%2C%20Brooklyn%2C%20New%20York" TargetMode="External" Id="rId128" /><Relationship Type="http://schemas.openxmlformats.org/officeDocument/2006/relationships/hyperlink" Target="https://www.google.com/maps/search/?api=1&amp;query=Time%20Out%20Market%2C%2055%20Water%20St%2C%20Brooklyn%2C%20New%20York" TargetMode="External" Id="rId129" /><Relationship Type="http://schemas.openxmlformats.org/officeDocument/2006/relationships/hyperlink" Target="https://www.google.com/maps/search/?api=1&amp;query=Zabar%27s%2C%202245%20Broadway%2C%20New%20York" TargetMode="External" Id="rId130" /><Relationship Type="http://schemas.openxmlformats.org/officeDocument/2006/relationships/hyperlink" Target="https://www.google.com/maps/search/?api=1&amp;query=Amy%27s%20Bread%2C%20672%209th%20Ave%2C%20New%20York" TargetMode="External" Id="rId131" /><Relationship Type="http://schemas.openxmlformats.org/officeDocument/2006/relationships/hyperlink" Target="https://www.google.com/maps/search/?api=1&amp;query=Bo%27s%20Bagels%2C%20235%20W%20116th%20St%2C%20New%20York" TargetMode="External" Id="rId132" /><Relationship Type="http://schemas.openxmlformats.org/officeDocument/2006/relationships/hyperlink" Target="https://www.google.com/maps/search/?api=1&amp;query=Dominique%20Ansel%20Bakery%2C%20189%20Spring%20St%2C%20New%20York" TargetMode="External" Id="rId133" /><Relationship Type="http://schemas.openxmlformats.org/officeDocument/2006/relationships/hyperlink" Target="https://www.google.com/maps/search/?api=1&amp;query=La%20Cabra%20Bakery%2C%20152%202nd%20Ave%2C%20New%20York" TargetMode="External" Id="rId134" /><Relationship Type="http://schemas.openxmlformats.org/officeDocument/2006/relationships/hyperlink" Target="https://www.google.com/maps/search/?api=1&amp;query=Pop%27s%20Bagels%20Nolita%2C%20New%20York" TargetMode="External" Id="rId135" /><Relationship Type="http://schemas.openxmlformats.org/officeDocument/2006/relationships/hyperlink" Target="https://www.google.com/maps/search/?api=1&amp;query=Rudy%27s%20Pastry%20Shop%2C%20905%20Seneca%20Ave%2C%20Ridgewood%2C%20New%20York" TargetMode="External" Id="rId136" /><Relationship Type="http://schemas.openxmlformats.org/officeDocument/2006/relationships/hyperlink" Target="https://www.google.com/maps/search/?api=1&amp;query=Vesuvio%20Bakery%2C%20160%20Prince%20St%2C%20New%20York" TargetMode="External" Id="rId137" /><Relationship Type="http://schemas.openxmlformats.org/officeDocument/2006/relationships/hyperlink" Target="https://www.google.com/maps/search/?api=1&amp;query=Bleecker%20Street%20Pizza%2C%2069%207th%20Ave%20S%2C%20New%20York" TargetMode="External" Id="rId138" /><Relationship Type="http://schemas.openxmlformats.org/officeDocument/2006/relationships/hyperlink" Target="https://www.google.com/maps/search/?api=1&amp;query=Emily%20%28West%20Village%29%2C%2035%20Downing%20St%2C%20New%20York" TargetMode="External" Id="rId139" /><Relationship Type="http://schemas.openxmlformats.org/officeDocument/2006/relationships/hyperlink" Target="https://www.google.com/maps/search/?api=1&amp;query=Joe%27s%20Pizza%20%28Carmine%20St%29%2C%207%20Carmine%20St%2C%20New%20York" TargetMode="External" Id="rId140" /><Relationship Type="http://schemas.openxmlformats.org/officeDocument/2006/relationships/hyperlink" Target="https://www.google.com/maps/search/?api=1&amp;query=John%27s%20of%20Times%20Square%2C%20260%20W%2044th%20St%2C%20New%20York" TargetMode="External" Id="rId141" /><Relationship Type="http://schemas.openxmlformats.org/officeDocument/2006/relationships/hyperlink" Target="https://www.google.com/maps/search/?api=1&amp;query=Juliana%27s%20Pizza%2C%2019%20Old%20Fulton%20St%2C%20Brooklyn%2C%20New%20York" TargetMode="External" Id="rId142" /><Relationship Type="http://schemas.openxmlformats.org/officeDocument/2006/relationships/hyperlink" Target="https://www.google.com/maps/search/?api=1&amp;query=L%26B%20Spumoni%20Gardens%2C%202725%2086th%20St%2C%20Brooklyn%2C%20New%20York" TargetMode="External" Id="rId143" /><Relationship Type="http://schemas.openxmlformats.org/officeDocument/2006/relationships/hyperlink" Target="https://www.google.com/maps/search/?api=1&amp;query=Lucali%2C%20575%20Henry%20St%2C%20Brooklyn%2C%20New%20York" TargetMode="External" Id="rId144" /><Relationship Type="http://schemas.openxmlformats.org/officeDocument/2006/relationships/hyperlink" Target="https://www.google.com/maps/search/?api=1&amp;query=Mano%27s%20Pizzeria%2C%206202%20Forest%20Ave%2C%20Ridgewood%2C%20New%20York" TargetMode="External" Id="rId145" /><Relationship Type="http://schemas.openxmlformats.org/officeDocument/2006/relationships/hyperlink" Target="https://www.google.com/maps/search/?api=1&amp;query=Totonno%27s%2C%201524%20Neptune%20Ave%2C%20Brooklyn%2C%20New%20York" TargetMode="External" Id="rId146" /><Relationship Type="http://schemas.openxmlformats.org/officeDocument/2006/relationships/hyperlink" Target="https://www.google.com/maps/search/?api=1&amp;query=Beast%20%26%20Butterflies%20Times%20Square%2C%20New%20York" TargetMode="External" Id="rId147" /><Relationship Type="http://schemas.openxmlformats.org/officeDocument/2006/relationships/hyperlink" Target="https://www.google.com/maps/search/?api=1&amp;query=Grand%20Brasserie%2C%2089%20E%2042nd%20St%2C%20New%20York" TargetMode="External" Id="rId148" /><Relationship Type="http://schemas.openxmlformats.org/officeDocument/2006/relationships/hyperlink" Target="https://www.google.com/maps/search/?api=1&amp;query=Sylvia%27s%2C%20328%20Malcolm%20X%20Blvd%2C%20New%20York" TargetMode="External" Id="rId149" /><Relationship Type="http://schemas.openxmlformats.org/officeDocument/2006/relationships/hyperlink" Target="https://www.google.com/maps/search/?api=1&amp;query=Central%20Park%20Boathouse%2C%20E%2072nd%20St%20%26%20Park%20Dr%20N%2C%20New%20York" TargetMode="External" Id="rId150" /><Relationship Type="http://schemas.openxmlformats.org/officeDocument/2006/relationships/hyperlink" Target="https://www.google.com/maps/search/?api=1&amp;query=Manhatta%2C%2028%20Liberty%20St%2C%20piso%2060%2C%20New%20York" TargetMode="External" Id="rId151" /><Relationship Type="http://schemas.openxmlformats.org/officeDocument/2006/relationships/hyperlink" Target="https://www.google.com/maps/search/?api=1&amp;query=Africa%20Kine%2C%202267%20Adam%20Clayton%20Powell%20Jr%20Blvd%2C%20New%20York" TargetMode="External" Id="rId152" /><Relationship Type="http://schemas.openxmlformats.org/officeDocument/2006/relationships/hyperlink" Target="https://www.google.com/maps/search/?api=1&amp;query=Carmine%27s%2044th%20Street%2C%20200%20W%2044th%20St%2C%20New%20York" TargetMode="External" Id="rId153" /><Relationship Type="http://schemas.openxmlformats.org/officeDocument/2006/relationships/hyperlink" Target="https://www.google.com/maps/search/?api=1&amp;query=Deluxe%20Green%20Bo%2C%2066%20Bayard%20St%2C%20New%20York" TargetMode="External" Id="rId154" /><Relationship Type="http://schemas.openxmlformats.org/officeDocument/2006/relationships/hyperlink" Target="https://www.google.com/maps/search/?api=1&amp;query=He%20Nan%20Mian%20Guan%2C%20136-31%2041st%20Ave%2C%20Flushing%2C%20New%20York" TargetMode="External" Id="rId155" /><Relationship Type="http://schemas.openxmlformats.org/officeDocument/2006/relationships/hyperlink" Target="https://www.google.com/maps/search/?api=1&amp;query=Hue%20House%2C%20New%20York" TargetMode="External" Id="rId156" /><Relationship Type="http://schemas.openxmlformats.org/officeDocument/2006/relationships/hyperlink" Target="https://www.google.com/maps/search/?api=1&amp;query=Jalapeno%20King%2C%205th%20Ave%20entre%2022nd%20y%2023rd%20St%2C%20Brooklyn%2C%20New%20York" TargetMode="External" Id="rId157" /><Relationship Type="http://schemas.openxmlformats.org/officeDocument/2006/relationships/hyperlink" Target="https://www.google.com/maps/search/?api=1&amp;query=Joe%27s%20Shanghai%20%28Chinatown%29%2C%2046%20Bowery%2C%20New%20York" TargetMode="External" Id="rId158" /><Relationship Type="http://schemas.openxmlformats.org/officeDocument/2006/relationships/hyperlink" Target="https://www.google.com/maps/search/?api=1&amp;query=Karczma%2C%20136%20Greenpoint%20Ave%2C%20Brooklyn%2C%20New%20York" TargetMode="External" Id="rId159" /><Relationship Type="http://schemas.openxmlformats.org/officeDocument/2006/relationships/hyperlink" Target="https://www.google.com/maps/search/?api=1&amp;query=Lhasa%20Fast%20Food%2C%2037-50%2074th%20St%2C%20Jackson%20Heights%2C%20New%20York" TargetMode="External" Id="rId160" /><Relationship Type="http://schemas.openxmlformats.org/officeDocument/2006/relationships/hyperlink" Target="https://www.google.com/maps/search/?api=1&amp;query=Lil%27%20Frankie%27s%2C%2019%20First%20Ave%2C%20New%20York" TargetMode="External" Id="rId161" /><Relationship Type="http://schemas.openxmlformats.org/officeDocument/2006/relationships/hyperlink" Target="https://www.google.com/maps/search/?api=1&amp;query=Malecon%2C%204141%20Broadway%2C%20New%20York" TargetMode="External" Id="rId162" /><Relationship Type="http://schemas.openxmlformats.org/officeDocument/2006/relationships/hyperlink" Target="https://www.google.com/maps/search/?api=1&amp;query=Nepali%20Bhanchha%20Ghar%2C%2074-06%2037th%20Rd%2C%20Jackson%20Heights%2C%20New%20York" TargetMode="External" Id="rId163" /><Relationship Type="http://schemas.openxmlformats.org/officeDocument/2006/relationships/hyperlink" Target="https://www.google.com/maps/search/?api=1&amp;query=New%20Nurlan%20Uyghur%2C%20135-51%2039th%20Ave%2C%20Flushing%20%28subsuelo%29%2C%20New%20York" TargetMode="External" Id="rId164" /><Relationship Type="http://schemas.openxmlformats.org/officeDocument/2006/relationships/hyperlink" Target="https://www.google.com/maps/search/?api=1&amp;query=Nom%20Wah%20Tea%20Parlor%2C%2013%20Doyers%20St%2C%20New%20York" TargetMode="External" Id="rId165" /><Relationship Type="http://schemas.openxmlformats.org/officeDocument/2006/relationships/hyperlink" Target="https://www.google.com/maps/search/?api=1&amp;query=Pierozek%2C%20833%20Manhattan%20Ave%2C%20Brooklyn%2C%20New%20York" TargetMode="External" Id="rId166" /><Relationship Type="http://schemas.openxmlformats.org/officeDocument/2006/relationships/hyperlink" Target="https://www.google.com/maps/search/?api=1&amp;query=Pies%20%27n%27%20Thighs%2C%20166%20S%204th%20St%2C%20New%20York" TargetMode="External" Id="rId167" /><Relationship Type="http://schemas.openxmlformats.org/officeDocument/2006/relationships/hyperlink" Target="https://www.google.com/maps/search/?api=1&amp;query=Sakagura%2C%20211%20E%2043rd%20St%20%28s%C3%B3tano%29%2C%20New%20York" TargetMode="External" Id="rId168" /><Relationship Type="http://schemas.openxmlformats.org/officeDocument/2006/relationships/hyperlink" Target="https://www.google.com/maps/search/?api=1&amp;query=Tacos%20El%20Bronco%2C%204324%204th%20Ave%2C%20Brooklyn%2C%20New%20York" TargetMode="External" Id="rId169" /><Relationship Type="http://schemas.openxmlformats.org/officeDocument/2006/relationships/hyperlink" Target="https://www.google.com/maps/search/?api=1&amp;query=Tanoreen%2C%207523%203rd%20Ave%2C%20Brooklyn%2C%20New%20York" TargetMode="External" Id="rId170" /><Relationship Type="http://schemas.openxmlformats.org/officeDocument/2006/relationships/hyperlink" Target="https://www.google.com/maps/search/?api=1&amp;query=Taverna%20Kyclades%2C%2033-07%20Ditmars%20Blvd%2C%20Astoria%2C%20New%20York" TargetMode="External" Id="rId171" /><Relationship Type="http://schemas.openxmlformats.org/officeDocument/2006/relationships/hyperlink" Target="https://www.google.com/maps/search/?api=1&amp;query=Trattoria%20Tra%20Di%20Noi%2C%20622%20E%20187th%20St%2C%20Bronx%2C%20New%20York" TargetMode="External" Id="rId172" /><Relationship Type="http://schemas.openxmlformats.org/officeDocument/2006/relationships/hyperlink" Target="https://www.google.com/maps/search/?api=1&amp;query=Uncle%20Lou%2C%2073%20Mulberry%20St%2C%20New%20York" TargetMode="External" Id="rId173" /><Relationship Type="http://schemas.openxmlformats.org/officeDocument/2006/relationships/hyperlink" Target="https://www.google.com/maps/search/?api=1&amp;query=Peter%20Luger%20Steak%20House%2C%20178%20Broadway%2C%20Brooklyn%2C%20New%20York" TargetMode="External" Id="rId174" /><Relationship Type="http://schemas.openxmlformats.org/officeDocument/2006/relationships/hyperlink" Target="https://www.google.com/maps/search/?api=1&amp;query=Bar%20Bayeux%2C%201066%20Nostrand%20Ave%2C%20Brooklyn%2C%20New%20York" TargetMode="External" Id="rId175" /><Relationship Type="http://schemas.openxmlformats.org/officeDocument/2006/relationships/hyperlink" Target="https://www.google.com/maps/search/?api=1&amp;query=Bar%20LunAtico%2C%20486%20Halsey%20St%2C%20Brooklyn%2C%20New%20York" TargetMode="External" Id="rId176" /><Relationship Type="http://schemas.openxmlformats.org/officeDocument/2006/relationships/hyperlink" Target="https://www.google.com/maps/search/?api=1&amp;query=Cafe%20Wha%3F%2C%20115%20MacDougal%20St%2C%20New%20York" TargetMode="External" Id="rId177" /><Relationship Type="http://schemas.openxmlformats.org/officeDocument/2006/relationships/hyperlink" Target="https://www.google.com/maps/search/?api=1&amp;query=Rudy%27s%20Bar%20%26%20Grill%2C%20627%209th%20Ave%2C%20New%20York" TargetMode="External" Id="rId178" /><Relationship Type="http://schemas.openxmlformats.org/officeDocument/2006/relationships/hyperlink" Target="https://www.google.com/maps/search/?api=1&amp;query=Bill%27s%20Place%2C%20148%20W%20133rd%20St%2C%20New%20York" TargetMode="External" Id="rId179" /><Relationship Type="http://schemas.openxmlformats.org/officeDocument/2006/relationships/hyperlink" Target="https://www.google.com/maps/search/?api=1&amp;query=Birdland%2C%20315%20W%2044th%20St%2C%20New%20York" TargetMode="External" Id="rId180" /><Relationship Type="http://schemas.openxmlformats.org/officeDocument/2006/relationships/hyperlink" Target="https://www.google.com/maps/search/?api=1&amp;query=Blue%20Note%2C%20131%20W%203rd%20St%2C%20New%20York" TargetMode="External" Id="rId181" /><Relationship Type="http://schemas.openxmlformats.org/officeDocument/2006/relationships/hyperlink" Target="https://www.google.com/maps/search/?api=1&amp;query=Dizzy%27s%20Club%20%28Jazz%20at%20Lincoln%20Center%29%2C%2010%20Columbus%20Circle%2C%20piso%205%2C%20New%20York" TargetMode="External" Id="rId182" /><Relationship Type="http://schemas.openxmlformats.org/officeDocument/2006/relationships/hyperlink" Target="https://www.google.com/maps/search/?api=1&amp;query=Mezzrow%2C%20163%20W%2010th%20St%2C%20New%20York" TargetMode="External" Id="rId183" /><Relationship Type="http://schemas.openxmlformats.org/officeDocument/2006/relationships/hyperlink" Target="https://www.google.com/maps/search/?api=1&amp;query=Ornithology%20Jazz%20Club%2C%206%20Suydam%20St%2C%20Brooklyn%2C%20New%20York" TargetMode="External" Id="rId184" /><Relationship Type="http://schemas.openxmlformats.org/officeDocument/2006/relationships/hyperlink" Target="https://www.google.com/maps/search/?api=1&amp;query=Smalls%20Jazz%20Club%2C%20183%20W%2010th%20St%2C%20New%20York" TargetMode="External" Id="rId185" /><Relationship Type="http://schemas.openxmlformats.org/officeDocument/2006/relationships/hyperlink" Target="https://www.google.com/maps/search/?api=1&amp;query=Village%20Vanguard%2C%20178%207th%20Ave%20South%2C%20New%20York" TargetMode="External" Id="rId186" /><Relationship Type="http://schemas.openxmlformats.org/officeDocument/2006/relationships/hyperlink" Target="https://www.google.com/maps/search/?api=1&amp;query=Barbes%2C%20376%209th%20St%2C%20Brooklyn%2C%20New%20York" TargetMode="External" Id="rId187" /><Relationship Type="http://schemas.openxmlformats.org/officeDocument/2006/relationships/hyperlink" Target="https://www.google.com/maps/search/?api=1&amp;query=Nublu%2C%20151%20Avenue%20C%2C%20piso%202%2C%20New%20York" TargetMode="External" Id="rId188" /><Relationship Type="http://schemas.openxmlformats.org/officeDocument/2006/relationships/hyperlink" Target="https://www.google.com/maps/search/?api=1&amp;query=FDR%20Four%20Freedoms%20Park%2C%201%20FDR%20Four%20Freedoms%20Park%2C%20Roosevelt%20Island%2C%20New%20York" TargetMode="External" Id="rId189" /><Relationship Type="http://schemas.openxmlformats.org/officeDocument/2006/relationships/hyperlink" Target="https://www.google.com/maps/search/?api=1&amp;query=Haughwout%20Building%2C%20488%20Broadway%2C%20New%20York" TargetMode="External" Id="rId190" /><Relationship Type="http://schemas.openxmlformats.org/officeDocument/2006/relationships/hyperlink" Target="https://www.google.com/maps/search/?api=1&amp;query=Hudson%20Yards%2C%2020%20Hudson%20Yards%2C%20New%20York" TargetMode="External" Id="rId191" /><Relationship Type="http://schemas.openxmlformats.org/officeDocument/2006/relationships/hyperlink" Target="https://www.google.com/maps/search/?api=1&amp;query=Lever%20House%2C%20390%20Park%20Ave%2C%20New%20York" TargetMode="External" Id="rId192" /><Relationship Type="http://schemas.openxmlformats.org/officeDocument/2006/relationships/hyperlink" Target="https://www.google.com/maps/search/?api=1&amp;query=Lincoln%20Center%20%28campus%20y%20plaza%29%2C%20Columbus%20Ave%20entre%2062%20y%2066%2C%20New%20York" TargetMode="External" Id="rId193" /><Relationship Type="http://schemas.openxmlformats.org/officeDocument/2006/relationships/hyperlink" Target="https://www.google.com/maps/search/?api=1&amp;query=Little%20Island%2C%20Pier%2055%2C%20Hudson%20River%20Park%2C%20W%2013th%20St%2C%20New%20York" TargetMode="External" Id="rId194" /><Relationship Type="http://schemas.openxmlformats.org/officeDocument/2006/relationships/hyperlink" Target="https://www.google.com/maps/search/?api=1&amp;query=Oculus%20/%20WTC%20Transportation%20Hub%2C%20Church%20St%20%26%20Fulton%20St%2C%20New%20York" TargetMode="External" Id="rId195" /><Relationship Type="http://schemas.openxmlformats.org/officeDocument/2006/relationships/hyperlink" Target="https://www.google.com/maps/search/?api=1&amp;query=Rockefeller%20Center%2C%2045%20Rockefeller%20Plaza%2C%20New%20York" TargetMode="External" Id="rId196" /><Relationship Type="http://schemas.openxmlformats.org/officeDocument/2006/relationships/hyperlink" Target="https://www.google.com/maps/search/?api=1&amp;query=Seagram%20Building%2C%20375%20Park%20Ave%2C%20New%20York" TargetMode="External" Id="rId197" /><Relationship Type="http://schemas.openxmlformats.org/officeDocument/2006/relationships/hyperlink" Target="https://www.google.com/maps/search/?api=1&amp;query=TWA%20Hotel%20%28terminal%20de%20Saarinen%29%2C%20One%20Idlewild%20Dr%2C%20JFK%2C%20New%20York" TargetMode="External" Id="rId198" /><Relationship Type="http://schemas.openxmlformats.org/officeDocument/2006/relationships/hyperlink" Target="https://www.google.com/maps/search/?api=1&amp;query=The%20Vessel%2C%2020%20Hudson%20Yards%2C%20New%20York" TargetMode="External" Id="rId199" /><Relationship Type="http://schemas.openxmlformats.org/officeDocument/2006/relationships/hyperlink" Target="https://www.google.com/maps/search/?api=1&amp;query=6%C2%BD%20Avenue%2C%206%201/2%20Ave%20%26%20W%2053rd%20St%2C%20New%20York" TargetMode="External" Id="rId200" /><Relationship Type="http://schemas.openxmlformats.org/officeDocument/2006/relationships/hyperlink" Target="https://www.google.com/maps/search/?api=1&amp;query=75%C2%BD%20Bedford%20Street%2C%2075%20Bedford%20St%2C%20New%20York" TargetMode="External" Id="rId201" /><Relationship Type="http://schemas.openxmlformats.org/officeDocument/2006/relationships/hyperlink" Target="https://www.google.com/maps/search/?api=1&amp;query=Amster%20Yard%20%28Instituto%20Cervantes%29%2C%20211%20E%2049th%20St%2C%20New%20York" TargetMode="External" Id="rId202" /><Relationship Type="http://schemas.openxmlformats.org/officeDocument/2006/relationships/hyperlink" Target="https://www.google.com/maps/search/?api=1&amp;query=Apollo%20Theater%2C%20253%20W%20125th%20St%2C%20New%20York" TargetMode="External" Id="rId203" /><Relationship Type="http://schemas.openxmlformats.org/officeDocument/2006/relationships/hyperlink" Target="https://www.google.com/maps/search/?api=1&amp;query=Cannon%27s%20Walk%2C%20New%20York" TargetMode="External" Id="rId204" /><Relationship Type="http://schemas.openxmlformats.org/officeDocument/2006/relationships/hyperlink" Target="https://www.google.com/maps/search/?api=1&amp;query=Charging%20Bull%2C%20Broadway%20y%20Morris%20St%2C%20New%20York" TargetMode="External" Id="rId205" /><Relationship Type="http://schemas.openxmlformats.org/officeDocument/2006/relationships/hyperlink" Target="https://www.google.com/maps/search/?api=1&amp;query=Cushman%20Row%2C%20406%20W%2020th%20St%2C%20New%20York" TargetMode="External" Id="rId206" /><Relationship Type="http://schemas.openxmlformats.org/officeDocument/2006/relationships/hyperlink" Target="https://www.google.com/maps/search/?api=1&amp;query=Doyers%20St%2C%20New%20York" TargetMode="External" Id="rId207" /><Relationship Type="http://schemas.openxmlformats.org/officeDocument/2006/relationships/hyperlink" Target="https://www.google.com/maps/search/?api=1&amp;query=Fraunces%20Tavern%2C%2054%20Pearl%20St%2C%20New%20York" TargetMode="External" Id="rId208" /><Relationship Type="http://schemas.openxmlformats.org/officeDocument/2006/relationships/hyperlink" Target="https://www.google.com/maps/search/?api=1&amp;query=Grove%20Court%2C%2010-12%20Grove%20St%2C%20New%20York" TargetMode="External" Id="rId209" /><Relationship Type="http://schemas.openxmlformats.org/officeDocument/2006/relationships/hyperlink" Target="https://www.google.com/maps/search/?api=1&amp;query=Henderson%20Place%2C%20Henderson%20Pl%2C%20E%2086th%20St%2C%20New%20York" TargetMode="External" Id="rId210" /><Relationship Type="http://schemas.openxmlformats.org/officeDocument/2006/relationships/hyperlink" Target="https://www.google.com/maps/search/?api=1&amp;query=Hotel%20Chelsea%2C%20222%20W%2023rd%20St%2C%20New%20York" TargetMode="External" Id="rId211" /><Relationship Type="http://schemas.openxmlformats.org/officeDocument/2006/relationships/hyperlink" Target="https://www.google.com/maps/search/?api=1&amp;query=Irish%20Hunger%20Memorial%2C%20Vesey%20St%20%26%20North%20End%20Ave%2C%20New%20York" TargetMode="External" Id="rId212" /><Relationship Type="http://schemas.openxmlformats.org/officeDocument/2006/relationships/hyperlink" Target="https://www.google.com/maps/search/?api=1&amp;query=Jane%27s%20Carousel%2C%20Brooklyn%20Bridge%20Park%2C%20Old%20Dock%20St%2C%20New%20York" TargetMode="External" Id="rId213" /><Relationship Type="http://schemas.openxmlformats.org/officeDocument/2006/relationships/hyperlink" Target="https://www.google.com/maps/search/?api=1&amp;query=Patchin%20Place%2C%20Patchin%20Place%2C%20W%2010th%20St%2C%20New%20York" TargetMode="External" Id="rId214" /><Relationship Type="http://schemas.openxmlformats.org/officeDocument/2006/relationships/hyperlink" Target="https://www.google.com/maps/search/?api=1&amp;query=Pomander%20Walk%2C%20261%20W%2094th%20St%2C%20New%20York" TargetMode="External" Id="rId215" /><Relationship Type="http://schemas.openxmlformats.org/officeDocument/2006/relationships/hyperlink" Target="https://www.google.com/maps/search/?api=1&amp;query=Prince%20St%2C%20New%20York" TargetMode="External" Id="rId216" /><Relationship Type="http://schemas.openxmlformats.org/officeDocument/2006/relationships/hyperlink" Target="https://www.google.com/maps/search/?api=1&amp;query=Roosevelt%20Island%20Lighthouse%2C%20New%20York" TargetMode="External" Id="rId217" /><Relationship Type="http://schemas.openxmlformats.org/officeDocument/2006/relationships/hyperlink" Target="https://www.google.com/maps/search/?api=1&amp;query=Smallpox%20Memorial%20Hospital%2C%20New%20York" TargetMode="External" Id="rId218" /><Relationship Type="http://schemas.openxmlformats.org/officeDocument/2006/relationships/hyperlink" Target="https://www.google.com/maps/search/?api=1&amp;query=Sniffen%20Court%2C%20150%20E%2036th%20St%2C%20New%20York" TargetMode="External" Id="rId219" /><Relationship Type="http://schemas.openxmlformats.org/officeDocument/2006/relationships/hyperlink" Target="https://www.google.com/maps/search/?api=1&amp;query=Stone%20St%2C%20New%20York" TargetMode="External" Id="rId220" /><Relationship Type="http://schemas.openxmlformats.org/officeDocument/2006/relationships/hyperlink" Target="https://www.google.com/maps/search/?api=1&amp;query=Stonewall%20National%20Monument%2C%2053%20Christopher%20St%2C%20New%20York" TargetMode="External" Id="rId221" /><Relationship Type="http://schemas.openxmlformats.org/officeDocument/2006/relationships/hyperlink" Target="https://www.google.com/maps/search/?api=1&amp;query=Strivers%27%20Row%2C%20W%20138th-139th%20St%20entre%20Adam%20Clayton%20Powell%20y%20Frederick%20Douglass%2C%20New%20York" TargetMode="External" Id="rId222" /><Relationship Type="http://schemas.openxmlformats.org/officeDocument/2006/relationships/hyperlink" Target="https://www.google.com/maps/search/?api=1&amp;query=The%20Girl%20Puzzle%20%28Nellie%20Bly%29%2C%20Lighthouse%20Park%2C%20Roosevelt%20Island%2C%20New%20York" TargetMode="External" Id="rId223" /><Relationship Type="http://schemas.openxmlformats.org/officeDocument/2006/relationships/hyperlink" Target="https://www.google.com/maps/search/?api=1&amp;query=The%20Octagon%2C%20888%20Main%20St%2C%20Roosevelt%20Island%2C%20New%20York" TargetMode="External" Id="rId224" /><Relationship Type="http://schemas.openxmlformats.org/officeDocument/2006/relationships/hyperlink" Target="https://www.google.com/maps/search/?api=1&amp;query=Vander%20Ende-Onderdonk%20House%2C%201820%20Flushing%20Ave%2C%20Ridgewood%2C%20New%20York" TargetMode="External" Id="rId225" /><Relationship Type="http://schemas.openxmlformats.org/officeDocument/2006/relationships/hyperlink" Target="https://www.google.com/maps/search/?api=1&amp;query=Wall%20St%2C%20New%20York" TargetMode="External" Id="rId226" /><Relationship Type="http://schemas.openxmlformats.org/officeDocument/2006/relationships/hyperlink" Target="https://www.google.com/maps/search/?api=1&amp;query=Washington%20Mews%2C%20Washington%20Mews%2C%20entre%205th%20Ave%20y%20University%20Pl%2C%20New%20York" TargetMode="External" Id="rId227" /><Relationship Type="http://schemas.openxmlformats.org/officeDocument/2006/relationships/hyperlink" Target="https://www.google.com/maps/search/?api=1&amp;query=Washington%20St%20%28la%20foto%20de%20DUMBO%29%2C%20Washington%20St%20%26%20Water%20St%2C%20New%20York" TargetMode="External" Id="rId228" /><Relationship Type="http://schemas.openxmlformats.org/officeDocument/2006/relationships/hyperlink" Target="https://www.google.com/maps/search/?api=1&amp;query=Westbeth%20Artists%20Housing%2C%2055%20Bethune%20St%2C%20New%20York" TargetMode="External" Id="rId229" /><Relationship Type="http://schemas.openxmlformats.org/officeDocument/2006/relationships/hyperlink" Target="https://www.google.com/maps/search/?api=1&amp;query=Ford%20Foundation%20Atrium%2C%20320%20E%2043rd%20St%2C%20New%20York" TargetMode="External" Id="rId230" /><Relationship Type="http://schemas.openxmlformats.org/officeDocument/2006/relationships/hyperlink" Target="https://www.google.com/maps/search/?api=1&amp;query=Globo%20del%20Daily%20News%20Building%2C%20220%20E%2042nd%20St%2C%20New%20York" TargetMode="External" Id="rId231" /><Relationship Type="http://schemas.openxmlformats.org/officeDocument/2006/relationships/hyperlink" Target="https://www.google.com/maps/search/?api=1&amp;query=Grand%20Central%20Terminal%2C%2089%20E%2042nd%20St%2C%20New%20York" TargetMode="External" Id="rId232" /><Relationship Type="http://schemas.openxmlformats.org/officeDocument/2006/relationships/hyperlink" Target="https://www.google.com/maps/search/?api=1&amp;query=Lobby%20de%2070%20Pine%20Street%2C%2070%20Pine%20St%2C%20New%20York" TargetMode="External" Id="rId233" /><Relationship Type="http://schemas.openxmlformats.org/officeDocument/2006/relationships/hyperlink" Target="https://www.google.com/maps/search/?api=1&amp;query=Lobby%20del%20Chanin%20Building%2C%20122%20E%2042nd%20St%2C%20New%20York" TargetMode="External" Id="rId234" /><Relationship Type="http://schemas.openxmlformats.org/officeDocument/2006/relationships/hyperlink" Target="https://www.google.com/maps/search/?api=1&amp;query=Lobby%20del%20Chrysler%20Building%2C%20405%20Lexington%20Ave%2C%20New%20York" TargetMode="External" Id="rId235" /><Relationship Type="http://schemas.openxmlformats.org/officeDocument/2006/relationships/hyperlink" Target="https://www.google.com/maps/search/?api=1&amp;query=New%20York%20Public%20Library%20%28Schwarzman%29%2C%20476%205th%20Ave%2C%20New%20York" TargetMode="External" Id="rId236" /><Relationship Type="http://schemas.openxmlformats.org/officeDocument/2006/relationships/hyperlink" Target="https://www.google.com/maps/search/?api=1&amp;query=Park%20Avenue%20Armory%2C%20643%20Park%20Ave%2C%20New%20York" TargetMode="External" Id="rId237" /><Relationship Type="http://schemas.openxmlformats.org/officeDocument/2006/relationships/hyperlink" Target="https://www.google.com/maps/search/?api=1&amp;query=Wild%20Table%20of%20Love%2C%20New%20York" TargetMode="External" Id="rId238" /><Relationship Type="http://schemas.openxmlformats.org/officeDocument/2006/relationships/hyperlink" Target="https://www.google.com/maps/search/?api=1&amp;query=Puente%20de%20Brooklyn%2C%20New%20York" TargetMode="External" Id="rId239" /><Relationship Type="http://schemas.openxmlformats.org/officeDocument/2006/relationships/hyperlink" Target="https://www.google.com/maps/search/?api=1&amp;query=Basilica%20of%20St.%20Patrick%27s%20Old%20Cathedral%2C%20263%20Mulberry%20St%2C%20New%20York" TargetMode="External" Id="rId240" /><Relationship Type="http://schemas.openxmlformats.org/officeDocument/2006/relationships/hyperlink" Target="https://www.google.com/maps/search/?api=1&amp;query=Catedral%20de%20la%20Transfiguraci%C3%B3n%2C%20228%20N%2012th%20St%2C%20Brooklyn%2C%20New%20York" TargetMode="External" Id="rId241" /><Relationship Type="http://schemas.openxmlformats.org/officeDocument/2006/relationships/hyperlink" Target="https://www.google.com/maps/search/?api=1&amp;query=Cathedral%20of%20St.%20John%20the%20Divine%2C%201047%20Amsterdam%20Ave%2C%20New%20York" TargetMode="External" Id="rId242" /><Relationship Type="http://schemas.openxmlformats.org/officeDocument/2006/relationships/hyperlink" Target="https://www.google.com/maps/search/?api=1&amp;query=Mahayana%20Buddhist%20Temple%2C%20133%20Canal%20St%2C%20New%20York" TargetMode="External" Id="rId243" /><Relationship Type="http://schemas.openxmlformats.org/officeDocument/2006/relationships/hyperlink" Target="https://www.google.com/maps/search/?api=1&amp;query=Museum%20at%20Eldridge%20Street%2C%2012%20Eldridge%20St%2C%20New%20York" TargetMode="External" Id="rId244" /><Relationship Type="http://schemas.openxmlformats.org/officeDocument/2006/relationships/hyperlink" Target="https://www.google.com/maps/search/?api=1&amp;query=Plymouth%20Church%2C%2057%20Orange%20St%2C%20Brooklyn%2C%20New%20York" TargetMode="External" Id="rId245" /><Relationship Type="http://schemas.openxmlformats.org/officeDocument/2006/relationships/hyperlink" Target="https://www.google.com/maps/search/?api=1&amp;query=St.%20Bartholomew%27s%20Church%2C%20325%20Park%20Ave%2C%20New%20York" TargetMode="External" Id="rId246" /><Relationship Type="http://schemas.openxmlformats.org/officeDocument/2006/relationships/hyperlink" Target="https://www.google.com/maps/search/?api=1&amp;query=St.%20Patrick%27s%20Cathedral%2C%205th%20Ave%20y%20E%2050th%20St%2C%20New%20York" TargetMode="External" Id="rId247" /><Relationship Type="http://schemas.openxmlformats.org/officeDocument/2006/relationships/hyperlink" Target="https://www.google.com/maps/search/?api=1&amp;query=St.%20Paul%27s%20Chapel%2C%20209%20Broadway%2C%20New%20York" TargetMode="External" Id="rId248" /><Relationship Type="http://schemas.openxmlformats.org/officeDocument/2006/relationships/hyperlink" Target="https://www.google.com/maps/search/?api=1&amp;query=Trinity%20Church%2C%2089%20Broadway%2C%20New%20York" TargetMode="External" Id="rId249" /><Relationship Type="http://schemas.openxmlformats.org/officeDocument/2006/relationships/hyperlink" Target="https://www.google.com/maps/search/?api=1&amp;query=Artists%20%26%20Fleas%20Williamsburg%2C%2070%20N%207th%20St%2C%20New%20York" TargetMode="External" Id="rId250" /><Relationship Type="http://schemas.openxmlformats.org/officeDocument/2006/relationships/hyperlink" Target="https://www.google.com/maps/search/?api=1&amp;query=B%26H%20Photo%20Video%2C%20420%209th%20Ave%2C%20New%20York" TargetMode="External" Id="rId251" /><Relationship Type="http://schemas.openxmlformats.org/officeDocument/2006/relationships/hyperlink" Target="https://www.google.com/maps/search/?api=1&amp;query=Books%20Are%20Magic%2C%20122%20Montague%20St%2C%20Brooklyn%2C%20New%20York" TargetMode="External" Id="rId252" /><Relationship Type="http://schemas.openxmlformats.org/officeDocument/2006/relationships/hyperlink" Target="https://www.google.com/maps/search/?api=1&amp;query=C.O.%20Bigelow%20Chemists%2C%20414%206th%20Ave%2C%20New%20York" TargetMode="External" Id="rId253" /><Relationship Type="http://schemas.openxmlformats.org/officeDocument/2006/relationships/hyperlink" Target="https://www.google.com/maps/search/?api=1&amp;query=Economy%20Candy%2C%20108%20Rivington%20St%2C%20New%20York" TargetMode="External" Id="rId254" /><Relationship Type="http://schemas.openxmlformats.org/officeDocument/2006/relationships/hyperlink" Target="https://www.google.com/maps/search/?api=1&amp;query=HEATONIST%20Chelsea%20Market%2C%2075%209th%20Ave%20%28dentro%20del%20Chelsea%20Market%29%2C%20New%20York" TargetMode="External" Id="rId255" /><Relationship Type="http://schemas.openxmlformats.org/officeDocument/2006/relationships/hyperlink" Target="https://www.google.com/maps/search/?api=1&amp;query=HEATONIST%20Williamsburg%2C%20121%20Wythe%20Ave%2C%20Brooklyn%2C%20New%20York" TargetMode="External" Id="rId256" /><Relationship Type="http://schemas.openxmlformats.org/officeDocument/2006/relationships/hyperlink" Target="https://www.google.com/maps/search/?api=1&amp;query=Hell%27s%20Kitchen%20Flea%20Market%2C%20W%2039th%20St%20entre%209th%20y%2010th%20Ave%2C%20New%20York" TargetMode="External" Id="rId257" /><Relationship Type="http://schemas.openxmlformats.org/officeDocument/2006/relationships/hyperlink" Target="https://www.google.com/maps/search/?api=1&amp;query=Housing%20Works%20Bookstore%2C%20126%20Crosby%20St%2C%20New%20York" TargetMode="External" Id="rId258" /><Relationship Type="http://schemas.openxmlformats.org/officeDocument/2006/relationships/hyperlink" Target="https://www.google.com/maps/search/?api=1&amp;query=Louis%20Vuitton%2C%201%20E%2057th%20St%2C%20New%20York" TargetMode="External" Id="rId259" /><Relationship Type="http://schemas.openxmlformats.org/officeDocument/2006/relationships/hyperlink" Target="https://www.google.com/maps/search/?api=1&amp;query=M%26M%27S%20World%20New%20York%2C%201600%20Broadway%2C%20New%20York" TargetMode="External" Id="rId260" /><Relationship Type="http://schemas.openxmlformats.org/officeDocument/2006/relationships/hyperlink" Target="https://www.google.com/maps/search/?api=1&amp;query=McNally%20Jackson%20Books%2C%20134%20Prince%20St%2C%20New%20York" TargetMode="External" Id="rId261" /><Relationship Type="http://schemas.openxmlformats.org/officeDocument/2006/relationships/hyperlink" Target="https://www.google.com/maps/search/?api=1&amp;query=The%20Mills%20at%20Jersey%20Gardens%2C%20651%20Kapkowski%20Rd%2C%20Elizabeth%2C%20NJ%2C%20New%20York" TargetMode="External" Id="rId262" /><Relationship Type="http://schemas.openxmlformats.org/officeDocument/2006/relationships/hyperlink" Target="https://www.google.com/maps/search/?api=1&amp;query=Green-Wood%20Cemetery%2C%20500%2025th%20St%2C%20Brooklyn%2C%20New%20York" TargetMode="External" Id="rId263" /><Relationship Type="http://schemas.openxmlformats.org/officeDocument/2006/relationships/hyperlink" Target="https://www.google.com/maps/search/?api=1&amp;query=Inwood%20Hill%20Park%2C%20Inwood%20Hill%20Park%2C%20Manhattan%2C%20New%20York" TargetMode="External" Id="rId264" /><Relationship Type="http://schemas.openxmlformats.org/officeDocument/2006/relationships/hyperlink" Target="https://www.google.com/maps/search/?api=1&amp;query=New%20York%20Botanical%20Garden%2C%202900%20Southern%20Blvd%2C%20Bronx%2C%20New%20York" TargetMode="External" Id="rId265" /><Relationship Type="http://schemas.openxmlformats.org/officeDocument/2006/relationships/hyperlink" Target="https://www.google.com/maps/search/?api=1&amp;query=Wave%20Hill%2C%204900%20Independence%20Ave%2C%20Bronx%2C%20New%20York" TargetMode="External" Id="rId266" /><Relationship Type="http://schemas.openxmlformats.org/officeDocument/2006/relationships/hyperlink" Target="https://www.google.com/maps/search/?api=1&amp;query=Elizabeth%20Street%20Garden%2C%20Elizabeth%20St%20entre%20Prince%20y%20Spring%2C%20New%20York" TargetMode="External" Id="rId267" /><Relationship Type="http://schemas.openxmlformats.org/officeDocument/2006/relationships/hyperlink" Target="https://www.google.com/maps/search/?api=1&amp;query=Socrates%20Sculpture%20Park%2C%2032-01%20Vernon%20Blvd%2C%20LIC%2C%20New%20York" TargetMode="External" Id="rId268" /><Relationship Type="http://schemas.openxmlformats.org/officeDocument/2006/relationships/hyperlink" Target="https://www.google.com/maps/search/?api=1&amp;query=Astoria%20Park%2C%2019th%20St%20%26%2023rd%20Ave%2C%20Astoria%2C%20New%20York" TargetMode="External" Id="rId269" /><Relationship Type="http://schemas.openxmlformats.org/officeDocument/2006/relationships/hyperlink" Target="https://www.google.com/maps/search/?api=1&amp;query=Battery%20Park%2C%20New%20York" TargetMode="External" Id="rId270" /><Relationship Type="http://schemas.openxmlformats.org/officeDocument/2006/relationships/hyperlink" Target="https://www.google.com/maps/search/?api=1&amp;query=Brooklyn%20Bridge%20Park%2C%20334%20Furman%20St%2C%20Brooklyn%2C%20New%20York" TargetMode="External" Id="rId271" /><Relationship Type="http://schemas.openxmlformats.org/officeDocument/2006/relationships/hyperlink" Target="https://www.google.com/maps/search/?api=1&amp;query=Bryant%20Park%2C%20Bryant%20Park%2C%20New%20York%2C%20New%20York" TargetMode="External" Id="rId272" /><Relationship Type="http://schemas.openxmlformats.org/officeDocument/2006/relationships/hyperlink" Target="https://www.google.com/maps/search/?api=1&amp;query=Carl%20Schurz%20Park%2C%20East%20End%20Ave%20y%20E%2086th%20St%2C%20New%20York" TargetMode="External" Id="rId273" /><Relationship Type="http://schemas.openxmlformats.org/officeDocument/2006/relationships/hyperlink" Target="https://www.google.com/maps/search/?api=1&amp;query=Central%20Park%2C%20Central%20Park%2C%20New%20York%2C%20New%20York" TargetMode="External" Id="rId274" /><Relationship Type="http://schemas.openxmlformats.org/officeDocument/2006/relationships/hyperlink" Target="https://www.google.com/maps/search/?api=1&amp;query=Clinton%20Community%20Garden%2C%20434%20W%2048th%20St%2C%20New%20York" TargetMode="External" Id="rId275" /><Relationship Type="http://schemas.openxmlformats.org/officeDocument/2006/relationships/hyperlink" Target="https://www.google.com/maps/search/?api=1&amp;query=Columbus%20Park%2C%20Columbus%20Park%2C%20Baxter%20St%2C%20New%20York" TargetMode="External" Id="rId276" /><Relationship Type="http://schemas.openxmlformats.org/officeDocument/2006/relationships/hyperlink" Target="https://www.google.com/maps/search/?api=1&amp;query=Greenacre%20Park%2C%20217%20E%2051st%20St%2C%20New%20York" TargetMode="External" Id="rId277" /><Relationship Type="http://schemas.openxmlformats.org/officeDocument/2006/relationships/hyperlink" Target="https://www.google.com/maps/search/?api=1&amp;query=Hudson%20River%20Park%20Pier%2084%2C%20W%2044th%20St%20y%2012th%20Ave%2C%20New%20York" TargetMode="External" Id="rId278" /><Relationship Type="http://schemas.openxmlformats.org/officeDocument/2006/relationships/hyperlink" Target="https://www.google.com/maps/search/?api=1&amp;query=Paley%20Park%2C%203%20E%2053rd%20St%2C%20New%20York" TargetMode="External" Id="rId279" /><Relationship Type="http://schemas.openxmlformats.org/officeDocument/2006/relationships/hyperlink" Target="https://www.google.com/maps/search/?api=1&amp;query=Prospect%20Park%2C%20New%20York" TargetMode="External" Id="rId280" /><Relationship Type="http://schemas.openxmlformats.org/officeDocument/2006/relationships/hyperlink" Target="https://www.google.com/maps/search/?api=1&amp;query=Straus%20Park%2C%20Broadway%20%26%20W%20106th%20St%2C%20New%20York" TargetMode="External" Id="rId281" /><Relationship Type="http://schemas.openxmlformats.org/officeDocument/2006/relationships/hyperlink" Target="https://www.google.com/maps/search/?api=1&amp;query=Tudor%20City%20Greens%2C%20Tudor%20City%20Pl%2C%20New%20York" TargetMode="External" Id="rId282" /><Relationship Type="http://schemas.openxmlformats.org/officeDocument/2006/relationships/hyperlink" Target="https://www.google.com/maps/search/?api=1&amp;query=Washington%20Square%20Park%2C%20Washington%20Square%20Park%2C%20New%20York" TargetMode="External" Id="rId283" /><Relationship Type="http://schemas.openxmlformats.org/officeDocument/2006/relationships/hyperlink" Target="https://www.google.com/maps/search/?api=1&amp;query=The%20High%20Line%2C%20High%20Line%2C%20Gansevoort%20St%20a%20W%2034th%20St%2C%20New%20York" TargetMode="External" Id="rId284" /><Relationship Type="http://schemas.openxmlformats.org/officeDocument/2006/relationships/hyperlink" Target="https://www.google.com/maps/search/?api=1&amp;query=US%20Open%20%28primeras%20rondas%29%2C%20USTA%20Billie%20Jean%20King%20NTC%2C%20Flushing%2C%20New%20York" TargetMode="External" Id="rId285" /><Relationship Type="http://schemas.openxmlformats.org/officeDocument/2006/relationships/hyperlink" Target="https://www.google.com/maps/search/?api=1&amp;query=Charlie%20Parker%20Jazz%20Festival%20-%20East%20Village%2C%20Tompkins%20Square%20Park%2C%20New%20York" TargetMode="External" Id="rId286" /><Relationship Type="http://schemas.openxmlformats.org/officeDocument/2006/relationships/hyperlink" Target="https://www.google.com/maps/search/?api=1&amp;query=Charlie%20Parker%20Jazz%20Festival%20-%20Harlem%2C%20Marcus%20Garvey%20Park%2C%20Harlem%2C%20New%20York" TargetMode="External" Id="rId287" /><Relationship Type="http://schemas.openxmlformats.org/officeDocument/2006/relationships/hyperlink" Target="https://www.google.com/maps/search/?api=1&amp;query=SummerStage%3A%20Christian%20McBride%20%28gratis%29%2C%20Rumsey%20Playfield%2C%20Central%20Park%2C%20New%20York" TargetMode="External" Id="rId288" /><Relationship Type="http://schemas.openxmlformats.org/officeDocument/2006/relationships/hyperlink" Target="https://www.google.com/maps/search/?api=1&amp;query=NY%20Caribbean%20Carnival%20Week%20%28Panorama%29%2C%20Brooklyn%20Museum%2C%20200%20Eastern%20Pkwy%2C%20New%20York" TargetMode="External" Id="rId289" /><Relationship Type="http://schemas.openxmlformats.org/officeDocument/2006/relationships/hyperlink" Target="https://www.google.com/maps/search/?api=1&amp;query=Paint%20%27N%20Pour%2C%20New%20York" TargetMode="External" Id="rId290" /><Relationship Type="http://schemas.openxmlformats.org/officeDocument/2006/relationships/hyperlink" Target="https://www.google.com/maps/search/?api=1&amp;query=Time%20To%20Paint%20-%20Painting%20Studio%2C%20New%20York" TargetMode="External" Id="rId291" /><Relationship Type="http://schemas.openxmlformats.org/officeDocument/2006/relationships/hyperlink" Target="https://www.google.com/maps/search/?api=1&amp;query=Green-Wood%20Discover%20Trolley%20Tour%2C%20500%2025th%20St%2C%20Brooklyn%2C%20New%20York" TargetMode="External" Id="rId292" /><Relationship Type="http://schemas.openxmlformats.org/officeDocument/2006/relationships/hyperlink" Target="https://www.google.com/maps/search/?api=1&amp;query=Hamilton%2C%20Richard%20Rodgers%20Theatre%2C%20226%20W%2046th%20St%2C%20New%20York" TargetMode="External" Id="rId293" /><Relationship Type="http://schemas.openxmlformats.org/officeDocument/2006/relationships/hyperlink" Target="https://www.google.com/maps/search/?api=1&amp;query=Maybe%20Happy%20Ending%2C%20Belasco%20Theatre%2C%20111%20W%2044th%20St%2C%20New%20York" TargetMode="External" Id="rId294" /><Relationship Type="http://schemas.openxmlformats.org/officeDocument/2006/relationships/hyperlink" Target="https://www.google.com/maps/search/?api=1&amp;query=Moulin%20Rouge%21%20%28ULTIMAS%20FUNCIONES%29%2C%20Al%20Hirschfeld%20Theatre%2C%20302%20W%2045th%20St%2C%20New%20York" TargetMode="External" Id="rId295" /><Relationship Type="http://schemas.openxmlformats.org/officeDocument/2006/relationships/hyperlink" Target="https://www.google.com/maps/search/?api=1&amp;query=Operation%20Mincemeat%2C%20John%20Golden%20Theatre%2C%20252%20W%2045th%20St%2C%20New%20York" TargetMode="External" Id="rId296" /><Relationship Type="http://schemas.openxmlformats.org/officeDocument/2006/relationships/hyperlink" Target="https://www.google.com/maps/search/?api=1&amp;query=Little%20Shop%20of%20Horrors%20%28Off-Broadway%29%2C%20Westside%20Theatre%2C%20407%20W%2043rd%20St%2C%20New%20York" TargetMode="External" Id="rId297" /><Relationship Type="http://schemas.openxmlformats.org/officeDocument/2006/relationships/hyperlink" Target="https://www.google.com/maps/search/?api=1&amp;query=Stranger%20Things%3A%20The%20First%20Shadow%20%28play%29%2C%20Marquis%20Theatre%2C%20210%20W%2046th%20St%2C%20New%20York" TargetMode="External" Id="rId298" /><Relationship Type="http://schemas.openxmlformats.org/officeDocument/2006/relationships/hyperlink" Target="https://www.google.com/maps/search/?api=1&amp;query=TKTS%20Lincoln%20Center%2C%2061%20W%2062nd%20St%2C%20New%20York" TargetMode="External" Id="rId299" /><Relationship Type="http://schemas.openxmlformats.org/officeDocument/2006/relationships/hyperlink" Target="https://www.google.com/maps/search/?api=1&amp;query=NYC%20Ferry%20DUMBO%20%E2%86%92%20Wall%20St%2C%20New%20York" TargetMode="External" Id="rId300" /><Relationship Type="http://schemas.openxmlformats.org/officeDocument/2006/relationships/hyperlink" Target="https://www.google.com/maps/search/?api=1&amp;query=Hotel%20Ink48%20%2829-31%20ago%29%2C%20653%2011th%20Ave%2C%20New%20York" TargetMode="External" Id="rId301" /><Relationship Type="http://schemas.openxmlformats.org/officeDocument/2006/relationships/hyperlink" Target="https://www.google.com/maps/search/?api=1&amp;query=Hotel%20The%20Beacon%20%283-6%20sep%29%2C%202130%20Broadway%2C%20New%20York" TargetMode="External" Id="rId302" /><Relationship Type="http://schemas.openxmlformats.org/officeDocument/2006/relationships/hyperlink" Target="https://www.google.com/maps/search/?api=1&amp;query=JGSTAY%20SoHo%20%28JP%3A%2031%20ago-2%20sep%29%2C%20120%20Lafayette%20St%2C%20NY%2010013%2C%20New%20York" TargetMode="External" Id="rId303" /><Relationship Type="http://schemas.openxmlformats.org/officeDocument/2006/relationships/hyperlink" Target="https://www.google.com/maps/search/?api=1&amp;query=Residence%20Inn%20Branchburg%20%28Thais%2031/8-3/9%20%C2%B7%20JP%20solo%20la%20noche%20del%202%29%2C%203241%20US%20Highway%2022%20East%2C%20Branchburg%20NJ%2C%20New%20York" TargetMode="External" Id="rId30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RowHeight="15"/>
  <cols>
    <col width="4" customWidth="1" min="1" max="1"/>
    <col width="26" customWidth="1" min="2" max="2"/>
    <col width="95" customWidth="1" min="3" max="3"/>
  </cols>
  <sheetData>
    <row r="1" ht="26" customHeight="1">
      <c r="A1" s="1" t="inlineStr">
        <is>
          <t>NYC · 29 agosto – 6 septiembre 2026</t>
        </is>
      </c>
    </row>
    <row r="2" ht="30" customHeight="1">
      <c r="A2" s="2" t="inlineStr">
        <is>
          <t>Juan Pablo &amp; Thais — planificador editable</t>
        </is>
      </c>
    </row>
    <row r="4" ht="16" customHeight="1">
      <c r="A4" s="3" t="inlineStr"/>
      <c r="B4" s="4" t="inlineStr"/>
      <c r="C4" s="5" t="inlineStr"/>
    </row>
    <row r="5" ht="16" customHeight="1">
      <c r="A5" s="6" t="inlineStr">
        <is>
          <t>SECCIÓN</t>
        </is>
      </c>
      <c r="B5" s="6" t="inlineStr">
        <is>
          <t>HOJA</t>
        </is>
      </c>
      <c r="C5" s="7" t="inlineStr">
        <is>
          <t>QUÉ HACER ACÁ</t>
        </is>
      </c>
    </row>
    <row r="6" ht="30" customHeight="1">
      <c r="A6" s="3" t="inlineStr">
        <is>
          <t>1</t>
        </is>
      </c>
      <c r="B6" s="4" t="inlineStr">
        <is>
          <t>Lugares</t>
        </is>
      </c>
      <c r="C6" s="5" t="inlineStr">
        <is>
          <t>★ LA HOJA PRINCIPAL. 132 lugares con toda la info. Editá SOLO las columnas amarillas: 'JP' y 'Thais' (0/1/2) y la última, 'IMPRESCINDIBLE' (SÍ, NO, o vacía si todavía no lo decidís). La columna 'En itinerario (día)' marca en verde qué lugares están agendados y en qué día. Los totales de las otras hojas se recalculan solos.</t>
        </is>
      </c>
    </row>
    <row r="7" ht="30" customHeight="1">
      <c r="A7" s="3" t="inlineStr"/>
      <c r="B7" s="4" t="inlineStr">
        <is>
          <t>Columna 'Tipo'</t>
        </is>
      </c>
      <c r="C7" s="5" t="inlineStr">
        <is>
          <t>Subcategoría fina: Observatorio pago, Rooftop bar, Mirador gratis, Club de jazz, Deli y pastrami, Barrio étnico, etc. 40 tipos en total. Usá el filtro del encabezado para aislar uno.</t>
        </is>
      </c>
    </row>
    <row r="8" ht="30" customHeight="1">
      <c r="A8" s="3" t="inlineStr">
        <is>
          <t>2</t>
        </is>
      </c>
      <c r="B8" s="4" t="inlineStr">
        <is>
          <t>Itinerario</t>
        </is>
      </c>
      <c r="C8" s="5" t="inlineStr">
        <is>
          <t>El plan día por día, con horarios. Editá la columna 'Estado' y 'Mis notas'. La columna 'Quién' dice si el bloque es de los dos o solo de JP.</t>
        </is>
      </c>
    </row>
    <row r="9" ht="30" customHeight="1">
      <c r="A9" s="3" t="inlineStr">
        <is>
          <t>3</t>
        </is>
      </c>
      <c r="B9" s="4" t="inlineStr">
        <is>
          <t>Costos</t>
        </is>
      </c>
      <c r="C9" s="5" t="inlineStr">
        <is>
          <t>Suma automática de lo que marcaron con interés 2. Cambien los valores de 'Lugares' y esta hoja se actualiza.</t>
        </is>
      </c>
    </row>
    <row r="10" ht="16" customHeight="1">
      <c r="A10" s="3" t="inlineStr">
        <is>
          <t>4</t>
        </is>
      </c>
      <c r="B10" s="4" t="inlineStr">
        <is>
          <t>Transporte</t>
        </is>
      </c>
      <c r="C10" s="5" t="inlineStr">
        <is>
          <t>EWR ↔ Manhattan, New Jersey ↔ NYC y el subte. Con precios, horarios y veredictos.</t>
        </is>
      </c>
    </row>
    <row r="11" ht="30" customHeight="1">
      <c r="A11" s="3" t="inlineStr">
        <is>
          <t>5</t>
        </is>
      </c>
      <c r="B11" s="4" t="inlineStr">
        <is>
          <t>Pases</t>
        </is>
      </c>
      <c r="C11" s="5" t="inlineStr">
        <is>
          <t>El análisis de si conviene NY Pass / CityPASS / Go City o tickets sueltos. Con los números.</t>
        </is>
      </c>
    </row>
    <row r="12" ht="30" customHeight="1">
      <c r="A12" s="3" t="inlineStr">
        <is>
          <t>6</t>
        </is>
      </c>
      <c r="B12" s="4" t="inlineStr">
        <is>
          <t>Reservas</t>
        </is>
      </c>
      <c r="C12" s="5" t="inlineStr">
        <is>
          <t>Checklist de qué hay que reservar y cuándo. Ordenado por urgencia. Editá la columna 'Hecho'.</t>
        </is>
      </c>
    </row>
    <row r="13" ht="16" customHeight="1">
      <c r="A13" s="3" t="inlineStr">
        <is>
          <t>7</t>
        </is>
      </c>
      <c r="B13" s="4" t="inlineStr">
        <is>
          <t>Decisiones</t>
        </is>
      </c>
      <c r="C13" s="5" t="inlineStr">
        <is>
          <t>Las cosas que todavía hay que definir, con los números para decidir.</t>
        </is>
      </c>
    </row>
    <row r="14" ht="16" customHeight="1">
      <c r="A14" s="3" t="inlineStr"/>
      <c r="B14" s="4" t="inlineStr"/>
      <c r="C14" s="5" t="inlineStr"/>
    </row>
    <row r="15" ht="16" customHeight="1">
      <c r="A15" s="6" t="inlineStr">
        <is>
          <t>CÓMO LEER</t>
        </is>
      </c>
      <c r="B15" s="6" t="inlineStr"/>
      <c r="C15" s="7" t="inlineStr"/>
    </row>
    <row r="16" ht="16" customHeight="1">
      <c r="A16" s="3" t="inlineStr"/>
      <c r="B16" s="4" t="inlineStr">
        <is>
          <t>Celdas AMARILLAS</t>
        </is>
      </c>
      <c r="C16" s="5" t="inlineStr">
        <is>
          <t>Son las que ustedes editan. El resto se calcula o es información.</t>
        </is>
      </c>
    </row>
    <row r="17" ht="30" customHeight="1">
      <c r="A17" s="3" t="inlineStr"/>
      <c r="B17" s="4" t="inlineStr">
        <is>
          <t>Columna 'Interés'</t>
        </is>
      </c>
      <c r="C17" s="5" t="inlineStr">
        <is>
          <t>0 = no · 1 = quizás · 2 = sí. Por defecto puse a Thais más bajo en lo mainstream, asumiendo que ya lo conoce. Cambienlo libremente.</t>
        </is>
      </c>
    </row>
    <row r="18" ht="30" customHeight="1">
      <c r="A18" s="3" t="inlineStr"/>
      <c r="B18" s="4" t="inlineStr">
        <is>
          <t>Columna 'Turístico'</t>
        </is>
      </c>
      <c r="C18" s="5" t="inlineStr">
        <is>
          <t>SÍ = está en todas las guías. NO = fuera del circuito. Sirve para filtrar lo que Thais probablemente no quiera repetir.</t>
        </is>
      </c>
    </row>
    <row r="19" ht="30" customHeight="1">
      <c r="A19" s="3" t="inlineStr"/>
      <c r="B19" s="4" t="inlineStr">
        <is>
          <t>Columna 'Horario de apertura'</t>
        </is>
      </c>
      <c r="C19" s="5" t="inlineStr">
        <is>
          <t>Horario real de cada día de la semana, para los lugares donde llegar a la hora equivocada arruina la visita. Verificado en fuentes oficiales el 16-ago-2026.</t>
        </is>
      </c>
    </row>
    <row r="20" ht="16" customHeight="1">
      <c r="A20" s="3" t="inlineStr"/>
      <c r="B20" s="4" t="inlineStr">
        <is>
          <t>Columna 'Cierra'</t>
        </is>
      </c>
      <c r="C20" s="5" t="inlineStr">
        <is>
          <t>Día de cierre semanal. Crítico para no ir al MET un miércoles.</t>
        </is>
      </c>
    </row>
    <row r="21" ht="30" customHeight="1">
      <c r="A21" s="3" t="inlineStr"/>
      <c r="B21" s="4" t="inlineStr">
        <is>
          <t>Columna 'Gratis'</t>
        </is>
      </c>
      <c r="C21" s="5" t="inlineStr">
        <is>
          <t>Ventanas de entrada libre o pay-what-you-wish. Acá está la mayor parte del ahorro real del viaje.</t>
        </is>
      </c>
    </row>
    <row r="22" ht="30" customHeight="1">
      <c r="A22" s="3" t="inlineStr"/>
      <c r="B22" s="4" t="inlineStr">
        <is>
          <t>Coordenadas</t>
        </is>
      </c>
      <c r="C22" s="5" t="inlineStr">
        <is>
          <t>Las coordenadas del mapa son APROXIMADAS (~50-100 m). La dirección de la columna 'Dirección' es la buena: la app HTML abre Google Maps buscando por nombre + dirección.</t>
        </is>
      </c>
    </row>
    <row r="23" ht="16" customHeight="1">
      <c r="A23" s="3" t="inlineStr"/>
      <c r="B23" s="4" t="inlineStr"/>
      <c r="C23" s="5" t="inlineStr"/>
    </row>
    <row r="24" ht="16" customHeight="1">
      <c r="A24" s="6" t="inlineStr">
        <is>
          <t>ADVERTENCIA</t>
        </is>
      </c>
      <c r="B24" s="6" t="inlineStr"/>
      <c r="C24" s="7" t="inlineStr"/>
    </row>
    <row r="25" ht="30" customHeight="1">
      <c r="A25" s="3" t="inlineStr"/>
      <c r="B25" s="4" t="inlineStr">
        <is>
          <t>Datos verificados</t>
        </is>
      </c>
      <c r="C25" s="5" t="inlineStr">
        <is>
          <t>Todo lo marcado con precio y horario viene de fuentes oficiales consultadas el 16 de agosto de 2026. Aun así, verifiquen precios y horarios antes de cada visita: cambian.</t>
        </is>
      </c>
    </row>
    <row r="26" ht="30" customHeight="1">
      <c r="A26" s="3" t="inlineStr"/>
      <c r="B26" s="4" t="inlineStr">
        <is>
          <t>Datos NO confirmados</t>
        </is>
      </c>
      <c r="C26" s="5" t="inlineStr">
        <is>
          <t>Están marcados con 'VERIFICAR' en el texto. Los principales: precio 2026 del Guggenheim y del Noguchi, precios de Circle Line, tabla por tramo de Go City, y las fechas del Panorama del Caribbean Carnival.</t>
        </is>
      </c>
    </row>
    <row r="27" ht="16" customHeight="1">
      <c r="A27" s="3" t="inlineStr"/>
      <c r="B27" s="4" t="inlineStr">
        <is>
          <t>Lista de Google Maps</t>
        </is>
      </c>
      <c r="C27" s="5" t="inlineStr">
        <is>
          <t>PENDIENTE de incorporar — no pude leerla porque la extensión de Chrome no conectó.</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08"/>
  <sheetViews>
    <sheetView showGridLines="0" workbookViewId="0">
      <pane ySplit="4" topLeftCell="A5" activePane="bottomLeft" state="frozen"/>
      <selection pane="bottomLeft" activeCell="A1" sqref="A1"/>
    </sheetView>
  </sheetViews>
  <sheetFormatPr baseColWidth="8" defaultRowHeight="15"/>
  <cols>
    <col width="34" customWidth="1" min="1" max="1"/>
    <col width="22" customWidth="1" min="2" max="2"/>
    <col width="12" customWidth="1" min="3" max="3"/>
    <col width="20" customWidth="1" min="4" max="4"/>
    <col width="11" customWidth="1" min="5" max="5"/>
    <col width="6" customWidth="1" min="6" max="6"/>
    <col width="7" customWidth="1" min="7" max="7"/>
    <col width="9" customWidth="1" min="8" max="8"/>
    <col width="9" customWidth="1" min="9" max="9"/>
    <col width="7" customWidth="1" min="10" max="10"/>
    <col width="10" customWidth="1" min="11" max="11"/>
    <col width="46" customWidth="1" min="12" max="12"/>
    <col width="16" customWidth="1" min="13" max="13"/>
    <col width="34" customWidth="1" min="14" max="14"/>
    <col width="24" customWidth="1" min="15" max="15"/>
    <col width="30" customWidth="1" min="16" max="16"/>
    <col width="78" customWidth="1" min="17" max="17"/>
    <col width="34" customWidth="1" min="18" max="18"/>
    <col width="24" customWidth="1" min="19" max="19"/>
    <col width="15" customWidth="1" min="20" max="20"/>
    <col width="16" customWidth="1" min="21" max="21"/>
    <col width="17" customWidth="1" min="22" max="22"/>
  </cols>
  <sheetData>
    <row r="1" ht="26" customHeight="1">
      <c r="A1" s="1" t="inlineStr">
        <is>
          <t>Lugares candidatos</t>
        </is>
      </c>
    </row>
    <row r="2" ht="30" customHeight="1">
      <c r="A2" s="2" t="inlineStr">
        <is>
          <t>Editá SOLO las columnas amarillas JP y Thais · 0 = no · 1 = quizás · 2 = sí · La última columna dice en qué DÍA del itinerario está cada lugar agendado</t>
        </is>
      </c>
    </row>
    <row r="4" ht="30" customHeight="1">
      <c r="A4" s="8" t="inlineStr">
        <is>
          <t>Lugar</t>
        </is>
      </c>
      <c r="B4" s="8" t="inlineStr">
        <is>
          <t>Tipo</t>
        </is>
      </c>
      <c r="C4" s="8" t="inlineStr">
        <is>
          <t>Categoría</t>
        </is>
      </c>
      <c r="D4" s="8" t="inlineStr">
        <is>
          <t>Barrio</t>
        </is>
      </c>
      <c r="E4" s="8" t="inlineStr">
        <is>
          <t>Borough</t>
        </is>
      </c>
      <c r="F4" s="8" t="inlineStr">
        <is>
          <t>JP</t>
        </is>
      </c>
      <c r="G4" s="8" t="inlineStr">
        <is>
          <t>Thais</t>
        </is>
      </c>
      <c r="H4" s="8" t="inlineStr">
        <is>
          <t>Ambos?</t>
        </is>
      </c>
      <c r="I4" s="8" t="inlineStr">
        <is>
          <t>US$ p/p</t>
        </is>
      </c>
      <c r="J4" s="8" t="inlineStr">
        <is>
          <t>Horas</t>
        </is>
      </c>
      <c r="K4" s="8" t="inlineStr">
        <is>
          <t>Turístico</t>
        </is>
      </c>
      <c r="L4" s="8" t="inlineStr">
        <is>
          <t>Horario de apertura</t>
        </is>
      </c>
      <c r="M4" s="8" t="inlineStr">
        <is>
          <t>Cierra</t>
        </is>
      </c>
      <c r="N4" s="8" t="inlineStr">
        <is>
          <t>Ventana gratis / PWYW</t>
        </is>
      </c>
      <c r="O4" s="8" t="inlineStr">
        <is>
          <t>Reserva</t>
        </is>
      </c>
      <c r="P4" s="8" t="inlineStr">
        <is>
          <t>Subte</t>
        </is>
      </c>
      <c r="Q4" s="8" t="inlineStr">
        <is>
          <t>Por qué vale la pena</t>
        </is>
      </c>
      <c r="R4" s="8" t="inlineStr">
        <is>
          <t>Dirección</t>
        </is>
      </c>
      <c r="S4" s="8" t="inlineStr">
        <is>
          <t>En itinerario (día)</t>
        </is>
      </c>
      <c r="T4" s="8" t="inlineStr">
        <is>
          <t>Google Maps</t>
        </is>
      </c>
      <c r="U4" s="8" t="inlineStr">
        <is>
          <t>Origen</t>
        </is>
      </c>
      <c r="V4" s="8" t="inlineStr">
        <is>
          <t>IMPRESCINDIBLE</t>
        </is>
      </c>
    </row>
    <row r="5" ht="46" customHeight="1">
      <c r="A5" s="9" t="inlineStr">
        <is>
          <t>Roosevelt Island Tramway</t>
        </is>
      </c>
      <c r="B5" s="10" t="inlineStr">
        <is>
          <t>Ferry y teleférico</t>
        </is>
      </c>
      <c r="C5" s="11" t="inlineStr">
        <is>
          <t>Mirador</t>
        </is>
      </c>
      <c r="D5" s="11" t="inlineStr">
        <is>
          <t>Upper East Side</t>
        </is>
      </c>
      <c r="E5" s="11" t="inlineStr">
        <is>
          <t>Manhattan</t>
        </is>
      </c>
      <c r="F5" s="12" t="n">
        <v>2</v>
      </c>
      <c r="G5" s="12" t="n">
        <v>2</v>
      </c>
      <c r="H5" s="13">
        <f>IF(AND(F5=2,G5=2),"AMBOS",IF(AND(F5=2,G5&lt;2),"solo JP",IF(AND(F5&lt;2,G5=2),"solo Thais","-")))</f>
        <v/>
      </c>
      <c r="I5" s="14" t="n">
        <v>3</v>
      </c>
      <c r="J5" s="15" t="n">
        <v>0.75</v>
      </c>
      <c r="K5" s="13" t="inlineStr">
        <is>
          <t>no</t>
        </is>
      </c>
      <c r="L5" s="16" t="inlineStr">
        <is>
          <t>—</t>
        </is>
      </c>
      <c r="M5" s="11" t="inlineStr">
        <is>
          <t>—</t>
        </is>
      </c>
      <c r="N5" s="16" t="inlineStr">
        <is>
          <t>—</t>
        </is>
      </c>
      <c r="O5" s="16" t="inlineStr">
        <is>
          <t>—</t>
        </is>
      </c>
      <c r="P5" s="16" t="inlineStr">
        <is>
          <t>Lexington Av-59 St (4,5,6,N,R,W)</t>
        </is>
      </c>
      <c r="Q5" s="16" t="inlineStr">
        <is>
          <t>Teleferico a 76 m sobre el East River con el Queensboro Bridge al lado. La vista de $50 por $3. Ir al atardecer.</t>
        </is>
      </c>
      <c r="R5" s="16" t="inlineStr">
        <is>
          <t>E 59th St &amp; 2nd Ave</t>
        </is>
      </c>
      <c r="S5" s="17" t="inlineStr">
        <is>
          <t>Día 9 · dom 6/9</t>
        </is>
      </c>
      <c r="T5" s="18" t="inlineStr">
        <is>
          <t>Abrir ↗</t>
        </is>
      </c>
      <c r="U5" s="19" t="inlineStr">
        <is>
          <t>lista google</t>
        </is>
      </c>
      <c r="V5" s="20" t="inlineStr">
        <is>
          <t>SÍ</t>
        </is>
      </c>
    </row>
    <row r="6" ht="46" customHeight="1">
      <c r="A6" s="9" t="inlineStr">
        <is>
          <t>Staten Island Ferry</t>
        </is>
      </c>
      <c r="B6" s="10" t="inlineStr">
        <is>
          <t>Ferry y teleférico</t>
        </is>
      </c>
      <c r="C6" s="11" t="inlineStr">
        <is>
          <t>Mirador</t>
        </is>
      </c>
      <c r="D6" s="11" t="inlineStr">
        <is>
          <t>Financial District</t>
        </is>
      </c>
      <c r="E6" s="11" t="inlineStr">
        <is>
          <t>Manhattan</t>
        </is>
      </c>
      <c r="F6" s="12" t="n">
        <v>0</v>
      </c>
      <c r="G6" s="12" t="n">
        <v>0</v>
      </c>
      <c r="H6" s="13">
        <f>IF(AND(F6=2,G6=2),"AMBOS",IF(AND(F6=2,G6&lt;2),"solo JP",IF(AND(F6&lt;2,G6=2),"solo Thais","-")))</f>
        <v/>
      </c>
      <c r="I6" s="14" t="n">
        <v>0</v>
      </c>
      <c r="J6" s="15" t="n">
        <v>1.5</v>
      </c>
      <c r="K6" s="13" t="inlineStr">
        <is>
          <t>no</t>
        </is>
      </c>
      <c r="L6" s="16" t="inlineStr">
        <is>
          <t>—</t>
        </is>
      </c>
      <c r="M6" s="11" t="inlineStr">
        <is>
          <t>—</t>
        </is>
      </c>
      <c r="N6" s="16" t="inlineStr">
        <is>
          <t>—</t>
        </is>
      </c>
      <c r="O6" s="16" t="inlineStr">
        <is>
          <t>—</t>
        </is>
      </c>
      <c r="P6" s="16" t="inlineStr">
        <is>
          <t>South Ferry (1), Whitehall St (R,W), Bowling Green (4,5)</t>
        </is>
      </c>
      <c r="Q6" s="16" t="inlineStr">
        <is>
          <t>Pasa a ~500 m de la Estatua de la Libertad con todo el Lower Manhattan de fondo. Sentarse a la derecha yendo, a la izquierda volviendo. Es la mejor relacion vista/precio de la ciudad.</t>
        </is>
      </c>
      <c r="R6" s="16" t="inlineStr">
        <is>
          <t>4 Whitehall St, Whitehall Terminal</t>
        </is>
      </c>
      <c r="S6" s="16" t="inlineStr">
        <is>
          <t>—</t>
        </is>
      </c>
      <c r="T6" s="18" t="inlineStr">
        <is>
          <t>Abrir ↗</t>
        </is>
      </c>
      <c r="U6" s="19" t="inlineStr">
        <is>
          <t>lista google</t>
        </is>
      </c>
      <c r="V6" s="20" t="inlineStr"/>
    </row>
    <row r="7" ht="46" customHeight="1">
      <c r="A7" s="9" t="inlineStr">
        <is>
          <t>Brooklyn Heights Promenade</t>
        </is>
      </c>
      <c r="B7" s="10" t="inlineStr">
        <is>
          <t>Mirador gratis</t>
        </is>
      </c>
      <c r="C7" s="11" t="inlineStr">
        <is>
          <t>Mirador</t>
        </is>
      </c>
      <c r="D7" s="11" t="inlineStr">
        <is>
          <t>Brooklyn Heights</t>
        </is>
      </c>
      <c r="E7" s="11" t="inlineStr">
        <is>
          <t>Brooklyn</t>
        </is>
      </c>
      <c r="F7" s="12" t="n">
        <v>2</v>
      </c>
      <c r="G7" s="12" t="n">
        <v>2</v>
      </c>
      <c r="H7" s="13">
        <f>IF(AND(F7=2,G7=2),"AMBOS",IF(AND(F7=2,G7&lt;2),"solo JP",IF(AND(F7&lt;2,G7=2),"solo Thais","-")))</f>
        <v/>
      </c>
      <c r="I7" s="14" t="n">
        <v>0</v>
      </c>
      <c r="J7" s="15" t="n">
        <v>0.75</v>
      </c>
      <c r="K7" s="13" t="inlineStr">
        <is>
          <t>no</t>
        </is>
      </c>
      <c r="L7" s="16" t="inlineStr">
        <is>
          <t>—</t>
        </is>
      </c>
      <c r="M7" s="11" t="inlineStr">
        <is>
          <t>—</t>
        </is>
      </c>
      <c r="N7" s="16" t="inlineStr">
        <is>
          <t>—</t>
        </is>
      </c>
      <c r="O7" s="16" t="inlineStr">
        <is>
          <t>—</t>
        </is>
      </c>
      <c r="P7" s="16" t="inlineStr">
        <is>
          <t>Clark St (2,3), Borough Hall (4,5)</t>
        </is>
      </c>
      <c r="Q7" s="16" t="inlineStr">
        <is>
          <t>La postal clasica del skyline de Lower Manhattan. Al atardecer, con el sol detras de Manhattan, es imbatible y gratis.</t>
        </is>
      </c>
      <c r="R7" s="16" t="inlineStr">
        <is>
          <t>Columbia Heights, Brooklyn</t>
        </is>
      </c>
      <c r="S7" s="17" t="inlineStr">
        <is>
          <t>Día 8 · sáb 5/9</t>
        </is>
      </c>
      <c r="T7" s="18" t="inlineStr">
        <is>
          <t>Abrir ↗</t>
        </is>
      </c>
      <c r="U7" s="19" t="inlineStr">
        <is>
          <t>lista google</t>
        </is>
      </c>
      <c r="V7" s="20" t="inlineStr">
        <is>
          <t>SÍ</t>
        </is>
      </c>
    </row>
    <row r="8" ht="46" customHeight="1">
      <c r="A8" s="9" t="inlineStr">
        <is>
          <t>Castillo Belvedere</t>
        </is>
      </c>
      <c r="B8" s="10" t="inlineStr">
        <is>
          <t>Mirador gratis</t>
        </is>
      </c>
      <c r="C8" s="11" t="inlineStr">
        <is>
          <t>Mirador</t>
        </is>
      </c>
      <c r="D8" s="11" t="inlineStr">
        <is>
          <t>Central Park</t>
        </is>
      </c>
      <c r="E8" s="11" t="inlineStr">
        <is>
          <t>Manhattan</t>
        </is>
      </c>
      <c r="F8" s="12" t="n">
        <v>1</v>
      </c>
      <c r="G8" s="12" t="n">
        <v>1</v>
      </c>
      <c r="H8" s="13">
        <f>IF(AND(F8=2,G8=2),"AMBOS",IF(AND(F8=2,G8&lt;2),"solo JP",IF(AND(F8&lt;2,G8=2),"solo Thais","-")))</f>
        <v/>
      </c>
      <c r="I8" s="14" t="n">
        <v>0</v>
      </c>
      <c r="J8" s="15" t="n">
        <v>0.5</v>
      </c>
      <c r="K8" s="13" t="inlineStr">
        <is>
          <t>SÍ</t>
        </is>
      </c>
      <c r="L8" s="16" t="inlineStr">
        <is>
          <t>—</t>
        </is>
      </c>
      <c r="M8" s="11" t="inlineStr">
        <is>
          <t>—</t>
        </is>
      </c>
      <c r="N8" s="16" t="inlineStr">
        <is>
          <t>—</t>
        </is>
      </c>
      <c r="O8" s="16" t="inlineStr">
        <is>
          <t>—</t>
        </is>
      </c>
      <c r="P8" s="16" t="inlineStr">
        <is>
          <t>81 St-Museum of Natural History (B,C)</t>
        </is>
      </c>
      <c r="Q8" s="16" t="inlineStr">
        <is>
          <t>Castillo victoriano en el punto más alto del parque, con la terraza sobre el Turtle Pond. Gratis.</t>
        </is>
      </c>
      <c r="R8" s="16" t="inlineStr"/>
      <c r="S8" s="16" t="inlineStr">
        <is>
          <t>—</t>
        </is>
      </c>
      <c r="T8" s="18" t="inlineStr">
        <is>
          <t>Abrir ↗</t>
        </is>
      </c>
      <c r="U8" s="19" t="inlineStr">
        <is>
          <t>lista google</t>
        </is>
      </c>
      <c r="V8" s="20" t="inlineStr"/>
    </row>
    <row r="9" ht="46" customHeight="1">
      <c r="A9" s="9" t="inlineStr">
        <is>
          <t>Domino Park</t>
        </is>
      </c>
      <c r="B9" s="10" t="inlineStr">
        <is>
          <t>Mirador gratis</t>
        </is>
      </c>
      <c r="C9" s="11" t="inlineStr">
        <is>
          <t>Mirador</t>
        </is>
      </c>
      <c r="D9" s="11" t="inlineStr">
        <is>
          <t>Williamsburg</t>
        </is>
      </c>
      <c r="E9" s="11" t="inlineStr">
        <is>
          <t>Brooklyn</t>
        </is>
      </c>
      <c r="F9" s="12" t="n">
        <v>2</v>
      </c>
      <c r="G9" s="12" t="n">
        <v>2</v>
      </c>
      <c r="H9" s="13">
        <f>IF(AND(F9=2,G9=2),"AMBOS",IF(AND(F9=2,G9&lt;2),"solo JP",IF(AND(F9&lt;2,G9=2),"solo Thais","-")))</f>
        <v/>
      </c>
      <c r="I9" s="14" t="n">
        <v>0</v>
      </c>
      <c r="J9" s="15" t="n">
        <v>1</v>
      </c>
      <c r="K9" s="13" t="inlineStr">
        <is>
          <t>no</t>
        </is>
      </c>
      <c r="L9" s="16" t="inlineStr">
        <is>
          <t>—</t>
        </is>
      </c>
      <c r="M9" s="11" t="inlineStr">
        <is>
          <t>—</t>
        </is>
      </c>
      <c r="N9" s="16" t="inlineStr">
        <is>
          <t>—</t>
        </is>
      </c>
      <c r="O9" s="16" t="inlineStr">
        <is>
          <t>—</t>
        </is>
      </c>
      <c r="P9" s="16" t="inlineStr">
        <is>
          <t>Bedford Av (L)</t>
        </is>
      </c>
      <c r="Q9" s="16" t="inlineStr">
        <is>
          <t>Ex refineria de azucar. El paseo elevado pasa entre la maquinaria industrial conservada, con el Williamsburg Bridge y Midtown enfrente.</t>
        </is>
      </c>
      <c r="R9" s="16" t="inlineStr">
        <is>
          <t>300 Kent Ave, Brooklyn</t>
        </is>
      </c>
      <c r="S9" s="17" t="inlineStr">
        <is>
          <t>Día 8 · sáb 5/9</t>
        </is>
      </c>
      <c r="T9" s="18" t="inlineStr">
        <is>
          <t>Abrir ↗</t>
        </is>
      </c>
      <c r="U9" s="21" t="inlineStr">
        <is>
          <t>otros</t>
        </is>
      </c>
      <c r="V9" s="20" t="inlineStr"/>
    </row>
    <row r="10" ht="46" customHeight="1">
      <c r="A10" s="9" t="inlineStr">
        <is>
          <t>Elevated Acre</t>
        </is>
      </c>
      <c r="B10" s="10" t="inlineStr">
        <is>
          <t>Mirador gratis</t>
        </is>
      </c>
      <c r="C10" s="11" t="inlineStr">
        <is>
          <t>Mirador</t>
        </is>
      </c>
      <c r="D10" s="11" t="inlineStr">
        <is>
          <t>Financial District</t>
        </is>
      </c>
      <c r="E10" s="11" t="inlineStr">
        <is>
          <t>Manhattan</t>
        </is>
      </c>
      <c r="F10" s="12" t="n">
        <v>1</v>
      </c>
      <c r="G10" s="12" t="n">
        <v>1</v>
      </c>
      <c r="H10" s="13">
        <f>IF(AND(F10=2,G10=2),"AMBOS",IF(AND(F10=2,G10&lt;2),"solo JP",IF(AND(F10&lt;2,G10=2),"solo Thais","-")))</f>
        <v/>
      </c>
      <c r="I10" s="14" t="n">
        <v>0</v>
      </c>
      <c r="J10" s="15" t="n">
        <v>0.4</v>
      </c>
      <c r="K10" s="13" t="inlineStr">
        <is>
          <t>no</t>
        </is>
      </c>
      <c r="L10" s="16" t="inlineStr">
        <is>
          <t>—</t>
        </is>
      </c>
      <c r="M10" s="11" t="inlineStr">
        <is>
          <t>—</t>
        </is>
      </c>
      <c r="N10" s="16" t="inlineStr">
        <is>
          <t>—</t>
        </is>
      </c>
      <c r="O10" s="16" t="inlineStr">
        <is>
          <t>—</t>
        </is>
      </c>
      <c r="P10" s="16" t="inlineStr">
        <is>
          <t>Wall St (2,3), Broad St (J,Z)</t>
        </is>
      </c>
      <c r="Q10" s="16" t="inlineStr">
        <is>
          <t>Un acre de parque escondido un piso arriba de Water St, con vista al puerto. Se sube por una escalera que nadie ve.</t>
        </is>
      </c>
      <c r="R10" s="16" t="inlineStr">
        <is>
          <t>55 Water St</t>
        </is>
      </c>
      <c r="S10" s="16" t="inlineStr">
        <is>
          <t>—</t>
        </is>
      </c>
      <c r="T10" s="18" t="inlineStr">
        <is>
          <t>Abrir ↗</t>
        </is>
      </c>
      <c r="U10" s="21" t="inlineStr">
        <is>
          <t>otros</t>
        </is>
      </c>
      <c r="V10" s="20" t="inlineStr"/>
    </row>
    <row r="11" ht="46" customHeight="1">
      <c r="A11" s="9" t="inlineStr">
        <is>
          <t>Fort Tryon Park</t>
        </is>
      </c>
      <c r="B11" s="10" t="inlineStr">
        <is>
          <t>Mirador gratis</t>
        </is>
      </c>
      <c r="C11" s="11" t="inlineStr">
        <is>
          <t>Mirador</t>
        </is>
      </c>
      <c r="D11" s="11" t="inlineStr">
        <is>
          <t>Washington Heights</t>
        </is>
      </c>
      <c r="E11" s="11" t="inlineStr">
        <is>
          <t>Manhattan</t>
        </is>
      </c>
      <c r="F11" s="12" t="n">
        <v>2</v>
      </c>
      <c r="G11" s="12" t="n">
        <v>0</v>
      </c>
      <c r="H11" s="13">
        <f>IF(AND(F11=2,G11=2),"AMBOS",IF(AND(F11=2,G11&lt;2),"solo JP",IF(AND(F11&lt;2,G11=2),"solo Thais","-")))</f>
        <v/>
      </c>
      <c r="I11" s="14" t="n">
        <v>0</v>
      </c>
      <c r="J11" s="15" t="n">
        <v>1.5</v>
      </c>
      <c r="K11" s="13" t="inlineStr">
        <is>
          <t>no</t>
        </is>
      </c>
      <c r="L11" s="16" t="inlineStr">
        <is>
          <t>—</t>
        </is>
      </c>
      <c r="M11" s="11" t="inlineStr">
        <is>
          <t>—</t>
        </is>
      </c>
      <c r="N11" s="16" t="inlineStr">
        <is>
          <t>—</t>
        </is>
      </c>
      <c r="O11" s="16" t="inlineStr">
        <is>
          <t>—</t>
        </is>
      </c>
      <c r="P11" s="16" t="inlineStr">
        <is>
          <t>190 St (A)</t>
        </is>
      </c>
      <c r="Q11" s="16" t="inlineStr">
        <is>
          <t>El Hudson y los Palisades sin un solo edificio a la vista. No parece Manhattan. Se combina con The Cloisters en la misma caminata.</t>
        </is>
      </c>
      <c r="R11" s="16" t="inlineStr">
        <is>
          <t>Fort Tryon Park, Manhattan</t>
        </is>
      </c>
      <c r="S11" s="17" t="inlineStr">
        <is>
          <t>Día 4 · mar 1/9</t>
        </is>
      </c>
      <c r="T11" s="18" t="inlineStr">
        <is>
          <t>Abrir ↗</t>
        </is>
      </c>
      <c r="U11" s="21" t="inlineStr">
        <is>
          <t>otros</t>
        </is>
      </c>
      <c r="V11" s="20" t="inlineStr"/>
    </row>
    <row r="12" ht="46" customHeight="1">
      <c r="A12" s="9" t="inlineStr">
        <is>
          <t>Fulton Ferry Landing</t>
        </is>
      </c>
      <c r="B12" s="10" t="inlineStr">
        <is>
          <t>Mirador gratis</t>
        </is>
      </c>
      <c r="C12" s="11" t="inlineStr">
        <is>
          <t>Mirador</t>
        </is>
      </c>
      <c r="D12" s="11" t="inlineStr">
        <is>
          <t>DUMBO</t>
        </is>
      </c>
      <c r="E12" s="11" t="inlineStr">
        <is>
          <t>Brooklyn</t>
        </is>
      </c>
      <c r="F12" s="12" t="n">
        <v>1</v>
      </c>
      <c r="G12" s="12" t="n">
        <v>1</v>
      </c>
      <c r="H12" s="13">
        <f>IF(AND(F12=2,G12=2),"AMBOS",IF(AND(F12=2,G12&lt;2),"solo JP",IF(AND(F12&lt;2,G12=2),"solo Thais","-")))</f>
        <v/>
      </c>
      <c r="I12" s="14" t="n">
        <v>0</v>
      </c>
      <c r="J12" s="15" t="n">
        <v>0.3</v>
      </c>
      <c r="K12" s="13" t="inlineStr">
        <is>
          <t>no</t>
        </is>
      </c>
      <c r="L12" s="16" t="inlineStr">
        <is>
          <t>—</t>
        </is>
      </c>
      <c r="M12" s="11" t="inlineStr">
        <is>
          <t>—</t>
        </is>
      </c>
      <c r="N12" s="16" t="inlineStr">
        <is>
          <t>—</t>
        </is>
      </c>
      <c r="O12" s="16" t="inlineStr">
        <is>
          <t>—</t>
        </is>
      </c>
      <c r="P12" s="16" t="inlineStr">
        <is>
          <t>High St (A,C), York St (F)</t>
        </is>
      </c>
      <c r="Q12" s="16" t="inlineStr">
        <is>
          <t>acá salía el ferry de Brooklyn, que cruza el East River desde 1642, y acá Walt Whitman escribió "Crossing Brooklyn Ferry".</t>
        </is>
      </c>
      <c r="R12" s="16" t="inlineStr">
        <is>
          <t>Fulton Ferry Landing, Brooklyn</t>
        </is>
      </c>
      <c r="S12" s="16" t="inlineStr">
        <is>
          <t>—</t>
        </is>
      </c>
      <c r="T12" s="18" t="inlineStr">
        <is>
          <t>Abrir ↗</t>
        </is>
      </c>
      <c r="U12" s="21" t="inlineStr">
        <is>
          <t>otros</t>
        </is>
      </c>
      <c r="V12" s="20" t="inlineStr"/>
    </row>
    <row r="13" ht="46" customHeight="1">
      <c r="A13" s="9" t="inlineStr">
        <is>
          <t>Gantry Plaza State Park</t>
        </is>
      </c>
      <c r="B13" s="10" t="inlineStr">
        <is>
          <t>Mirador gratis</t>
        </is>
      </c>
      <c r="C13" s="11" t="inlineStr">
        <is>
          <t>Mirador</t>
        </is>
      </c>
      <c r="D13" s="11" t="inlineStr">
        <is>
          <t>Long Island City</t>
        </is>
      </c>
      <c r="E13" s="11" t="inlineStr">
        <is>
          <t>Queens</t>
        </is>
      </c>
      <c r="F13" s="12" t="n">
        <v>2</v>
      </c>
      <c r="G13" s="12" t="n">
        <v>1</v>
      </c>
      <c r="H13" s="13">
        <f>IF(AND(F13=2,G13=2),"AMBOS",IF(AND(F13=2,G13&lt;2),"solo JP",IF(AND(F13&lt;2,G13=2),"solo Thais","-")))</f>
        <v/>
      </c>
      <c r="I13" s="14" t="n">
        <v>0</v>
      </c>
      <c r="J13" s="15" t="n">
        <v>1</v>
      </c>
      <c r="K13" s="13" t="inlineStr">
        <is>
          <t>no</t>
        </is>
      </c>
      <c r="L13" s="16" t="inlineStr">
        <is>
          <t>—</t>
        </is>
      </c>
      <c r="M13" s="11" t="inlineStr">
        <is>
          <t>—</t>
        </is>
      </c>
      <c r="N13" s="16" t="inlineStr">
        <is>
          <t>—</t>
        </is>
      </c>
      <c r="O13" s="16" t="inlineStr">
        <is>
          <t>—</t>
        </is>
      </c>
      <c r="P13" s="16" t="inlineStr">
        <is>
          <t>Vernon Blvd-Jackson Av (7), 21 St (G)</t>
        </is>
      </c>
      <c r="Q13" s="16" t="inlineStr">
        <is>
          <t>La mejor vista frontal de Midtown que existe, desde el nivel del agua, con las gruas ferroviarias historicas y el cartel Pepsi-Cola. Practicamente sin turistas.</t>
        </is>
      </c>
      <c r="R13" s="16" t="inlineStr">
        <is>
          <t>4-09 47th Rd, LIC</t>
        </is>
      </c>
      <c r="S13" s="16" t="inlineStr">
        <is>
          <t>—</t>
        </is>
      </c>
      <c r="T13" s="18" t="inlineStr">
        <is>
          <t>Abrir ↗</t>
        </is>
      </c>
      <c r="U13" s="21" t="inlineStr">
        <is>
          <t>otros</t>
        </is>
      </c>
      <c r="V13" s="20" t="inlineStr"/>
    </row>
    <row r="14" ht="46" customHeight="1">
      <c r="A14" s="9" t="inlineStr">
        <is>
          <t>Louis Valentino Jr. Pier</t>
        </is>
      </c>
      <c r="B14" s="10" t="inlineStr">
        <is>
          <t>Mirador gratis</t>
        </is>
      </c>
      <c r="C14" s="11" t="inlineStr">
        <is>
          <t>Mirador</t>
        </is>
      </c>
      <c r="D14" s="11" t="inlineStr">
        <is>
          <t>Red Hook</t>
        </is>
      </c>
      <c r="E14" s="11" t="inlineStr">
        <is>
          <t>Brooklyn</t>
        </is>
      </c>
      <c r="F14" s="12" t="n">
        <v>0</v>
      </c>
      <c r="G14" s="12" t="n">
        <v>0</v>
      </c>
      <c r="H14" s="13">
        <f>IF(AND(F14=2,G14=2),"AMBOS",IF(AND(F14=2,G14&lt;2),"solo JP",IF(AND(F14&lt;2,G14=2),"solo Thais","-")))</f>
        <v/>
      </c>
      <c r="I14" s="14" t="n">
        <v>0</v>
      </c>
      <c r="J14" s="15" t="n">
        <v>0.5</v>
      </c>
      <c r="K14" s="13" t="inlineStr">
        <is>
          <t>no</t>
        </is>
      </c>
      <c r="L14" s="16" t="inlineStr">
        <is>
          <t>—</t>
        </is>
      </c>
      <c r="M14" s="11" t="inlineStr">
        <is>
          <t>—</t>
        </is>
      </c>
      <c r="N14" s="16" t="inlineStr">
        <is>
          <t>—</t>
        </is>
      </c>
      <c r="O14" s="16" t="inlineStr">
        <is>
          <t>—</t>
        </is>
      </c>
      <c r="P14" s="16" t="inlineStr">
        <is>
          <t>sin subte: NYC Ferry o bus B61 desde Carroll St (F,G)</t>
        </is>
      </c>
      <c r="Q14" s="16" t="inlineStr">
        <is>
          <t>La Estatua de la Libertad de frente, gratis, casi siempre vacio. La alternativa real al ferry pago.</t>
        </is>
      </c>
      <c r="R14" s="16" t="inlineStr">
        <is>
          <t>Ferris St &amp; Coffey St, Brooklyn</t>
        </is>
      </c>
      <c r="S14" s="16" t="inlineStr">
        <is>
          <t>—</t>
        </is>
      </c>
      <c r="T14" s="18" t="inlineStr">
        <is>
          <t>Abrir ↗</t>
        </is>
      </c>
      <c r="U14" s="21" t="inlineStr">
        <is>
          <t>otros</t>
        </is>
      </c>
      <c r="V14" s="20" t="inlineStr"/>
    </row>
    <row r="15" ht="46" customHeight="1">
      <c r="A15" s="9" t="inlineStr">
        <is>
          <t>Pier 35</t>
        </is>
      </c>
      <c r="B15" s="10" t="inlineStr">
        <is>
          <t>Mirador gratis</t>
        </is>
      </c>
      <c r="C15" s="11" t="inlineStr">
        <is>
          <t>Mirador</t>
        </is>
      </c>
      <c r="D15" s="11" t="inlineStr">
        <is>
          <t>Lower East Side</t>
        </is>
      </c>
      <c r="E15" s="11" t="inlineStr">
        <is>
          <t>Manhattan</t>
        </is>
      </c>
      <c r="F15" s="12" t="n">
        <v>1</v>
      </c>
      <c r="G15" s="12" t="n">
        <v>1</v>
      </c>
      <c r="H15" s="13">
        <f>IF(AND(F15=2,G15=2),"AMBOS",IF(AND(F15=2,G15&lt;2),"solo JP",IF(AND(F15&lt;2,G15=2),"solo Thais","-")))</f>
        <v/>
      </c>
      <c r="I15" s="14" t="n">
        <v>0</v>
      </c>
      <c r="J15" s="15" t="n">
        <v>0.4</v>
      </c>
      <c r="K15" s="13" t="inlineStr">
        <is>
          <t>no</t>
        </is>
      </c>
      <c r="L15" s="16" t="inlineStr">
        <is>
          <t>—</t>
        </is>
      </c>
      <c r="M15" s="11" t="inlineStr">
        <is>
          <t>—</t>
        </is>
      </c>
      <c r="N15" s="16" t="inlineStr">
        <is>
          <t>—</t>
        </is>
      </c>
      <c r="O15" s="16" t="inlineStr">
        <is>
          <t>—</t>
        </is>
      </c>
      <c r="P15" s="16" t="inlineStr">
        <is>
          <t>East Broadway (F)</t>
        </is>
      </c>
      <c r="Q15" s="16" t="inlineStr">
        <is>
          <t>Eco-park con hamacas frente al puente de Manhattan. Vacío y bien orientado al atardecer.</t>
        </is>
      </c>
      <c r="R15" s="16" t="inlineStr"/>
      <c r="S15" s="16" t="inlineStr">
        <is>
          <t>—</t>
        </is>
      </c>
      <c r="T15" s="18" t="inlineStr">
        <is>
          <t>Abrir ↗</t>
        </is>
      </c>
      <c r="U15" s="19" t="inlineStr">
        <is>
          <t>lista google</t>
        </is>
      </c>
      <c r="V15" s="20" t="inlineStr"/>
    </row>
    <row r="16" ht="46" customHeight="1">
      <c r="A16" s="9" t="inlineStr">
        <is>
          <t>Pier 57</t>
        </is>
      </c>
      <c r="B16" s="10" t="inlineStr">
        <is>
          <t>Mirador gratis</t>
        </is>
      </c>
      <c r="C16" s="11" t="inlineStr">
        <is>
          <t>Mirador</t>
        </is>
      </c>
      <c r="D16" s="11" t="inlineStr">
        <is>
          <t>Chelsea</t>
        </is>
      </c>
      <c r="E16" s="11" t="inlineStr">
        <is>
          <t>Manhattan</t>
        </is>
      </c>
      <c r="F16" s="12" t="n">
        <v>1</v>
      </c>
      <c r="G16" s="12" t="n">
        <v>1</v>
      </c>
      <c r="H16" s="13">
        <f>IF(AND(F16=2,G16=2),"AMBOS",IF(AND(F16=2,G16&lt;2),"solo JP",IF(AND(F16&lt;2,G16=2),"solo Thais","-")))</f>
        <v/>
      </c>
      <c r="I16" s="14" t="n">
        <v>0</v>
      </c>
      <c r="J16" s="15" t="n">
        <v>0.75</v>
      </c>
      <c r="K16" s="13" t="inlineStr">
        <is>
          <t>no</t>
        </is>
      </c>
      <c r="L16" s="16" t="inlineStr">
        <is>
          <t>—</t>
        </is>
      </c>
      <c r="M16" s="11" t="inlineStr">
        <is>
          <t>—</t>
        </is>
      </c>
      <c r="N16" s="16" t="inlineStr">
        <is>
          <t>—</t>
        </is>
      </c>
      <c r="O16" s="16" t="inlineStr">
        <is>
          <t>—</t>
        </is>
      </c>
      <c r="P16" s="16" t="inlineStr">
        <is>
          <t>14 St (A,C,E)</t>
        </is>
      </c>
      <c r="Q16" s="16" t="inlineStr">
        <is>
          <t>Parque en la AZOTEA de un muelle, gratis, con el Hudson de frente y un food hall abajo. Al lado del Little Island.</t>
        </is>
      </c>
      <c r="R16" s="16" t="inlineStr">
        <is>
          <t>25 11th Ave</t>
        </is>
      </c>
      <c r="S16" s="16" t="inlineStr">
        <is>
          <t>—</t>
        </is>
      </c>
      <c r="T16" s="18" t="inlineStr">
        <is>
          <t>Abrir ↗</t>
        </is>
      </c>
      <c r="U16" s="19" t="inlineStr">
        <is>
          <t>lista google</t>
        </is>
      </c>
      <c r="V16" s="20" t="inlineStr"/>
    </row>
    <row r="17" ht="46" customHeight="1">
      <c r="A17" s="9" t="inlineStr">
        <is>
          <t>Sunset Park (el mirador)</t>
        </is>
      </c>
      <c r="B17" s="10" t="inlineStr">
        <is>
          <t>Mirador gratis</t>
        </is>
      </c>
      <c r="C17" s="11" t="inlineStr">
        <is>
          <t>Mirador</t>
        </is>
      </c>
      <c r="D17" s="11" t="inlineStr">
        <is>
          <t>Sunset Park</t>
        </is>
      </c>
      <c r="E17" s="11" t="inlineStr">
        <is>
          <t>Brooklyn</t>
        </is>
      </c>
      <c r="F17" s="12" t="n">
        <v>1</v>
      </c>
      <c r="G17" s="12" t="n">
        <v>1</v>
      </c>
      <c r="H17" s="13">
        <f>IF(AND(F17=2,G17=2),"AMBOS",IF(AND(F17=2,G17&lt;2),"solo JP",IF(AND(F17&lt;2,G17=2),"solo Thais","-")))</f>
        <v/>
      </c>
      <c r="I17" s="14" t="n">
        <v>0</v>
      </c>
      <c r="J17" s="15" t="n">
        <v>0.5</v>
      </c>
      <c r="K17" s="13" t="inlineStr">
        <is>
          <t>no</t>
        </is>
      </c>
      <c r="L17" s="16" t="inlineStr">
        <is>
          <t>—</t>
        </is>
      </c>
      <c r="M17" s="11" t="inlineStr">
        <is>
          <t>—</t>
        </is>
      </c>
      <c r="N17" s="16" t="inlineStr">
        <is>
          <t>—</t>
        </is>
      </c>
      <c r="O17" s="16" t="inlineStr">
        <is>
          <t>—</t>
        </is>
      </c>
      <c r="P17" s="16" t="inlineStr">
        <is>
          <t>25 St (R)</t>
        </is>
      </c>
      <c r="Q17" s="16" t="inlineStr">
        <is>
          <t>Manhattan entero, el puerto y la Estatua de la Libertad desde una loma en un barrio residencial. Cero turistas.</t>
        </is>
      </c>
      <c r="R17" s="16" t="inlineStr">
        <is>
          <t>Sunset Park, 5th Ave &amp; 41st St, Brooklyn</t>
        </is>
      </c>
      <c r="S17" s="16" t="inlineStr">
        <is>
          <t>—</t>
        </is>
      </c>
      <c r="T17" s="18" t="inlineStr">
        <is>
          <t>Abrir ↗</t>
        </is>
      </c>
      <c r="U17" s="19" t="inlineStr">
        <is>
          <t>lista google</t>
        </is>
      </c>
      <c r="V17" s="20" t="inlineStr"/>
    </row>
    <row r="18" ht="46" customHeight="1">
      <c r="A18" s="9" t="inlineStr">
        <is>
          <t>Edge Hudson Yards</t>
        </is>
      </c>
      <c r="B18" s="10" t="inlineStr">
        <is>
          <t>Observatorio pago</t>
        </is>
      </c>
      <c r="C18" s="11" t="inlineStr">
        <is>
          <t>Mirador</t>
        </is>
      </c>
      <c r="D18" s="11" t="inlineStr">
        <is>
          <t>Hudson Yards</t>
        </is>
      </c>
      <c r="E18" s="11" t="inlineStr">
        <is>
          <t>Manhattan</t>
        </is>
      </c>
      <c r="F18" s="12" t="n">
        <v>0</v>
      </c>
      <c r="G18" s="12" t="n">
        <v>0</v>
      </c>
      <c r="H18" s="13">
        <f>IF(AND(F18=2,G18=2),"AMBOS",IF(AND(F18=2,G18&lt;2),"solo JP",IF(AND(F18&lt;2,G18=2),"solo Thais","-")))</f>
        <v/>
      </c>
      <c r="I18" s="14" t="n">
        <v>34</v>
      </c>
      <c r="J18" s="15" t="n">
        <v>1.25</v>
      </c>
      <c r="K18" s="13" t="inlineStr">
        <is>
          <t>SÍ</t>
        </is>
      </c>
      <c r="L18" s="16" t="inlineStr">
        <is>
          <t>—</t>
        </is>
      </c>
      <c r="M18" s="11" t="inlineStr">
        <is>
          <t>—</t>
        </is>
      </c>
      <c r="N18" s="16" t="inlineStr">
        <is>
          <t>—</t>
        </is>
      </c>
      <c r="O18" s="16" t="inlineStr">
        <is>
          <t>timed entry; Advance Saver exige 14+ dias</t>
        </is>
      </c>
      <c r="P18" s="16" t="inlineStr">
        <is>
          <t>34 St-Hudson Yards (7)</t>
        </is>
      </c>
      <c r="Q18" s="16" t="inlineStr">
        <is>
          <t>Terraza triangular en voladizo con piso de vidrio. El mas espectacular fisicamente, pero la vista es la mas floja de los tres: estas demasiado al oeste.</t>
        </is>
      </c>
      <c r="R18" s="16" t="inlineStr">
        <is>
          <t>30 Hudson Yards</t>
        </is>
      </c>
      <c r="S18" s="16" t="inlineStr">
        <is>
          <t>—</t>
        </is>
      </c>
      <c r="T18" s="18" t="inlineStr">
        <is>
          <t>Abrir ↗</t>
        </is>
      </c>
      <c r="U18" s="19" t="inlineStr">
        <is>
          <t>lista google</t>
        </is>
      </c>
      <c r="V18" s="20" t="inlineStr"/>
    </row>
    <row r="19" ht="46" customHeight="1">
      <c r="A19" s="9" t="inlineStr">
        <is>
          <t>Empire State Building</t>
        </is>
      </c>
      <c r="B19" s="10" t="inlineStr">
        <is>
          <t>Observatorio pago</t>
        </is>
      </c>
      <c r="C19" s="11" t="inlineStr">
        <is>
          <t>Mirador</t>
        </is>
      </c>
      <c r="D19" s="11" t="inlineStr">
        <is>
          <t>Midtown</t>
        </is>
      </c>
      <c r="E19" s="11" t="inlineStr">
        <is>
          <t>Manhattan</t>
        </is>
      </c>
      <c r="F19" s="12" t="n">
        <v>0</v>
      </c>
      <c r="G19" s="12" t="n">
        <v>0</v>
      </c>
      <c r="H19" s="13">
        <f>IF(AND(F19=2,G19=2),"AMBOS",IF(AND(F19=2,G19&lt;2),"solo JP",IF(AND(F19&lt;2,G19=2),"solo Thais","-")))</f>
        <v/>
      </c>
      <c r="I19" s="14" t="n">
        <v>49</v>
      </c>
      <c r="J19" s="15" t="n">
        <v>1.5</v>
      </c>
      <c r="K19" s="13" t="inlineStr">
        <is>
          <t>SÍ</t>
        </is>
      </c>
      <c r="L19" s="16" t="inlineStr">
        <is>
          <t>—</t>
        </is>
      </c>
      <c r="M19" s="11" t="inlineStr">
        <is>
          <t>—</t>
        </is>
      </c>
      <c r="N19" s="16" t="inlineStr">
        <is>
          <t>—</t>
        </is>
      </c>
      <c r="O19" s="16" t="inlineStr">
        <is>
          <t>recomendada</t>
        </is>
      </c>
      <c r="P19" s="16" t="inlineStr">
        <is>
          <t>34 St-Herald Sq (B,D,F,M,N,Q,R,W)</t>
        </is>
      </c>
      <c r="Q19" s="16" t="inlineStr">
        <is>
          <t>El icono. La vista es buena pero no la mejor; el valor esta en el edificio mismo y el museo art deco del segundo piso.</t>
        </is>
      </c>
      <c r="R19" s="16" t="inlineStr">
        <is>
          <t>20 W 34th St</t>
        </is>
      </c>
      <c r="S19" s="16" t="inlineStr">
        <is>
          <t>—</t>
        </is>
      </c>
      <c r="T19" s="18" t="inlineStr">
        <is>
          <t>Abrir ↗</t>
        </is>
      </c>
      <c r="U19" s="21" t="inlineStr">
        <is>
          <t>otros</t>
        </is>
      </c>
      <c r="V19" s="20" t="inlineStr"/>
    </row>
    <row r="20" ht="46" customHeight="1">
      <c r="A20" s="9" t="inlineStr">
        <is>
          <t>One World Observatory</t>
        </is>
      </c>
      <c r="B20" s="10" t="inlineStr">
        <is>
          <t>Observatorio pago</t>
        </is>
      </c>
      <c r="C20" s="11" t="inlineStr">
        <is>
          <t>Mirador</t>
        </is>
      </c>
      <c r="D20" s="11" t="inlineStr">
        <is>
          <t>Financial District</t>
        </is>
      </c>
      <c r="E20" s="11" t="inlineStr">
        <is>
          <t>Manhattan</t>
        </is>
      </c>
      <c r="F20" s="12" t="n">
        <v>2</v>
      </c>
      <c r="G20" s="12" t="n">
        <v>0</v>
      </c>
      <c r="H20" s="13">
        <f>IF(AND(F20=2,G20=2),"AMBOS",IF(AND(F20=2,G20&lt;2),"solo JP",IF(AND(F20&lt;2,G20=2),"solo Thais","-")))</f>
        <v/>
      </c>
      <c r="I20" s="14" t="n">
        <v>44</v>
      </c>
      <c r="J20" s="15" t="n">
        <v>1.25</v>
      </c>
      <c r="K20" s="13" t="inlineStr">
        <is>
          <t>SÍ</t>
        </is>
      </c>
      <c r="L20" s="16" t="inlineStr">
        <is>
          <t>lunes a domingo: 09:00–21:00</t>
        </is>
      </c>
      <c r="M20" s="11" t="inlineStr">
        <is>
          <t>—</t>
        </is>
      </c>
      <c r="N20" s="16" t="inlineStr">
        <is>
          <t>—</t>
        </is>
      </c>
      <c r="O20" s="16" t="inlineStr">
        <is>
          <t>recomendada</t>
        </is>
      </c>
      <c r="P20" s="16" t="inlineStr">
        <is>
          <t>WTC Cortlandt (1), Fulton St</t>
        </is>
      </c>
      <c r="Q20" s="16" t="inlineStr">
        <is>
          <t>El punto mas alto del hemisferio occidental. Vista dominada por el puerto y Brooklyn. El truco real es entrar despues de las 20:00 a mitad de precio.</t>
        </is>
      </c>
      <c r="R20" s="16" t="inlineStr">
        <is>
          <t>117 West St</t>
        </is>
      </c>
      <c r="S20" s="17" t="inlineStr">
        <is>
          <t>Día 6 · jue 3/9</t>
        </is>
      </c>
      <c r="T20" s="18" t="inlineStr">
        <is>
          <t>Abrir ↗</t>
        </is>
      </c>
      <c r="U20" s="21" t="inlineStr">
        <is>
          <t>otros</t>
        </is>
      </c>
      <c r="V20" s="20" t="inlineStr">
        <is>
          <t>SÍ</t>
        </is>
      </c>
    </row>
    <row r="21" ht="46" customHeight="1">
      <c r="A21" s="9" t="inlineStr">
        <is>
          <t>SUMMIT One Vanderbilt</t>
        </is>
      </c>
      <c r="B21" s="10" t="inlineStr">
        <is>
          <t>Observatorio pago</t>
        </is>
      </c>
      <c r="C21" s="11" t="inlineStr">
        <is>
          <t>Mirador</t>
        </is>
      </c>
      <c r="D21" s="11" t="inlineStr">
        <is>
          <t>Midtown East</t>
        </is>
      </c>
      <c r="E21" s="11" t="inlineStr">
        <is>
          <t>Manhattan</t>
        </is>
      </c>
      <c r="F21" s="12" t="n">
        <v>2</v>
      </c>
      <c r="G21" s="12" t="n">
        <v>2</v>
      </c>
      <c r="H21" s="13">
        <f>IF(AND(F21=2,G21=2),"AMBOS",IF(AND(F21=2,G21&lt;2),"solo JP",IF(AND(F21&lt;2,G21=2),"solo Thais","-")))</f>
        <v/>
      </c>
      <c r="I21" s="14" t="n">
        <v>44</v>
      </c>
      <c r="J21" s="15" t="n">
        <v>1.5</v>
      </c>
      <c r="K21" s="13" t="inlineStr">
        <is>
          <t>SÍ</t>
        </is>
      </c>
      <c r="L21" s="16" t="inlineStr">
        <is>
          <t>lunes a domingo: 09:00–24:00</t>
        </is>
      </c>
      <c r="M21" s="11" t="inlineStr">
        <is>
          <t>—</t>
        </is>
      </c>
      <c r="N21" s="16" t="inlineStr">
        <is>
          <t>—</t>
        </is>
      </c>
      <c r="O21" s="16" t="inlineStr">
        <is>
          <t>ticket con horario, reservar 1-2 semanas antes</t>
        </is>
      </c>
      <c r="P21" s="16" t="inlineStr">
        <is>
          <t>Grand Central-42 St (4,5,6,7,S)</t>
        </is>
      </c>
      <c r="Q21" s="16" t="inlineStr">
        <is>
          <t>El unico observatorio que es una obra de arte en si: salas de espejos infinitos de Kusama, piso de vidrio y ascensor exterior. Mas experiencia que mirador.</t>
        </is>
      </c>
      <c r="R21" s="16" t="inlineStr">
        <is>
          <t>45 E 42nd St</t>
        </is>
      </c>
      <c r="S21" s="17" t="inlineStr">
        <is>
          <t>Día 7 · vie 4/9</t>
        </is>
      </c>
      <c r="T21" s="18" t="inlineStr">
        <is>
          <t>Abrir ↗</t>
        </is>
      </c>
      <c r="U21" s="19" t="inlineStr">
        <is>
          <t>lista google</t>
        </is>
      </c>
      <c r="V21" s="20" t="inlineStr">
        <is>
          <t>SÍ</t>
        </is>
      </c>
    </row>
    <row r="22" ht="46" customHeight="1">
      <c r="A22" s="9" t="inlineStr">
        <is>
          <t>Top of the Rock</t>
        </is>
      </c>
      <c r="B22" s="10" t="inlineStr">
        <is>
          <t>Observatorio pago</t>
        </is>
      </c>
      <c r="C22" s="11" t="inlineStr">
        <is>
          <t>Mirador</t>
        </is>
      </c>
      <c r="D22" s="11" t="inlineStr">
        <is>
          <t>Midtown</t>
        </is>
      </c>
      <c r="E22" s="11" t="inlineStr">
        <is>
          <t>Manhattan</t>
        </is>
      </c>
      <c r="F22" s="12" t="n">
        <v>2</v>
      </c>
      <c r="G22" s="12" t="n">
        <v>0</v>
      </c>
      <c r="H22" s="13">
        <f>IF(AND(F22=2,G22=2),"AMBOS",IF(AND(F22=2,G22&lt;2),"solo JP",IF(AND(F22&lt;2,G22=2),"solo Thais","-")))</f>
        <v/>
      </c>
      <c r="I22" s="14" t="n">
        <v>42</v>
      </c>
      <c r="J22" s="15" t="n">
        <v>1.5</v>
      </c>
      <c r="K22" s="13" t="inlineStr">
        <is>
          <t>SÍ</t>
        </is>
      </c>
      <c r="L22" s="16" t="inlineStr">
        <is>
          <t>lunes a domingo: 08:00–24:00</t>
        </is>
      </c>
      <c r="M22" s="11" t="inlineStr">
        <is>
          <t>—</t>
        </is>
      </c>
      <c r="N22" s="16" t="inlineStr">
        <is>
          <t>—</t>
        </is>
      </c>
      <c r="O22" s="16" t="inlineStr">
        <is>
          <t>ticket con horario</t>
        </is>
      </c>
      <c r="P22" s="16" t="inlineStr">
        <is>
          <t>47-50 Sts-Rockefeller Ctr (B,D,F,M)</t>
        </is>
      </c>
      <c r="Q22" s="16" t="inlineStr">
        <is>
          <t>El unico observatorio desde el que se ve el Empire State en el encuadre, con Central Park del otro lado. Si van a pagar uno solo, es este.</t>
        </is>
      </c>
      <c r="R22" s="16" t="inlineStr">
        <is>
          <t>30 Rockefeller Plaza</t>
        </is>
      </c>
      <c r="S22" s="17" t="inlineStr">
        <is>
          <t>Día 3 · lun 31/8</t>
        </is>
      </c>
      <c r="T22" s="18" t="inlineStr">
        <is>
          <t>Abrir ↗</t>
        </is>
      </c>
      <c r="U22" s="19" t="inlineStr">
        <is>
          <t>lista google</t>
        </is>
      </c>
      <c r="V22" s="20" t="inlineStr">
        <is>
          <t>SÍ</t>
        </is>
      </c>
    </row>
    <row r="23" ht="46" customHeight="1">
      <c r="A23" s="9" t="inlineStr">
        <is>
          <t>MO Lounge — Mandarin Oriental (piso 35)</t>
        </is>
      </c>
      <c r="B23" s="10" t="inlineStr">
        <is>
          <t>Rooftop bar</t>
        </is>
      </c>
      <c r="C23" s="11" t="inlineStr">
        <is>
          <t>Mirador</t>
        </is>
      </c>
      <c r="D23" s="11" t="inlineStr">
        <is>
          <t>Columbus Circle</t>
        </is>
      </c>
      <c r="E23" s="11" t="inlineStr">
        <is>
          <t>Manhattan</t>
        </is>
      </c>
      <c r="F23" s="12" t="n">
        <v>2</v>
      </c>
      <c r="G23" s="12" t="n">
        <v>2</v>
      </c>
      <c r="H23" s="13">
        <f>IF(AND(F23=2,G23=2),"AMBOS",IF(AND(F23=2,G23&lt;2),"solo JP",IF(AND(F23&lt;2,G23=2),"solo Thais","-")))</f>
        <v/>
      </c>
      <c r="I23" s="14" t="n">
        <v>30</v>
      </c>
      <c r="J23" s="15" t="n">
        <v>0.75</v>
      </c>
      <c r="K23" s="13" t="inlineStr">
        <is>
          <t>SÍ</t>
        </is>
      </c>
      <c r="L23" s="16" t="inlineStr">
        <is>
          <t>lunes a miércoles: 07:00–23:00 · jueves a sábado: 07:00–24:00 · domingo: 07:00–23:00</t>
        </is>
      </c>
      <c r="M23" s="11" t="inlineStr">
        <is>
          <t>—</t>
        </is>
      </c>
      <c r="N23" s="16" t="inlineStr">
        <is>
          <t>—</t>
        </is>
      </c>
      <c r="O23" s="16" t="inlineStr">
        <is>
          <t>recomendada (SevenRooms)</t>
        </is>
      </c>
      <c r="P23" s="16" t="inlineStr">
        <is>
          <t>59 St-Columbus Circle (1,A,B,C,D)</t>
        </is>
      </c>
      <c r="Q23" s="16" t="inlineStr">
        <is>
          <t>Ventanales de piso a techo sobre Central Park desde el piso 35, con la ciudad de noche abajo. Y esta EN EL MISMO EDIFICIO que Dizzy's: se baja en ascensor al jazz. Alternativa mas intima en ese mismo piso: The Bar (ex speakeasy The Office), mar-sab 17-1h, 45 asientos.</t>
        </is>
      </c>
      <c r="R23" s="16" t="inlineStr">
        <is>
          <t>80 Columbus Circle, piso 35</t>
        </is>
      </c>
      <c r="S23" s="17" t="inlineStr">
        <is>
          <t>Día 6 · jue 3/9</t>
        </is>
      </c>
      <c r="T23" s="18" t="inlineStr">
        <is>
          <t>Abrir ↗</t>
        </is>
      </c>
      <c r="U23" s="21" t="inlineStr">
        <is>
          <t>otros</t>
        </is>
      </c>
      <c r="V23" s="20" t="inlineStr">
        <is>
          <t>SÍ</t>
        </is>
      </c>
    </row>
    <row r="24" ht="46" customHeight="1">
      <c r="A24" s="9" t="inlineStr">
        <is>
          <t>The Campbell</t>
        </is>
      </c>
      <c r="B24" s="10" t="inlineStr">
        <is>
          <t>Rooftop bar</t>
        </is>
      </c>
      <c r="C24" s="11" t="inlineStr">
        <is>
          <t>Mirador</t>
        </is>
      </c>
      <c r="D24" s="11" t="inlineStr">
        <is>
          <t>Midtown East</t>
        </is>
      </c>
      <c r="E24" s="11" t="inlineStr">
        <is>
          <t>Manhattan</t>
        </is>
      </c>
      <c r="F24" s="12" t="n">
        <v>1</v>
      </c>
      <c r="G24" s="12" t="n">
        <v>1</v>
      </c>
      <c r="H24" s="13">
        <f>IF(AND(F24=2,G24=2),"AMBOS",IF(AND(F24=2,G24&lt;2),"solo JP",IF(AND(F24&lt;2,G24=2),"solo Thais","-")))</f>
        <v/>
      </c>
      <c r="I24" s="14" t="n">
        <v>22</v>
      </c>
      <c r="J24" s="15" t="n">
        <v>1</v>
      </c>
      <c r="K24" s="13" t="inlineStr">
        <is>
          <t>no</t>
        </is>
      </c>
      <c r="L24" s="16" t="inlineStr">
        <is>
          <t>—</t>
        </is>
      </c>
      <c r="M24" s="11" t="inlineStr">
        <is>
          <t>—</t>
        </is>
      </c>
      <c r="N24" s="16" t="inlineStr">
        <is>
          <t>—</t>
        </is>
      </c>
      <c r="O24" s="16" t="inlineStr">
        <is>
          <t>—</t>
        </is>
      </c>
      <c r="P24" s="16" t="inlineStr">
        <is>
          <t>Grand Central-42 St (4,5,6,7,S)</t>
        </is>
      </c>
      <c r="Q24" s="16" t="inlineStr">
        <is>
          <t>Oficina privada de un magnate de los anos 20 dentro de Grand Central, con techo artesonado. Esta abajo del SUMMIT.</t>
        </is>
      </c>
      <c r="R24" s="16" t="inlineStr">
        <is>
          <t>15 Vanderbilt Ave</t>
        </is>
      </c>
      <c r="S24" s="16" t="inlineStr">
        <is>
          <t>—</t>
        </is>
      </c>
      <c r="T24" s="18" t="inlineStr">
        <is>
          <t>Abrir ↗</t>
        </is>
      </c>
      <c r="U24" s="21" t="inlineStr">
        <is>
          <t>otros</t>
        </is>
      </c>
      <c r="V24" s="20" t="inlineStr"/>
    </row>
    <row r="25" ht="46" customHeight="1">
      <c r="A25" s="9" t="inlineStr">
        <is>
          <t>The Crown (50 Bowery)</t>
        </is>
      </c>
      <c r="B25" s="10" t="inlineStr">
        <is>
          <t>Rooftop bar</t>
        </is>
      </c>
      <c r="C25" s="11" t="inlineStr">
        <is>
          <t>Mirador</t>
        </is>
      </c>
      <c r="D25" s="11" t="inlineStr">
        <is>
          <t>Chinatown</t>
        </is>
      </c>
      <c r="E25" s="11" t="inlineStr">
        <is>
          <t>Manhattan</t>
        </is>
      </c>
      <c r="F25" s="12" t="n">
        <v>2</v>
      </c>
      <c r="G25" s="12" t="n">
        <v>2</v>
      </c>
      <c r="H25" s="13">
        <f>IF(AND(F25=2,G25=2),"AMBOS",IF(AND(F25=2,G25&lt;2),"solo JP",IF(AND(F25&lt;2,G25=2),"solo Thais","-")))</f>
        <v/>
      </c>
      <c r="I25" s="14" t="n">
        <v>20</v>
      </c>
      <c r="J25" s="15" t="n">
        <v>1</v>
      </c>
      <c r="K25" s="13" t="inlineStr">
        <is>
          <t>no</t>
        </is>
      </c>
      <c r="L25" s="16" t="inlineStr">
        <is>
          <t>—</t>
        </is>
      </c>
      <c r="M25" s="11" t="inlineStr">
        <is>
          <t>—</t>
        </is>
      </c>
      <c r="N25" s="16" t="inlineStr">
        <is>
          <t>—</t>
        </is>
      </c>
      <c r="O25" s="16" t="inlineStr">
        <is>
          <t>—</t>
        </is>
      </c>
      <c r="P25" s="16" t="inlineStr">
        <is>
          <t>Grand St (B,D), Canal St</t>
        </is>
      </c>
      <c r="Q25" s="16" t="inlineStr">
        <is>
          <t>Vista desde el sur con el Manhattan Bridge y los puentes en primer plano. Angulo que no da ningun observatorio pago.</t>
        </is>
      </c>
      <c r="R25" s="16" t="inlineStr">
        <is>
          <t>50 Bowery, piso 21</t>
        </is>
      </c>
      <c r="S25" s="17" t="inlineStr">
        <is>
          <t>Día 2 · dom 30/8</t>
        </is>
      </c>
      <c r="T25" s="18" t="inlineStr">
        <is>
          <t>Abrir ↗</t>
        </is>
      </c>
      <c r="U25" s="19" t="inlineStr">
        <is>
          <t>lista google</t>
        </is>
      </c>
      <c r="V25" s="20" t="inlineStr"/>
    </row>
    <row r="26" ht="46" customHeight="1">
      <c r="A26" s="9" t="inlineStr">
        <is>
          <t>Westlight (rooftop)</t>
        </is>
      </c>
      <c r="B26" s="10" t="inlineStr">
        <is>
          <t>Rooftop bar</t>
        </is>
      </c>
      <c r="C26" s="11" t="inlineStr">
        <is>
          <t>Mirador</t>
        </is>
      </c>
      <c r="D26" s="11" t="inlineStr">
        <is>
          <t>Williamsburg</t>
        </is>
      </c>
      <c r="E26" s="11" t="inlineStr">
        <is>
          <t>Brooklyn</t>
        </is>
      </c>
      <c r="F26" s="12" t="n">
        <v>1</v>
      </c>
      <c r="G26" s="12" t="n">
        <v>1</v>
      </c>
      <c r="H26" s="13">
        <f>IF(AND(F26=2,G26=2),"AMBOS",IF(AND(F26=2,G26&lt;2),"solo JP",IF(AND(F26&lt;2,G26=2),"solo Thais","-")))</f>
        <v/>
      </c>
      <c r="I26" s="14" t="n">
        <v>20</v>
      </c>
      <c r="J26" s="15" t="n">
        <v>1</v>
      </c>
      <c r="K26" s="13" t="inlineStr">
        <is>
          <t>no</t>
        </is>
      </c>
      <c r="L26" s="16" t="inlineStr">
        <is>
          <t>—</t>
        </is>
      </c>
      <c r="M26" s="11" t="inlineStr">
        <is>
          <t>—</t>
        </is>
      </c>
      <c r="N26" s="16" t="inlineStr">
        <is>
          <t>—</t>
        </is>
      </c>
      <c r="O26" s="16" t="inlineStr">
        <is>
          <t>—</t>
        </is>
      </c>
      <c r="P26" s="16" t="inlineStr">
        <is>
          <t>Bedford Av (L)</t>
        </is>
      </c>
      <c r="Q26" s="16" t="inlineStr">
        <is>
          <t>Panoramica completa de Manhattan desde Brooklyn, terraza abierta, sin entrada. La alternativa honesta a pagar $60 por un observatorio.</t>
        </is>
      </c>
      <c r="R26" s="16" t="inlineStr">
        <is>
          <t>111 N 12th St, piso 22, Brooklyn</t>
        </is>
      </c>
      <c r="S26" s="16" t="inlineStr">
        <is>
          <t>—</t>
        </is>
      </c>
      <c r="T26" s="18" t="inlineStr">
        <is>
          <t>Abrir ↗</t>
        </is>
      </c>
      <c r="U26" s="19" t="inlineStr">
        <is>
          <t>lista google</t>
        </is>
      </c>
      <c r="V26" s="20" t="inlineStr"/>
    </row>
    <row r="27" ht="46" customHeight="1">
      <c r="A27" s="9" t="inlineStr">
        <is>
          <t>Jefferson Market Library</t>
        </is>
      </c>
      <c r="B27" s="10" t="inlineStr">
        <is>
          <t>Biblioteca histórica</t>
        </is>
      </c>
      <c r="C27" s="11" t="inlineStr">
        <is>
          <t>Museo</t>
        </is>
      </c>
      <c r="D27" s="11" t="inlineStr">
        <is>
          <t>Greenwich Village</t>
        </is>
      </c>
      <c r="E27" s="11" t="inlineStr">
        <is>
          <t>Manhattan</t>
        </is>
      </c>
      <c r="F27" s="12" t="n">
        <v>1</v>
      </c>
      <c r="G27" s="12" t="n">
        <v>1</v>
      </c>
      <c r="H27" s="13">
        <f>IF(AND(F27=2,G27=2),"AMBOS",IF(AND(F27=2,G27&lt;2),"solo JP",IF(AND(F27&lt;2,G27=2),"solo Thais","-")))</f>
        <v/>
      </c>
      <c r="I27" s="14" t="n">
        <v>0</v>
      </c>
      <c r="J27" s="15" t="n">
        <v>0.4</v>
      </c>
      <c r="K27" s="13" t="inlineStr">
        <is>
          <t>no</t>
        </is>
      </c>
      <c r="L27" s="16" t="inlineStr">
        <is>
          <t>—</t>
        </is>
      </c>
      <c r="M27" s="11" t="inlineStr">
        <is>
          <t>—</t>
        </is>
      </c>
      <c r="N27" s="16" t="inlineStr">
        <is>
          <t>—</t>
        </is>
      </c>
      <c r="O27" s="16" t="inlineStr">
        <is>
          <t>—</t>
        </is>
      </c>
      <c r="P27" s="16" t="inlineStr">
        <is>
          <t>W 4 St (A,C,E,B,D,F,M)</t>
        </is>
      </c>
      <c r="Q27" s="16" t="inlineStr">
        <is>
          <t>Gotico victoriano de 1877 que fue tribunal y carcel de mujeres. Se entra gratis y la escalera de caracol vale el desvio.</t>
        </is>
      </c>
      <c r="R27" s="16" t="inlineStr">
        <is>
          <t>425 6th Ave</t>
        </is>
      </c>
      <c r="S27" s="16" t="inlineStr">
        <is>
          <t>—</t>
        </is>
      </c>
      <c r="T27" s="18" t="inlineStr">
        <is>
          <t>Abrir ↗</t>
        </is>
      </c>
      <c r="U27" s="21" t="inlineStr">
        <is>
          <t>otros</t>
        </is>
      </c>
      <c r="V27" s="20" t="inlineStr"/>
    </row>
    <row r="28" ht="46" customHeight="1">
      <c r="A28" s="9" t="inlineStr">
        <is>
          <t>Poets House</t>
        </is>
      </c>
      <c r="B28" s="10" t="inlineStr">
        <is>
          <t>Biblioteca histórica</t>
        </is>
      </c>
      <c r="C28" s="11" t="inlineStr">
        <is>
          <t>Museo</t>
        </is>
      </c>
      <c r="D28" s="11" t="inlineStr">
        <is>
          <t>Battery Park City</t>
        </is>
      </c>
      <c r="E28" s="11" t="inlineStr">
        <is>
          <t>Manhattan</t>
        </is>
      </c>
      <c r="F28" s="12" t="n">
        <v>1</v>
      </c>
      <c r="G28" s="12" t="n">
        <v>1</v>
      </c>
      <c r="H28" s="13">
        <f>IF(AND(F28=2,G28=2),"AMBOS",IF(AND(F28=2,G28&lt;2),"solo JP",IF(AND(F28&lt;2,G28=2),"solo Thais","-")))</f>
        <v/>
      </c>
      <c r="I28" s="14" t="n">
        <v>0</v>
      </c>
      <c r="J28" s="15" t="n">
        <v>0.6</v>
      </c>
      <c r="K28" s="13" t="inlineStr">
        <is>
          <t>no</t>
        </is>
      </c>
      <c r="L28" s="16" t="inlineStr">
        <is>
          <t>—</t>
        </is>
      </c>
      <c r="M28" s="11" t="inlineStr">
        <is>
          <t>—</t>
        </is>
      </c>
      <c r="N28" s="16" t="inlineStr">
        <is>
          <t>—</t>
        </is>
      </c>
      <c r="O28" s="16" t="inlineStr">
        <is>
          <t>—</t>
        </is>
      </c>
      <c r="P28" s="16" t="inlineStr">
        <is>
          <t>Chambers St (1,2,3)</t>
        </is>
      </c>
      <c r="Q28" s="16" t="inlineStr">
        <is>
          <t>una biblioteca de 70.000 volúmenes dedicada exclusivamente a poesía, con ventanales al Hudson, gratis y sin carnet: se entra, se agarra un libro, se sienta. La fundó Stanley Kunitz en 1985. Es el lugar donde matar una hora en el Financial District sin gastar ni hacer cola.</t>
        </is>
      </c>
      <c r="R28" s="16" t="inlineStr">
        <is>
          <t>10 River Terrace</t>
        </is>
      </c>
      <c r="S28" s="16" t="inlineStr">
        <is>
          <t>—</t>
        </is>
      </c>
      <c r="T28" s="18" t="inlineStr">
        <is>
          <t>Abrir ↗</t>
        </is>
      </c>
      <c r="U28" s="21" t="inlineStr">
        <is>
          <t>otros</t>
        </is>
      </c>
      <c r="V28" s="20" t="inlineStr"/>
    </row>
    <row r="29" ht="46" customHeight="1">
      <c r="A29" s="9" t="inlineStr">
        <is>
          <t>The Morgan Library &amp; Museum</t>
        </is>
      </c>
      <c r="B29" s="10" t="inlineStr">
        <is>
          <t>Biblioteca histórica</t>
        </is>
      </c>
      <c r="C29" s="11" t="inlineStr">
        <is>
          <t>Museo</t>
        </is>
      </c>
      <c r="D29" s="11" t="inlineStr">
        <is>
          <t>Murray Hill</t>
        </is>
      </c>
      <c r="E29" s="11" t="inlineStr">
        <is>
          <t>Manhattan</t>
        </is>
      </c>
      <c r="F29" s="12" t="n">
        <v>2</v>
      </c>
      <c r="G29" s="12" t="n">
        <v>2</v>
      </c>
      <c r="H29" s="13">
        <f>IF(AND(F29=2,G29=2),"AMBOS",IF(AND(F29=2,G29&lt;2),"solo JP",IF(AND(F29&lt;2,G29=2),"solo Thais","-")))</f>
        <v/>
      </c>
      <c r="I29" s="14" t="n">
        <v>25</v>
      </c>
      <c r="J29" s="15" t="n">
        <v>1.5</v>
      </c>
      <c r="K29" s="13" t="inlineStr">
        <is>
          <t>no</t>
        </is>
      </c>
      <c r="L29" s="16" t="inlineStr">
        <is>
          <t>lunes: cerrado · martes a jueves: 10:30–17:00 · viernes: 10:30–20:00 · sábado a domingo: 10:30–17:00</t>
        </is>
      </c>
      <c r="M29" s="11" t="inlineStr">
        <is>
          <t>lunes</t>
        </is>
      </c>
      <c r="N29" s="22" t="inlineStr">
        <is>
          <t>VIERNES 17-20h GRATIS - reserva obligatoria, se liberan 1 semana antes (para el vie 4/9: reservar el vie 28/8)</t>
        </is>
      </c>
      <c r="O29" s="16" t="inlineStr">
        <is>
          <t>obligatoria para el viernes gratis</t>
        </is>
      </c>
      <c r="P29" s="16" t="inlineStr">
        <is>
          <t>33 St (6), Grand Central</t>
        </is>
      </c>
      <c r="Q29" s="16" t="inlineStr">
        <is>
          <t>La biblioteca privada de J.P. Morgan: tres pisos de estanterias de nogal, una Biblia de Gutenberg y manuscritos originales. Sala pequena, impacto enorme.</t>
        </is>
      </c>
      <c r="R29" s="16" t="inlineStr">
        <is>
          <t>225 Madison Ave</t>
        </is>
      </c>
      <c r="S29" s="17" t="inlineStr">
        <is>
          <t>Día 7 · vie 4/9</t>
        </is>
      </c>
      <c r="T29" s="18" t="inlineStr">
        <is>
          <t>Abrir ↗</t>
        </is>
      </c>
      <c r="U29" s="19" t="inlineStr">
        <is>
          <t>lista google</t>
        </is>
      </c>
      <c r="V29" s="20" t="inlineStr">
        <is>
          <t>SÍ</t>
        </is>
      </c>
    </row>
    <row r="30" ht="46" customHeight="1">
      <c r="A30" s="9" t="inlineStr">
        <is>
          <t>Brooklyn Museum</t>
        </is>
      </c>
      <c r="B30" s="10" t="inlineStr">
        <is>
          <t>Museo de arte</t>
        </is>
      </c>
      <c r="C30" s="11" t="inlineStr">
        <is>
          <t>Museo</t>
        </is>
      </c>
      <c r="D30" s="11" t="inlineStr">
        <is>
          <t>Prospect Heights</t>
        </is>
      </c>
      <c r="E30" s="11" t="inlineStr">
        <is>
          <t>Brooklyn</t>
        </is>
      </c>
      <c r="F30" s="12" t="n">
        <v>0</v>
      </c>
      <c r="G30" s="12" t="n">
        <v>0</v>
      </c>
      <c r="H30" s="13">
        <f>IF(AND(F30=2,G30=2),"AMBOS",IF(AND(F30=2,G30&lt;2),"solo JP",IF(AND(F30&lt;2,G30=2),"solo Thais","-")))</f>
        <v/>
      </c>
      <c r="I30" s="14" t="n">
        <v>16</v>
      </c>
      <c r="J30" s="15" t="n">
        <v>3</v>
      </c>
      <c r="K30" s="13" t="inlineStr">
        <is>
          <t>no</t>
        </is>
      </c>
      <c r="L30" s="16" t="inlineStr">
        <is>
          <t>lunes a martes: cerrado · miércoles a domingo: 11:00–18:00</t>
        </is>
      </c>
      <c r="M30" s="11" t="inlineStr">
        <is>
          <t>lunes y martes</t>
        </is>
      </c>
      <c r="N30" s="16" t="inlineStr">
        <is>
          <t>—</t>
        </is>
      </c>
      <c r="O30" s="16" t="inlineStr">
        <is>
          <t>—</t>
        </is>
      </c>
      <c r="P30" s="16" t="inlineStr">
        <is>
          <t>Eastern Pkwy-Brooklyn Museum (2,3)</t>
        </is>
      </c>
      <c r="Q30" s="16" t="inlineStr">
        <is>
          <t>Coleccion egipcia de primer nivel y 'The Dinner Party' de Judy Chicago en exhibicion permanente. Es el museo grande al que no va nadie, y eso lo mejora.</t>
        </is>
      </c>
      <c r="R30" s="16" t="inlineStr">
        <is>
          <t>200 Eastern Pkwy, Brooklyn</t>
        </is>
      </c>
      <c r="S30" s="16" t="inlineStr">
        <is>
          <t>—</t>
        </is>
      </c>
      <c r="T30" s="18" t="inlineStr">
        <is>
          <t>Abrir ↗</t>
        </is>
      </c>
      <c r="U30" s="21" t="inlineStr">
        <is>
          <t>otros</t>
        </is>
      </c>
      <c r="V30" s="20" t="inlineStr"/>
    </row>
    <row r="31" ht="46" customHeight="1">
      <c r="A31" s="9" t="inlineStr">
        <is>
          <t>Dia Beacon (excursion)</t>
        </is>
      </c>
      <c r="B31" s="10" t="inlineStr">
        <is>
          <t>Museo de arte</t>
        </is>
      </c>
      <c r="C31" s="11" t="inlineStr">
        <is>
          <t>Museo</t>
        </is>
      </c>
      <c r="D31" s="11" t="inlineStr">
        <is>
          <t>Beacon, NY</t>
        </is>
      </c>
      <c r="E31" s="11" t="inlineStr">
        <is>
          <t>Fuera de NYC</t>
        </is>
      </c>
      <c r="F31" s="12" t="n">
        <v>0</v>
      </c>
      <c r="G31" s="12" t="n">
        <v>0</v>
      </c>
      <c r="H31" s="13">
        <f>IF(AND(F31=2,G31=2),"AMBOS",IF(AND(F31=2,G31&lt;2),"solo JP",IF(AND(F31&lt;2,G31=2),"solo Thais","-")))</f>
        <v/>
      </c>
      <c r="I31" s="14" t="n">
        <v>60</v>
      </c>
      <c r="J31" s="15" t="n">
        <v>8</v>
      </c>
      <c r="K31" s="13" t="inlineStr">
        <is>
          <t>no</t>
        </is>
      </c>
      <c r="L31" s="16" t="inlineStr">
        <is>
          <t>—</t>
        </is>
      </c>
      <c r="M31" s="11" t="inlineStr">
        <is>
          <t>martes, miercoles y jueves</t>
        </is>
      </c>
      <c r="N31" s="16" t="inlineStr">
        <is>
          <t>—</t>
        </is>
      </c>
      <c r="O31" s="16" t="inlineStr">
        <is>
          <t>—</t>
        </is>
      </c>
      <c r="P31" s="16" t="inlineStr">
        <is>
          <t>Metro-North desde Grand Central, ~80 min</t>
        </is>
      </c>
      <c r="Q31" s="16" t="inlineStr">
        <is>
          <t>Fabrica Nabisco de 1929 convertida en 28.000 m2 de minimalismo con luz cenital: Richard Serra, Walter De Maria, Agnes Martin. Es la mejor excursion de arte del estado, pero se come un dia entero.</t>
        </is>
      </c>
      <c r="R31" s="16" t="inlineStr">
        <is>
          <t>3 Beekman St, Beacon NY</t>
        </is>
      </c>
      <c r="S31" s="16" t="inlineStr">
        <is>
          <t>—</t>
        </is>
      </c>
      <c r="T31" s="18" t="inlineStr">
        <is>
          <t>Abrir ↗</t>
        </is>
      </c>
      <c r="U31" s="21" t="inlineStr">
        <is>
          <t>otros</t>
        </is>
      </c>
      <c r="V31" s="20" t="inlineStr"/>
    </row>
    <row r="32" ht="46" customHeight="1">
      <c r="A32" s="9" t="inlineStr">
        <is>
          <t>Guggenheim</t>
        </is>
      </c>
      <c r="B32" s="10" t="inlineStr">
        <is>
          <t>Museo de arte</t>
        </is>
      </c>
      <c r="C32" s="11" t="inlineStr">
        <is>
          <t>Museo</t>
        </is>
      </c>
      <c r="D32" s="11" t="inlineStr">
        <is>
          <t>Upper East Side</t>
        </is>
      </c>
      <c r="E32" s="11" t="inlineStr">
        <is>
          <t>Manhattan</t>
        </is>
      </c>
      <c r="F32" s="12" t="n">
        <v>2</v>
      </c>
      <c r="G32" s="12" t="n">
        <v>2</v>
      </c>
      <c r="H32" s="13">
        <f>IF(AND(F32=2,G32=2),"AMBOS",IF(AND(F32=2,G32&lt;2),"solo JP",IF(AND(F32&lt;2,G32=2),"solo Thais","-")))</f>
        <v/>
      </c>
      <c r="I32" s="14" t="n">
        <v>16</v>
      </c>
      <c r="J32" s="15" t="n">
        <v>2</v>
      </c>
      <c r="K32" s="13" t="inlineStr">
        <is>
          <t>SÍ</t>
        </is>
      </c>
      <c r="L32" s="16" t="inlineStr">
        <is>
          <t>lunes a domingo: 10:30–17:30</t>
        </is>
      </c>
      <c r="M32" s="11" t="inlineStr">
        <is>
          <t>—</t>
        </is>
      </c>
      <c r="N32" s="22" t="inlineStr">
        <is>
          <t>Martes y domingos 16:00-17:30 pay-what-you-wish (sugerido $10, minimo $1) - NO CONFIRMADO en fuente oficial, solo en la oficina de turismo de NYC. LLAMAR ANTES.</t>
        </is>
      </c>
      <c r="O32" s="16" t="inlineStr">
        <is>
          <t>PWYW con cupo muy limitado. VERIFICAR POR TELEFONO antes de ir: el sitio del museo no publica el precio de forma legible y la rotonda esta en montaje.</t>
        </is>
      </c>
      <c r="P32" s="16" t="inlineStr">
        <is>
          <t>86 St (4,5,6)</t>
        </is>
      </c>
      <c r="Q32" s="16" t="inlineStr">
        <is>
          <t>El edificio de Frank Lloyd Wright vale la entrada por si solo: se sube en ascensor y se baja caminando la rampa espiralada. OJO: la rotonda esta en montaje durante el viaje, la muestra nueva abre el 18 de septiembre.</t>
        </is>
      </c>
      <c r="R32" s="16" t="inlineStr">
        <is>
          <t>1071 5th Ave</t>
        </is>
      </c>
      <c r="S32" s="16" t="inlineStr">
        <is>
          <t>—</t>
        </is>
      </c>
      <c r="T32" s="18" t="inlineStr">
        <is>
          <t>Abrir ↗</t>
        </is>
      </c>
      <c r="U32" s="21" t="inlineStr">
        <is>
          <t>otros</t>
        </is>
      </c>
      <c r="V32" s="20" t="inlineStr">
        <is>
          <t>SÍ</t>
        </is>
      </c>
    </row>
    <row r="33" ht="46" customHeight="1">
      <c r="A33" s="9" t="inlineStr">
        <is>
          <t>Judd Foundation (101 Spring St)</t>
        </is>
      </c>
      <c r="B33" s="10" t="inlineStr">
        <is>
          <t>Museo de arte</t>
        </is>
      </c>
      <c r="C33" s="11" t="inlineStr">
        <is>
          <t>Museo</t>
        </is>
      </c>
      <c r="D33" s="11" t="inlineStr">
        <is>
          <t>SoHo</t>
        </is>
      </c>
      <c r="E33" s="11" t="inlineStr">
        <is>
          <t>Manhattan</t>
        </is>
      </c>
      <c r="F33" s="12" t="n">
        <v>1</v>
      </c>
      <c r="G33" s="12" t="n">
        <v>1</v>
      </c>
      <c r="H33" s="13">
        <f>IF(AND(F33=2,G33=2),"AMBOS",IF(AND(F33=2,G33&lt;2),"solo JP",IF(AND(F33&lt;2,G33=2),"solo Thais","-")))</f>
        <v/>
      </c>
      <c r="I33" s="14" t="n">
        <v>33</v>
      </c>
      <c r="J33" s="15" t="n">
        <v>1.5</v>
      </c>
      <c r="K33" s="13" t="inlineStr">
        <is>
          <t>no</t>
        </is>
      </c>
      <c r="L33" s="16" t="inlineStr">
        <is>
          <t>—</t>
        </is>
      </c>
      <c r="M33" s="11" t="inlineStr">
        <is>
          <t>—</t>
        </is>
      </c>
      <c r="N33" s="16" t="inlineStr">
        <is>
          <t>—</t>
        </is>
      </c>
      <c r="O33" s="16" t="inlineStr">
        <is>
          <t>—</t>
        </is>
      </c>
      <c r="P33" s="16" t="inlineStr">
        <is>
          <t>Spring St (6)</t>
        </is>
      </c>
      <c r="Q33" s="16" t="inlineStr">
        <is>
          <t>Donald Judd compró este edificio de hierro fundido de 1870 en 1968 por US$ 68.000 y vivió ahí hasta su muerte en 1994. Cada piso es un solo ambiente y Judd dejó todo fijo: qué mueble va dónde, qué obra cuelga de qué pared, qué se ve por cada ventana.</t>
        </is>
      </c>
      <c r="R33" s="16" t="inlineStr">
        <is>
          <t>101 Spring St</t>
        </is>
      </c>
      <c r="S33" s="16" t="inlineStr">
        <is>
          <t>—</t>
        </is>
      </c>
      <c r="T33" s="18" t="inlineStr">
        <is>
          <t>Abrir ↗</t>
        </is>
      </c>
      <c r="U33" s="21" t="inlineStr">
        <is>
          <t>otros</t>
        </is>
      </c>
      <c r="V33" s="20" t="inlineStr"/>
    </row>
    <row r="34" ht="46" customHeight="1">
      <c r="A34" s="9" t="inlineStr">
        <is>
          <t>MoMA</t>
        </is>
      </c>
      <c r="B34" s="10" t="inlineStr">
        <is>
          <t>Museo de arte</t>
        </is>
      </c>
      <c r="C34" s="11" t="inlineStr">
        <is>
          <t>Museo</t>
        </is>
      </c>
      <c r="D34" s="11" t="inlineStr">
        <is>
          <t>Midtown</t>
        </is>
      </c>
      <c r="E34" s="11" t="inlineStr">
        <is>
          <t>Manhattan</t>
        </is>
      </c>
      <c r="F34" s="12" t="n">
        <v>2</v>
      </c>
      <c r="G34" s="12" t="n">
        <v>0</v>
      </c>
      <c r="H34" s="13">
        <f>IF(AND(F34=2,G34=2),"AMBOS",IF(AND(F34=2,G34&lt;2),"solo JP",IF(AND(F34&lt;2,G34=2),"solo Thais","-")))</f>
        <v/>
      </c>
      <c r="I34" s="14" t="n">
        <v>30</v>
      </c>
      <c r="J34" s="15" t="n">
        <v>3</v>
      </c>
      <c r="K34" s="13" t="inlineStr">
        <is>
          <t>SÍ</t>
        </is>
      </c>
      <c r="L34" s="16" t="inlineStr">
        <is>
          <t>lunes a jueves: 10:30–17:30 · viernes: 10:30–20:30 · sábado a domingo: 10:30–17:30</t>
        </is>
      </c>
      <c r="M34" s="11" t="inlineStr">
        <is>
          <t>—</t>
        </is>
      </c>
      <c r="N34" s="22" t="inlineStr">
        <is>
          <t>Viernes UNIQLO: solo residentes del Estado de NY. No aplica para turistas.</t>
        </is>
      </c>
      <c r="O34" s="16" t="inlineStr">
        <is>
          <t>—</t>
        </is>
      </c>
      <c r="P34" s="16" t="inlineStr">
        <is>
          <t>5 Av/53 St (E,M)</t>
        </is>
      </c>
      <c r="Q34" s="16" t="inlineStr">
        <is>
          <t>Van Gogh, Picasso, Warhol, Rothko en un solo recorrido. Denso y muy concurrido: ir a la apertura o en las ultimas dos horas.</t>
        </is>
      </c>
      <c r="R34" s="16" t="inlineStr">
        <is>
          <t>11 W 53rd St</t>
        </is>
      </c>
      <c r="S34" s="17" t="inlineStr">
        <is>
          <t>Día 3 · lun 31/8, Día 5 · mié 2/9</t>
        </is>
      </c>
      <c r="T34" s="18" t="inlineStr">
        <is>
          <t>Abrir ↗</t>
        </is>
      </c>
      <c r="U34" s="19" t="inlineStr">
        <is>
          <t>lista google</t>
        </is>
      </c>
      <c r="V34" s="20" t="inlineStr">
        <is>
          <t>SÍ</t>
        </is>
      </c>
    </row>
    <row r="35" ht="46" customHeight="1">
      <c r="A35" s="9" t="inlineStr">
        <is>
          <t>MoMA PS1</t>
        </is>
      </c>
      <c r="B35" s="10" t="inlineStr">
        <is>
          <t>Museo de arte</t>
        </is>
      </c>
      <c r="C35" s="11" t="inlineStr">
        <is>
          <t>Museo</t>
        </is>
      </c>
      <c r="D35" s="11" t="inlineStr">
        <is>
          <t>Long Island City</t>
        </is>
      </c>
      <c r="E35" s="11" t="inlineStr">
        <is>
          <t>Queens</t>
        </is>
      </c>
      <c r="F35" s="12" t="n">
        <v>2</v>
      </c>
      <c r="G35" s="12" t="n">
        <v>2</v>
      </c>
      <c r="H35" s="13">
        <f>IF(AND(F35=2,G35=2),"AMBOS",IF(AND(F35=2,G35&lt;2),"solo JP",IF(AND(F35&lt;2,G35=2),"solo Thais","-")))</f>
        <v/>
      </c>
      <c r="I35" s="14" t="n">
        <v>0</v>
      </c>
      <c r="J35" s="15" t="n">
        <v>2.5</v>
      </c>
      <c r="K35" s="13" t="inlineStr">
        <is>
          <t>no</t>
        </is>
      </c>
      <c r="L35" s="16" t="inlineStr">
        <is>
          <t>lunes: 12:00–18:00 · martes a miércoles: cerrado · jueves a viernes: 12:00–18:00 · sábado: 10:00–18:00 · domingo: 12:00–18:00</t>
        </is>
      </c>
      <c r="M35" s="11" t="inlineStr">
        <is>
          <t>martes y miercoles</t>
        </is>
      </c>
      <c r="N35" s="16" t="inlineStr">
        <is>
          <t>—</t>
        </is>
      </c>
      <c r="O35" s="16" t="inlineStr">
        <is>
          <t>—</t>
        </is>
      </c>
      <c r="P35" s="16" t="inlineStr">
        <is>
          <t>21 St-Van Alst (G), Court Sq (7,E,M)</t>
        </is>
      </c>
      <c r="Q35" s="16" t="inlineStr">
        <is>
          <t>Escuela publica reconvertida en arte contemporaneo con riesgo real: lo que el MoMA no se anima a mostrar. Y en 2026 no cuesta nada.</t>
        </is>
      </c>
      <c r="R35" s="16" t="inlineStr">
        <is>
          <t>22-25 Jackson Ave, LIC</t>
        </is>
      </c>
      <c r="S35" s="17" t="inlineStr">
        <is>
          <t>Día 9 · dom 6/9</t>
        </is>
      </c>
      <c r="T35" s="18" t="inlineStr">
        <is>
          <t>Abrir ↗</t>
        </is>
      </c>
      <c r="U35" s="21" t="inlineStr">
        <is>
          <t>otros</t>
        </is>
      </c>
      <c r="V35" s="20" t="inlineStr">
        <is>
          <t>SÍ</t>
        </is>
      </c>
    </row>
    <row r="36" ht="46" customHeight="1">
      <c r="A36" s="9" t="inlineStr">
        <is>
          <t>Nicholas Roerich Museum</t>
        </is>
      </c>
      <c r="B36" s="10" t="inlineStr">
        <is>
          <t>Museo de arte</t>
        </is>
      </c>
      <c r="C36" s="11" t="inlineStr">
        <is>
          <t>Museo</t>
        </is>
      </c>
      <c r="D36" s="11" t="inlineStr">
        <is>
          <t>Upper West Side</t>
        </is>
      </c>
      <c r="E36" s="11" t="inlineStr">
        <is>
          <t>Manhattan</t>
        </is>
      </c>
      <c r="F36" s="12" t="n">
        <v>1</v>
      </c>
      <c r="G36" s="12" t="n">
        <v>1</v>
      </c>
      <c r="H36" s="13">
        <f>IF(AND(F36=2,G36=2),"AMBOS",IF(AND(F36=2,G36&lt;2),"solo JP",IF(AND(F36&lt;2,G36=2),"solo Thais","-")))</f>
        <v/>
      </c>
      <c r="I36" s="14" t="n">
        <v>0</v>
      </c>
      <c r="J36" s="15" t="n">
        <v>0.8</v>
      </c>
      <c r="K36" s="13" t="inlineStr">
        <is>
          <t>no</t>
        </is>
      </c>
      <c r="L36" s="16" t="inlineStr">
        <is>
          <t>—</t>
        </is>
      </c>
      <c r="M36" s="11" t="inlineStr">
        <is>
          <t>—</t>
        </is>
      </c>
      <c r="N36" s="16" t="inlineStr">
        <is>
          <t>—</t>
        </is>
      </c>
      <c r="O36" s="16" t="inlineStr">
        <is>
          <t>—</t>
        </is>
      </c>
      <c r="P36" s="16" t="inlineStr">
        <is>
          <t>103 St (1)</t>
        </is>
      </c>
      <c r="Q36" s="16" t="inlineStr">
        <is>
          <t>Casa de piedra rojiza con 200 cuadros del Himalaya de un pintor ruso mistico. Gratis, vacio y rarisimo.</t>
        </is>
      </c>
      <c r="R36" s="16" t="inlineStr">
        <is>
          <t>319 W 107th St</t>
        </is>
      </c>
      <c r="S36" s="16" t="inlineStr">
        <is>
          <t>—</t>
        </is>
      </c>
      <c r="T36" s="18" t="inlineStr">
        <is>
          <t>Abrir ↗</t>
        </is>
      </c>
      <c r="U36" s="21" t="inlineStr">
        <is>
          <t>otros</t>
        </is>
      </c>
      <c r="V36" s="20" t="inlineStr"/>
    </row>
    <row r="37" ht="46" customHeight="1">
      <c r="A37" s="9" t="inlineStr">
        <is>
          <t>Studio Museum in Harlem</t>
        </is>
      </c>
      <c r="B37" s="10" t="inlineStr">
        <is>
          <t>Museo de arte</t>
        </is>
      </c>
      <c r="C37" s="11" t="inlineStr">
        <is>
          <t>Museo</t>
        </is>
      </c>
      <c r="D37" s="11" t="inlineStr">
        <is>
          <t>Harlem</t>
        </is>
      </c>
      <c r="E37" s="11" t="inlineStr">
        <is>
          <t>Manhattan</t>
        </is>
      </c>
      <c r="F37" s="12" t="n">
        <v>2</v>
      </c>
      <c r="G37" s="12" t="n">
        <v>2</v>
      </c>
      <c r="H37" s="13">
        <f>IF(AND(F37=2,G37=2),"AMBOS",IF(AND(F37=2,G37&lt;2),"solo JP",IF(AND(F37&lt;2,G37=2),"solo Thais","-")))</f>
        <v/>
      </c>
      <c r="I37" s="14" t="n">
        <v>16</v>
      </c>
      <c r="J37" s="15" t="n">
        <v>2</v>
      </c>
      <c r="K37" s="13" t="inlineStr">
        <is>
          <t>no</t>
        </is>
      </c>
      <c r="L37" s="16" t="inlineStr">
        <is>
          <t>lunes a martes: cerrado · miércoles a jueves: 11:00–18:00 · viernes: 11:00–21:00 · sábado a domingo: 11:00–18:00</t>
        </is>
      </c>
      <c r="M37" s="11" t="inlineStr">
        <is>
          <t>lunes y martes</t>
        </is>
      </c>
      <c r="N37" s="22" t="inlineStr">
        <is>
          <t>DOMINGOS GRATIS</t>
        </is>
      </c>
      <c r="O37" s="16" t="inlineStr">
        <is>
          <t>—</t>
        </is>
      </c>
      <c r="P37" s="16" t="inlineStr">
        <is>
          <t>125 St (2,3,A,B,C,D)</t>
        </is>
      </c>
      <c r="Q37" s="16" t="inlineStr">
        <is>
          <t>Reabrio en noviembre 2025 en un edificio nuevo de David Adjaye. Es la novedad arquitectonica y curatorial mas relevante de la ciudad ahora mismo, y casi ningun turista lo sabe.</t>
        </is>
      </c>
      <c r="R37" s="16" t="inlineStr">
        <is>
          <t>144 W 125th St</t>
        </is>
      </c>
      <c r="S37" s="17" t="inlineStr">
        <is>
          <t>Día 1 · sáb 29/8</t>
        </is>
      </c>
      <c r="T37" s="18" t="inlineStr">
        <is>
          <t>Abrir ↗</t>
        </is>
      </c>
      <c r="U37" s="21" t="inlineStr">
        <is>
          <t>otros</t>
        </is>
      </c>
      <c r="V37" s="20" t="inlineStr"/>
    </row>
    <row r="38" ht="46" customHeight="1">
      <c r="A38" s="9" t="inlineStr">
        <is>
          <t>The Frick Collection</t>
        </is>
      </c>
      <c r="B38" s="10" t="inlineStr">
        <is>
          <t>Museo de arte</t>
        </is>
      </c>
      <c r="C38" s="11" t="inlineStr">
        <is>
          <t>Museo</t>
        </is>
      </c>
      <c r="D38" s="11" t="inlineStr">
        <is>
          <t>Upper East Side</t>
        </is>
      </c>
      <c r="E38" s="11" t="inlineStr">
        <is>
          <t>Manhattan</t>
        </is>
      </c>
      <c r="F38" s="12" t="n">
        <v>1</v>
      </c>
      <c r="G38" s="12" t="n">
        <v>0</v>
      </c>
      <c r="H38" s="13">
        <f>IF(AND(F38=2,G38=2),"AMBOS",IF(AND(F38=2,G38&lt;2),"solo JP",IF(AND(F38&lt;2,G38=2),"solo Thais","-")))</f>
        <v/>
      </c>
      <c r="I38" s="14" t="n">
        <v>30</v>
      </c>
      <c r="J38" s="15" t="n">
        <v>2</v>
      </c>
      <c r="K38" s="13" t="inlineStr">
        <is>
          <t>no</t>
        </is>
      </c>
      <c r="L38" s="16" t="inlineStr">
        <is>
          <t>lunes: 10:30–17:30 · martes: cerrado · miércoles a domingo: 10:30–17:30</t>
        </is>
      </c>
      <c r="M38" s="11" t="inlineStr">
        <is>
          <t>martes</t>
        </is>
      </c>
      <c r="N38" s="22" t="inlineStr">
        <is>
          <t>MIERCOLES 13:30-17:30 pay-what-you-wish. Online el minimo es $5 y garantiza la entrada; para pagar menos hay que ir en persona, sin garantia de lugar.</t>
        </is>
      </c>
      <c r="O38" s="16" t="inlineStr">
        <is>
          <t>—</t>
        </is>
      </c>
      <c r="P38" s="16" t="inlineStr">
        <is>
          <t>68 St-Hunter College (6)</t>
        </is>
      </c>
      <c r="Q38" s="16" t="inlineStr">
        <is>
          <t>La coleccion privada de un magnate del acero, en su propia mansion: Vermeer, Rembrandt, Bellini colgados como en una casa. Reabrio en 2025 tras cinco anos de obra. Es el museo mas placentero de NYC.</t>
        </is>
      </c>
      <c r="R38" s="16" t="inlineStr">
        <is>
          <t>1 E 70th St</t>
        </is>
      </c>
      <c r="S38" s="16" t="inlineStr">
        <is>
          <t>—</t>
        </is>
      </c>
      <c r="T38" s="18" t="inlineStr">
        <is>
          <t>Abrir ↗</t>
        </is>
      </c>
      <c r="U38" s="19" t="inlineStr">
        <is>
          <t>lista google</t>
        </is>
      </c>
      <c r="V38" s="20" t="inlineStr"/>
    </row>
    <row r="39" ht="46" customHeight="1">
      <c r="A39" s="9" t="inlineStr">
        <is>
          <t>The Met Cloisters</t>
        </is>
      </c>
      <c r="B39" s="10" t="inlineStr">
        <is>
          <t>Museo de arte</t>
        </is>
      </c>
      <c r="C39" s="11" t="inlineStr">
        <is>
          <t>Museo</t>
        </is>
      </c>
      <c r="D39" s="11" t="inlineStr">
        <is>
          <t>Fort Tryon Park</t>
        </is>
      </c>
      <c r="E39" s="11" t="inlineStr">
        <is>
          <t>Manhattan</t>
        </is>
      </c>
      <c r="F39" s="12" t="n">
        <v>2</v>
      </c>
      <c r="G39" s="12" t="n">
        <v>0</v>
      </c>
      <c r="H39" s="13">
        <f>IF(AND(F39=2,G39=2),"AMBOS",IF(AND(F39=2,G39&lt;2),"solo JP",IF(AND(F39&lt;2,G39=2),"solo Thais","-")))</f>
        <v/>
      </c>
      <c r="I39" s="14" t="n">
        <v>0</v>
      </c>
      <c r="J39" s="15" t="n">
        <v>3</v>
      </c>
      <c r="K39" s="13" t="inlineStr">
        <is>
          <t>no</t>
        </is>
      </c>
      <c r="L39" s="16" t="inlineStr">
        <is>
          <t>lunes a martes: 10:00–17:00 · miércoles: cerrado · jueves a domingo: 10:00–17:00</t>
        </is>
      </c>
      <c r="M39" s="11" t="inlineStr">
        <is>
          <t>miercoles</t>
        </is>
      </c>
      <c r="N39" s="16" t="inlineStr">
        <is>
          <t>—</t>
        </is>
      </c>
      <c r="O39" s="16" t="inlineStr">
        <is>
          <t>—</t>
        </is>
      </c>
      <c r="P39" s="16" t="inlineStr">
        <is>
          <t>190 St (A)</t>
        </is>
      </c>
      <c r="Q39" s="16" t="inlineStr">
        <is>
          <t>Arte medieval en un edificio armado con claustros franceses reales, sobre un acantilado del Hudson. Casi no se cruza con el flujo turistico del MET principal.</t>
        </is>
      </c>
      <c r="R39" s="16" t="inlineStr">
        <is>
          <t>99 Margaret Corbin Dr</t>
        </is>
      </c>
      <c r="S39" s="17" t="inlineStr">
        <is>
          <t>Día 4 · mar 1/9</t>
        </is>
      </c>
      <c r="T39" s="18" t="inlineStr">
        <is>
          <t>Abrir ↗</t>
        </is>
      </c>
      <c r="U39" s="19" t="inlineStr">
        <is>
          <t>lista google</t>
        </is>
      </c>
      <c r="V39" s="20" t="inlineStr"/>
    </row>
    <row r="40" ht="46" customHeight="1">
      <c r="A40" s="9" t="inlineStr">
        <is>
          <t>The Metropolitan Museum of Art</t>
        </is>
      </c>
      <c r="B40" s="10" t="inlineStr">
        <is>
          <t>Museo de arte</t>
        </is>
      </c>
      <c r="C40" s="11" t="inlineStr">
        <is>
          <t>Museo</t>
        </is>
      </c>
      <c r="D40" s="11" t="inlineStr">
        <is>
          <t>Upper East Side</t>
        </is>
      </c>
      <c r="E40" s="11" t="inlineStr">
        <is>
          <t>Manhattan</t>
        </is>
      </c>
      <c r="F40" s="12" t="n">
        <v>2</v>
      </c>
      <c r="G40" s="12" t="n">
        <v>0</v>
      </c>
      <c r="H40" s="13">
        <f>IF(AND(F40=2,G40=2),"AMBOS",IF(AND(F40=2,G40&lt;2),"solo JP",IF(AND(F40&lt;2,G40=2),"solo Thais","-")))</f>
        <v/>
      </c>
      <c r="I40" s="14" t="n">
        <v>30</v>
      </c>
      <c r="J40" s="15" t="n">
        <v>4</v>
      </c>
      <c r="K40" s="13" t="inlineStr">
        <is>
          <t>SÍ</t>
        </is>
      </c>
      <c r="L40" s="16" t="inlineStr">
        <is>
          <t>lunes a martes: 10:00–17:00 · miércoles: cerrado · jueves: 10:00–17:00 · viernes a sábado: 10:00–21:00 · domingo: 10:00–17:00</t>
        </is>
      </c>
      <c r="M40" s="11" t="inlineStr">
        <is>
          <t>miercoles</t>
        </is>
      </c>
      <c r="N40" s="16" t="inlineStr">
        <is>
          <t>—</t>
        </is>
      </c>
      <c r="O40" s="16" t="inlineStr">
        <is>
          <t>—</t>
        </is>
      </c>
      <c r="P40" s="16" t="inlineStr">
        <is>
          <t>86 St (4,5,6)</t>
        </is>
      </c>
      <c r="Q40" s="16" t="inlineStr">
        <is>
          <t>Uno de los tres museos mas importantes del mundo. Imposible de agotar: elegir dos alas y hacerlas bien (egipcio + pintura europea, o armas + arte islamico).</t>
        </is>
      </c>
      <c r="R40" s="16" t="inlineStr">
        <is>
          <t>1000 5th Ave</t>
        </is>
      </c>
      <c r="S40" s="17" t="inlineStr">
        <is>
          <t>Día 4 · mar 1/9</t>
        </is>
      </c>
      <c r="T40" s="18" t="inlineStr">
        <is>
          <t>Abrir ↗</t>
        </is>
      </c>
      <c r="U40" s="19" t="inlineStr">
        <is>
          <t>lista google</t>
        </is>
      </c>
      <c r="V40" s="20" t="inlineStr">
        <is>
          <t>SÍ</t>
        </is>
      </c>
    </row>
    <row r="41" ht="46" customHeight="1">
      <c r="A41" s="9" t="inlineStr">
        <is>
          <t>The New York Earth Room</t>
        </is>
      </c>
      <c r="B41" s="10" t="inlineStr">
        <is>
          <t>Museo de arte</t>
        </is>
      </c>
      <c r="C41" s="11" t="inlineStr">
        <is>
          <t>Museo</t>
        </is>
      </c>
      <c r="D41" s="11" t="inlineStr">
        <is>
          <t>SoHo</t>
        </is>
      </c>
      <c r="E41" s="11" t="inlineStr">
        <is>
          <t>Manhattan</t>
        </is>
      </c>
      <c r="F41" s="12" t="n">
        <v>1</v>
      </c>
      <c r="G41" s="12" t="n">
        <v>1</v>
      </c>
      <c r="H41" s="13">
        <f>IF(AND(F41=2,G41=2),"AMBOS",IF(AND(F41=2,G41&lt;2),"solo JP",IF(AND(F41&lt;2,G41=2),"solo Thais","-")))</f>
        <v/>
      </c>
      <c r="I41" s="14" t="n">
        <v>0</v>
      </c>
      <c r="J41" s="15" t="n">
        <v>0.4</v>
      </c>
      <c r="K41" s="13" t="inlineStr">
        <is>
          <t>no</t>
        </is>
      </c>
      <c r="L41" s="16" t="inlineStr">
        <is>
          <t>—</t>
        </is>
      </c>
      <c r="M41" s="11" t="inlineStr">
        <is>
          <t>—</t>
        </is>
      </c>
      <c r="N41" s="16" t="inlineStr">
        <is>
          <t>—</t>
        </is>
      </c>
      <c r="O41" s="16" t="inlineStr">
        <is>
          <t>—</t>
        </is>
      </c>
      <c r="P41" s="16" t="inlineStr">
        <is>
          <t>Prince St (N,R,W)</t>
        </is>
      </c>
      <c r="Q41" s="16" t="inlineStr">
        <is>
          <t>127 metros cúbicos de tierra ocupando un loft del SoHo desde 1977. Gratis, absurdo y silencioso: de lo más no-turístico que hay.</t>
        </is>
      </c>
      <c r="R41" s="16" t="inlineStr">
        <is>
          <t>141 Wooster St, 2º piso</t>
        </is>
      </c>
      <c r="S41" s="16" t="inlineStr">
        <is>
          <t>—</t>
        </is>
      </c>
      <c r="T41" s="18" t="inlineStr">
        <is>
          <t>Abrir ↗</t>
        </is>
      </c>
      <c r="U41" s="19" t="inlineStr">
        <is>
          <t>lista google</t>
        </is>
      </c>
      <c r="V41" s="20" t="inlineStr"/>
    </row>
    <row r="42" ht="46" customHeight="1">
      <c r="A42" s="9" t="inlineStr">
        <is>
          <t>The Noguchi Museum</t>
        </is>
      </c>
      <c r="B42" s="10" t="inlineStr">
        <is>
          <t>Museo de arte</t>
        </is>
      </c>
      <c r="C42" s="11" t="inlineStr">
        <is>
          <t>Museo</t>
        </is>
      </c>
      <c r="D42" s="11" t="inlineStr">
        <is>
          <t>Long Island City</t>
        </is>
      </c>
      <c r="E42" s="11" t="inlineStr">
        <is>
          <t>Queens</t>
        </is>
      </c>
      <c r="F42" s="12" t="n">
        <v>0</v>
      </c>
      <c r="G42" s="12" t="n">
        <v>0</v>
      </c>
      <c r="H42" s="13">
        <f>IF(AND(F42=2,G42=2),"AMBOS",IF(AND(F42=2,G42&lt;2),"solo JP",IF(AND(F42&lt;2,G42=2),"solo Thais","-")))</f>
        <v/>
      </c>
      <c r="I42" s="14" t="n">
        <v>16</v>
      </c>
      <c r="J42" s="15" t="n">
        <v>2</v>
      </c>
      <c r="K42" s="13" t="inlineStr">
        <is>
          <t>no</t>
        </is>
      </c>
      <c r="L42" s="16" t="inlineStr">
        <is>
          <t>lunes a martes: cerrado · miércoles a domingo: 11:00–18:00</t>
        </is>
      </c>
      <c r="M42" s="11" t="inlineStr">
        <is>
          <t>lunes y martes</t>
        </is>
      </c>
      <c r="N42" s="22" t="inlineStr">
        <is>
          <t>1er viernes del mes GRATIS con horario extendido hasta las 20h -&gt; viernes 4 de septiembre</t>
        </is>
      </c>
      <c r="O42" s="16" t="inlineStr">
        <is>
          <t>reserva con horario</t>
        </is>
      </c>
      <c r="P42" s="16" t="inlineStr">
        <is>
          <t>Broadway (N,W), Queensbridge (F)</t>
        </is>
      </c>
      <c r="Q42" s="16" t="inlineStr">
        <is>
          <t>Noguchi diseno el museo el mismo alrededor de su taller, con un jardin de esculturas. Silencio absoluto. Es la visita mas serena de la ciudad.</t>
        </is>
      </c>
      <c r="R42" s="16" t="inlineStr">
        <is>
          <t>9-01 33rd Rd, LIC</t>
        </is>
      </c>
      <c r="S42" s="16" t="inlineStr">
        <is>
          <t>—</t>
        </is>
      </c>
      <c r="T42" s="18" t="inlineStr">
        <is>
          <t>Abrir ↗</t>
        </is>
      </c>
      <c r="U42" s="21" t="inlineStr">
        <is>
          <t>otros</t>
        </is>
      </c>
      <c r="V42" s="20" t="inlineStr"/>
    </row>
    <row r="43" ht="46" customHeight="1">
      <c r="A43" s="9" t="inlineStr">
        <is>
          <t>Whitney Museum</t>
        </is>
      </c>
      <c r="B43" s="10" t="inlineStr">
        <is>
          <t>Museo de arte</t>
        </is>
      </c>
      <c r="C43" s="11" t="inlineStr">
        <is>
          <t>Museo</t>
        </is>
      </c>
      <c r="D43" s="11" t="inlineStr">
        <is>
          <t>Meatpacking</t>
        </is>
      </c>
      <c r="E43" s="11" t="inlineStr">
        <is>
          <t>Manhattan</t>
        </is>
      </c>
      <c r="F43" s="12" t="n">
        <v>1</v>
      </c>
      <c r="G43" s="12" t="n">
        <v>1</v>
      </c>
      <c r="H43" s="13">
        <f>IF(AND(F43=2,G43=2),"AMBOS",IF(AND(F43=2,G43&lt;2),"solo JP",IF(AND(F43&lt;2,G43=2),"solo Thais","-")))</f>
        <v/>
      </c>
      <c r="I43" s="14" t="n">
        <v>30</v>
      </c>
      <c r="J43" s="15" t="n">
        <v>2.5</v>
      </c>
      <c r="K43" s="13" t="inlineStr">
        <is>
          <t>no</t>
        </is>
      </c>
      <c r="L43" s="16" t="inlineStr">
        <is>
          <t>lunes: 10:30–18:00 · martes: cerrado · miércoles a jueves: 10:30–18:00 · viernes: 10:30–22:00 · sábado a domingo: 10:30–18:00</t>
        </is>
      </c>
      <c r="M43" s="11" t="inlineStr">
        <is>
          <t>martes</t>
        </is>
      </c>
      <c r="N43" s="22" t="inlineStr">
        <is>
          <t>VIERNES 17-22h GRATIS PARA TODOS (sin restriccion de residencia) - REQUIERE TICKET RESERVADO, el cupo es limitado</t>
        </is>
      </c>
      <c r="O43" s="16" t="inlineStr">
        <is>
          <t>OBLIGATORIA para el viernes gratis: los tickets se liberan hasta 5 semanas antes y el cupo se agota. OJO: desde el 19 de agosto volvio al horario regular y CIERRA LOS MARTES.</t>
        </is>
      </c>
      <c r="P43" s="16" t="inlineStr">
        <is>
          <t>14 St (A,C,E), 8 Av (L)</t>
        </is>
      </c>
      <c r="Q43" s="16" t="inlineStr">
        <is>
          <t>Arte estadounidense del siglo XX y XXI en el edificio de Renzo Piano, con terrazas escalonadas sobre el High Line. El viernes a la noche es gratis y la vista al atardecer es parte de la visita.</t>
        </is>
      </c>
      <c r="R43" s="16" t="inlineStr">
        <is>
          <t>99 Gansevoort St</t>
        </is>
      </c>
      <c r="S43" s="16" t="inlineStr">
        <is>
          <t>—</t>
        </is>
      </c>
      <c r="T43" s="18" t="inlineStr">
        <is>
          <t>Abrir ↗</t>
        </is>
      </c>
      <c r="U43" s="19" t="inlineStr">
        <is>
          <t>lista google</t>
        </is>
      </c>
      <c r="V43" s="20" t="inlineStr"/>
    </row>
    <row r="44" ht="46" customHeight="1">
      <c r="A44" s="9" t="inlineStr">
        <is>
          <t>American Museum of Natural History</t>
        </is>
      </c>
      <c r="B44" s="10" t="inlineStr">
        <is>
          <t>Museo de ciencia</t>
        </is>
      </c>
      <c r="C44" s="11" t="inlineStr">
        <is>
          <t>Museo</t>
        </is>
      </c>
      <c r="D44" s="11" t="inlineStr">
        <is>
          <t>Upper West Side</t>
        </is>
      </c>
      <c r="E44" s="11" t="inlineStr">
        <is>
          <t>Manhattan</t>
        </is>
      </c>
      <c r="F44" s="12" t="n">
        <v>2</v>
      </c>
      <c r="G44" s="12" t="n">
        <v>0</v>
      </c>
      <c r="H44" s="13">
        <f>IF(AND(F44=2,G44=2),"AMBOS",IF(AND(F44=2,G44&lt;2),"solo JP",IF(AND(F44&lt;2,G44=2),"solo Thais","-")))</f>
        <v/>
      </c>
      <c r="I44" s="14" t="n">
        <v>37</v>
      </c>
      <c r="J44" s="15" t="n">
        <v>3</v>
      </c>
      <c r="K44" s="13" t="inlineStr">
        <is>
          <t>SÍ</t>
        </is>
      </c>
      <c r="L44" s="16" t="inlineStr">
        <is>
          <t>lunes a domingo: 10:00–17:30</t>
        </is>
      </c>
      <c r="M44" s="11" t="inlineStr">
        <is>
          <t>—</t>
        </is>
      </c>
      <c r="N44" s="16" t="inlineStr">
        <is>
          <t>—</t>
        </is>
      </c>
      <c r="O44" s="16" t="inlineStr">
        <is>
          <t>—</t>
        </is>
      </c>
      <c r="P44" s="16" t="inlineStr">
        <is>
          <t>81 St-Museum of Natural History (B,C)</t>
        </is>
      </c>
      <c r="Q44" s="16" t="inlineStr">
        <is>
          <t>Dinosaurios, la ballena azul y el nuevo Gilder Center de Studio Gang. A 4 cuadras del hotel The Beacon.</t>
        </is>
      </c>
      <c r="R44" s="16" t="inlineStr">
        <is>
          <t>200 Central Park West</t>
        </is>
      </c>
      <c r="S44" s="17" t="inlineStr">
        <is>
          <t>Día 5 · mié 2/9</t>
        </is>
      </c>
      <c r="T44" s="18" t="inlineStr">
        <is>
          <t>Abrir ↗</t>
        </is>
      </c>
      <c r="U44" s="19" t="inlineStr">
        <is>
          <t>lista google</t>
        </is>
      </c>
      <c r="V44" s="20" t="inlineStr">
        <is>
          <t>SÍ</t>
        </is>
      </c>
    </row>
    <row r="45" ht="46" customHeight="1">
      <c r="A45" s="9" t="inlineStr">
        <is>
          <t>9/11 Memorial Museum</t>
        </is>
      </c>
      <c r="B45" s="10" t="inlineStr">
        <is>
          <t>Museo de historia</t>
        </is>
      </c>
      <c r="C45" s="11" t="inlineStr">
        <is>
          <t>Museo</t>
        </is>
      </c>
      <c r="D45" s="11" t="inlineStr">
        <is>
          <t>Financial District</t>
        </is>
      </c>
      <c r="E45" s="11" t="inlineStr">
        <is>
          <t>Manhattan</t>
        </is>
      </c>
      <c r="F45" s="12" t="n">
        <v>2</v>
      </c>
      <c r="G45" s="12" t="n">
        <v>0</v>
      </c>
      <c r="H45" s="13">
        <f>IF(AND(F45=2,G45=2),"AMBOS",IF(AND(F45=2,G45&lt;2),"solo JP",IF(AND(F45&lt;2,G45=2),"solo Thais","-")))</f>
        <v/>
      </c>
      <c r="I45" s="14" t="n">
        <v>36</v>
      </c>
      <c r="J45" s="15" t="n">
        <v>2.5</v>
      </c>
      <c r="K45" s="13" t="inlineStr">
        <is>
          <t>no</t>
        </is>
      </c>
      <c r="L45" s="16" t="inlineStr">
        <is>
          <t>lunes: 09:00–19:00 · martes: cerrado · miércoles a domingo: 09:00–19:00</t>
        </is>
      </c>
      <c r="M45" s="11" t="inlineStr">
        <is>
          <t>martes (salvo algunos)</t>
        </is>
      </c>
      <c r="N45" s="22" t="inlineStr">
        <is>
          <t>los lunes hay franja gratis por la tarde (la mecanica y el horario cambian: verificar en 911memorial.org)</t>
        </is>
      </c>
      <c r="O45" s="16" t="inlineStr">
        <is>
          <t>OBLIGATORIA - timed ticket</t>
        </is>
      </c>
      <c r="P45" s="16" t="inlineStr">
        <is>
          <t>WTC Cortlandt (1), Fulton St</t>
        </is>
      </c>
      <c r="Q45" s="16" t="inlineStr">
        <is>
          <t>Duro y muy bien hecho. Si el presupuesto aprieta, el memorial exterior solo ya transmite casi todo.</t>
        </is>
      </c>
      <c r="R45" s="16" t="inlineStr">
        <is>
          <t>180 Greenwich St</t>
        </is>
      </c>
      <c r="S45" s="17" t="inlineStr">
        <is>
          <t>Día 6 · jue 3/9</t>
        </is>
      </c>
      <c r="T45" s="18" t="inlineStr">
        <is>
          <t>Abrir ↗</t>
        </is>
      </c>
      <c r="U45" s="19" t="inlineStr">
        <is>
          <t>lista google</t>
        </is>
      </c>
      <c r="V45" s="20" t="inlineStr">
        <is>
          <t>SÍ</t>
        </is>
      </c>
    </row>
    <row r="46" ht="46" customHeight="1">
      <c r="A46" s="9" t="inlineStr">
        <is>
          <t>African Burial Ground National Monument</t>
        </is>
      </c>
      <c r="B46" s="10" t="inlineStr">
        <is>
          <t>Museo de historia</t>
        </is>
      </c>
      <c r="C46" s="11" t="inlineStr">
        <is>
          <t>Museo</t>
        </is>
      </c>
      <c r="D46" s="11" t="inlineStr">
        <is>
          <t>Civic Center</t>
        </is>
      </c>
      <c r="E46" s="11" t="inlineStr">
        <is>
          <t>Manhattan</t>
        </is>
      </c>
      <c r="F46" s="12" t="n">
        <v>1</v>
      </c>
      <c r="G46" s="12" t="n">
        <v>1</v>
      </c>
      <c r="H46" s="13">
        <f>IF(AND(F46=2,G46=2),"AMBOS",IF(AND(F46=2,G46&lt;2),"solo JP",IF(AND(F46&lt;2,G46=2),"solo Thais","-")))</f>
        <v/>
      </c>
      <c r="I46" s="14" t="n">
        <v>0</v>
      </c>
      <c r="J46" s="15" t="n">
        <v>0.7</v>
      </c>
      <c r="K46" s="13" t="inlineStr">
        <is>
          <t>no</t>
        </is>
      </c>
      <c r="L46" s="16" t="inlineStr">
        <is>
          <t>—</t>
        </is>
      </c>
      <c r="M46" s="11" t="inlineStr">
        <is>
          <t>—</t>
        </is>
      </c>
      <c r="N46" s="16" t="inlineStr">
        <is>
          <t>—</t>
        </is>
      </c>
      <c r="O46" s="16" t="inlineStr">
        <is>
          <t>—</t>
        </is>
      </c>
      <c r="P46" s="16" t="inlineStr">
        <is>
          <t>Chambers St (J,Z,4,5,6)</t>
        </is>
      </c>
      <c r="Q46" s="16" t="inlineStr">
        <is>
          <t>en 1991, excavando los cimientos de una torre de oficinas, aparecieron 419 esqueletos. Era el cementerio de africanos esclavizados y libres de la Nueva York colonial, entre 6 y 20 mil personas enterradas ahí entre 1690 y 1794, tapado y olvidado por dos siglos.</t>
        </is>
      </c>
      <c r="R46" s="16" t="inlineStr">
        <is>
          <t>290 Broadway</t>
        </is>
      </c>
      <c r="S46" s="16" t="inlineStr">
        <is>
          <t>—</t>
        </is>
      </c>
      <c r="T46" s="18" t="inlineStr">
        <is>
          <t>Abrir ↗</t>
        </is>
      </c>
      <c r="U46" s="21" t="inlineStr">
        <is>
          <t>otros</t>
        </is>
      </c>
      <c r="V46" s="20" t="inlineStr"/>
    </row>
    <row r="47" ht="46" customHeight="1">
      <c r="A47" s="9" t="inlineStr">
        <is>
          <t>Alexander Hamilton U.S. Custom House</t>
        </is>
      </c>
      <c r="B47" s="10" t="inlineStr">
        <is>
          <t>Museo de historia</t>
        </is>
      </c>
      <c r="C47" s="11" t="inlineStr">
        <is>
          <t>Museo</t>
        </is>
      </c>
      <c r="D47" s="11" t="inlineStr">
        <is>
          <t>Financial District</t>
        </is>
      </c>
      <c r="E47" s="11" t="inlineStr">
        <is>
          <t>Manhattan</t>
        </is>
      </c>
      <c r="F47" s="12" t="n">
        <v>1</v>
      </c>
      <c r="G47" s="12" t="n">
        <v>1</v>
      </c>
      <c r="H47" s="13">
        <f>IF(AND(F47=2,G47=2),"AMBOS",IF(AND(F47=2,G47&lt;2),"solo JP",IF(AND(F47&lt;2,G47=2),"solo Thais","-")))</f>
        <v/>
      </c>
      <c r="I47" s="14" t="n">
        <v>0</v>
      </c>
      <c r="J47" s="15" t="n">
        <v>1.5</v>
      </c>
      <c r="K47" s="13" t="inlineStr">
        <is>
          <t>no</t>
        </is>
      </c>
      <c r="L47" s="16" t="inlineStr">
        <is>
          <t>—</t>
        </is>
      </c>
      <c r="M47" s="11" t="inlineStr">
        <is>
          <t>—</t>
        </is>
      </c>
      <c r="N47" s="16" t="inlineStr">
        <is>
          <t>—</t>
        </is>
      </c>
      <c r="O47" s="16" t="inlineStr">
        <is>
          <t>—</t>
        </is>
      </c>
      <c r="P47" s="16" t="inlineStr">
        <is>
          <t>Bowling Green (4,5)</t>
        </is>
      </c>
      <c r="Q47" s="16" t="inlineStr">
        <is>
          <t>el edificio de Cass Gilbert de 1907 es más interesante que la excusa para entrar. La rotonda oval de tres pisos tiene los murales que Reginald Marsh pintó en 1936-37 con fondos de la WPA: ocho escenas del puerto de Nueva York y ocho retratos de navegantes.</t>
        </is>
      </c>
      <c r="R47" s="16" t="inlineStr">
        <is>
          <t>1 Bowling Green</t>
        </is>
      </c>
      <c r="S47" s="16" t="inlineStr">
        <is>
          <t>—</t>
        </is>
      </c>
      <c r="T47" s="18" t="inlineStr">
        <is>
          <t>Abrir ↗</t>
        </is>
      </c>
      <c r="U47" s="21" t="inlineStr">
        <is>
          <t>otros</t>
        </is>
      </c>
      <c r="V47" s="20" t="inlineStr"/>
    </row>
    <row r="48" ht="46" customHeight="1">
      <c r="A48" s="9" t="inlineStr">
        <is>
          <t>Federal Hall National Memorial</t>
        </is>
      </c>
      <c r="B48" s="10" t="inlineStr">
        <is>
          <t>Museo de historia</t>
        </is>
      </c>
      <c r="C48" s="11" t="inlineStr">
        <is>
          <t>Museo</t>
        </is>
      </c>
      <c r="D48" s="11" t="inlineStr">
        <is>
          <t>Financial District</t>
        </is>
      </c>
      <c r="E48" s="11" t="inlineStr">
        <is>
          <t>Manhattan</t>
        </is>
      </c>
      <c r="F48" s="12" t="n">
        <v>1</v>
      </c>
      <c r="G48" s="12" t="n">
        <v>1</v>
      </c>
      <c r="H48" s="13">
        <f>IF(AND(F48=2,G48=2),"AMBOS",IF(AND(F48=2,G48&lt;2),"solo JP",IF(AND(F48&lt;2,G48=2),"solo Thais","-")))</f>
        <v/>
      </c>
      <c r="I48" s="14" t="n">
        <v>0</v>
      </c>
      <c r="J48" s="15" t="n">
        <v>0.75</v>
      </c>
      <c r="K48" s="13" t="inlineStr">
        <is>
          <t>no</t>
        </is>
      </c>
      <c r="L48" s="16" t="inlineStr">
        <is>
          <t>—</t>
        </is>
      </c>
      <c r="M48" s="11" t="inlineStr">
        <is>
          <t>—</t>
        </is>
      </c>
      <c r="N48" s="16" t="inlineStr">
        <is>
          <t>—</t>
        </is>
      </c>
      <c r="O48" s="16" t="inlineStr">
        <is>
          <t>—</t>
        </is>
      </c>
      <c r="P48" s="16" t="inlineStr">
        <is>
          <t>Wall St (4,5)</t>
        </is>
      </c>
      <c r="Q48" s="16" t="inlineStr">
        <is>
          <t>Donde Washington juró como primer presidente. GRATIS, y casi siempre vacío pese a estar frente a la Bolsa.</t>
        </is>
      </c>
      <c r="R48" s="16" t="inlineStr">
        <is>
          <t>26 Wall St</t>
        </is>
      </c>
      <c r="S48" s="16" t="inlineStr">
        <is>
          <t>—</t>
        </is>
      </c>
      <c r="T48" s="18" t="inlineStr">
        <is>
          <t>Abrir ↗</t>
        </is>
      </c>
      <c r="U48" s="19" t="inlineStr">
        <is>
          <t>lista google</t>
        </is>
      </c>
      <c r="V48" s="20" t="inlineStr"/>
    </row>
    <row r="49" ht="46" customHeight="1">
      <c r="A49" s="9" t="inlineStr">
        <is>
          <t>Hamilton Grange</t>
        </is>
      </c>
      <c r="B49" s="10" t="inlineStr">
        <is>
          <t>Museo de historia</t>
        </is>
      </c>
      <c r="C49" s="11" t="inlineStr">
        <is>
          <t>Museo</t>
        </is>
      </c>
      <c r="D49" s="11" t="inlineStr">
        <is>
          <t>Harlem</t>
        </is>
      </c>
      <c r="E49" s="11" t="inlineStr">
        <is>
          <t>Manhattan</t>
        </is>
      </c>
      <c r="F49" s="12" t="n">
        <v>1</v>
      </c>
      <c r="G49" s="12" t="n">
        <v>1</v>
      </c>
      <c r="H49" s="13">
        <f>IF(AND(F49=2,G49=2),"AMBOS",IF(AND(F49=2,G49&lt;2),"solo JP",IF(AND(F49&lt;2,G49=2),"solo Thais","-")))</f>
        <v/>
      </c>
      <c r="I49" s="14" t="n">
        <v>0</v>
      </c>
      <c r="J49" s="15" t="n">
        <v>0.7</v>
      </c>
      <c r="K49" s="13" t="inlineStr">
        <is>
          <t>no</t>
        </is>
      </c>
      <c r="L49" s="16" t="inlineStr">
        <is>
          <t>—</t>
        </is>
      </c>
      <c r="M49" s="11" t="inlineStr">
        <is>
          <t>—</t>
        </is>
      </c>
      <c r="N49" s="16" t="inlineStr">
        <is>
          <t>—</t>
        </is>
      </c>
      <c r="O49" s="16" t="inlineStr">
        <is>
          <t>—</t>
        </is>
      </c>
      <c r="P49" s="16" t="inlineStr">
        <is>
          <t>145 St (A,B,C,D), 137 St (1)</t>
        </is>
      </c>
      <c r="Q49" s="16" t="inlineStr">
        <is>
          <t>La unica casa que tuvo Alexander Hamilton, mudada dos veces de lugar. Gratis.</t>
        </is>
      </c>
      <c r="R49" s="16" t="inlineStr">
        <is>
          <t>414 W 141st St</t>
        </is>
      </c>
      <c r="S49" s="16" t="inlineStr">
        <is>
          <t>—</t>
        </is>
      </c>
      <c r="T49" s="18" t="inlineStr">
        <is>
          <t>Abrir ↗</t>
        </is>
      </c>
      <c r="U49" s="21" t="inlineStr">
        <is>
          <t>otros</t>
        </is>
      </c>
      <c r="V49" s="20" t="inlineStr"/>
    </row>
    <row r="50" ht="46" customHeight="1">
      <c r="A50" s="9" t="inlineStr">
        <is>
          <t>Merchant's House Museum</t>
        </is>
      </c>
      <c r="B50" s="10" t="inlineStr">
        <is>
          <t>Museo de historia</t>
        </is>
      </c>
      <c r="C50" s="11" t="inlineStr">
        <is>
          <t>Museo</t>
        </is>
      </c>
      <c r="D50" s="11" t="inlineStr">
        <is>
          <t>East Village</t>
        </is>
      </c>
      <c r="E50" s="11" t="inlineStr">
        <is>
          <t>Manhattan</t>
        </is>
      </c>
      <c r="F50" s="12" t="n">
        <v>1</v>
      </c>
      <c r="G50" s="12" t="n">
        <v>1</v>
      </c>
      <c r="H50" s="13">
        <f>IF(AND(F50=2,G50=2),"AMBOS",IF(AND(F50=2,G50&lt;2),"solo JP",IF(AND(F50&lt;2,G50=2),"solo Thais","-")))</f>
        <v/>
      </c>
      <c r="I50" s="14" t="n">
        <v>15</v>
      </c>
      <c r="J50" s="15" t="n">
        <v>1</v>
      </c>
      <c r="K50" s="13" t="inlineStr">
        <is>
          <t>no</t>
        </is>
      </c>
      <c r="L50" s="16" t="inlineStr">
        <is>
          <t>—</t>
        </is>
      </c>
      <c r="M50" s="11" t="inlineStr">
        <is>
          <t>—</t>
        </is>
      </c>
      <c r="N50" s="16" t="inlineStr">
        <is>
          <t>—</t>
        </is>
      </c>
      <c r="O50" s="16" t="inlineStr">
        <is>
          <t>—</t>
        </is>
      </c>
      <c r="P50" s="16" t="inlineStr">
        <is>
          <t>Bleecker St (6), Broadway-Lafayette (B,D,F,M)</t>
        </is>
      </c>
      <c r="Q50" s="16" t="inlineStr">
        <is>
          <t>La unica casa del siglo XIX de Nueva York intacta por dentro y por fuera, con los muebles de la familia.</t>
        </is>
      </c>
      <c r="R50" s="16" t="inlineStr">
        <is>
          <t>29 E 4th St</t>
        </is>
      </c>
      <c r="S50" s="16" t="inlineStr">
        <is>
          <t>—</t>
        </is>
      </c>
      <c r="T50" s="18" t="inlineStr">
        <is>
          <t>Abrir ↗</t>
        </is>
      </c>
      <c r="U50" s="21" t="inlineStr">
        <is>
          <t>otros</t>
        </is>
      </c>
      <c r="V50" s="20" t="inlineStr"/>
    </row>
    <row r="51" ht="46" customHeight="1">
      <c r="A51" s="9" t="inlineStr">
        <is>
          <t>Museum of the City of New York</t>
        </is>
      </c>
      <c r="B51" s="10" t="inlineStr">
        <is>
          <t>Museo de historia</t>
        </is>
      </c>
      <c r="C51" s="11" t="inlineStr">
        <is>
          <t>Museo</t>
        </is>
      </c>
      <c r="D51" s="11" t="inlineStr">
        <is>
          <t>East Harlem</t>
        </is>
      </c>
      <c r="E51" s="11" t="inlineStr">
        <is>
          <t>Manhattan</t>
        </is>
      </c>
      <c r="F51" s="12" t="n">
        <v>0</v>
      </c>
      <c r="G51" s="12" t="n">
        <v>0</v>
      </c>
      <c r="H51" s="13">
        <f>IF(AND(F51=2,G51=2),"AMBOS",IF(AND(F51=2,G51&lt;2),"solo JP",IF(AND(F51&lt;2,G51=2),"solo Thais","-")))</f>
        <v/>
      </c>
      <c r="I51" s="14" t="n">
        <v>23</v>
      </c>
      <c r="J51" s="15" t="n">
        <v>2</v>
      </c>
      <c r="K51" s="13" t="inlineStr">
        <is>
          <t>no</t>
        </is>
      </c>
      <c r="L51" s="16" t="inlineStr">
        <is>
          <t>lunes a martes: 10:00–17:00 · miércoles: 10:00–21:00 · jueves a viernes: 10:00–17:00 · sábado a domingo: 10:00–18:00</t>
        </is>
      </c>
      <c r="M51" s="11" t="inlineStr">
        <is>
          <t>—</t>
        </is>
      </c>
      <c r="N51" s="22" t="inlineStr">
        <is>
          <t>MIERCOLES GRATIS TODO EL DIA para todos - los tickets gratis SOLO se retiran en la ventanilla del museo, no online</t>
        </is>
      </c>
      <c r="O51" s="16" t="inlineStr">
        <is>
          <t>—</t>
        </is>
      </c>
      <c r="P51" s="16" t="inlineStr">
        <is>
          <t>103 St (6)</t>
        </is>
      </c>
      <c r="Q51" s="16" t="inlineStr">
        <is>
          <t>La historia de la ciudad contada bien, incluida 'Timescapes'. El mejor lugar para entender NYC en las primeras 48 horas. Y los miercoles no cuesta nada.</t>
        </is>
      </c>
      <c r="R51" s="16" t="inlineStr">
        <is>
          <t>1220 5th Ave</t>
        </is>
      </c>
      <c r="S51" s="16" t="inlineStr">
        <is>
          <t>—</t>
        </is>
      </c>
      <c r="T51" s="18" t="inlineStr">
        <is>
          <t>Abrir ↗</t>
        </is>
      </c>
      <c r="U51" s="21" t="inlineStr">
        <is>
          <t>otros</t>
        </is>
      </c>
      <c r="V51" s="20" t="inlineStr"/>
    </row>
    <row r="52" ht="46" customHeight="1">
      <c r="A52" s="9" t="inlineStr">
        <is>
          <t>New York Transit Museum</t>
        </is>
      </c>
      <c r="B52" s="10" t="inlineStr">
        <is>
          <t>Museo de historia</t>
        </is>
      </c>
      <c r="C52" s="11" t="inlineStr">
        <is>
          <t>Museo</t>
        </is>
      </c>
      <c r="D52" s="11" t="inlineStr">
        <is>
          <t>Brooklyn Heights</t>
        </is>
      </c>
      <c r="E52" s="11" t="inlineStr">
        <is>
          <t>Brooklyn</t>
        </is>
      </c>
      <c r="F52" s="12" t="n">
        <v>2</v>
      </c>
      <c r="G52" s="12" t="n">
        <v>2</v>
      </c>
      <c r="H52" s="13">
        <f>IF(AND(F52=2,G52=2),"AMBOS",IF(AND(F52=2,G52&lt;2),"solo JP",IF(AND(F52&lt;2,G52=2),"solo Thais","-")))</f>
        <v/>
      </c>
      <c r="I52" s="14" t="n">
        <v>10</v>
      </c>
      <c r="J52" s="15" t="n">
        <v>1.5</v>
      </c>
      <c r="K52" s="13" t="inlineStr">
        <is>
          <t>no</t>
        </is>
      </c>
      <c r="L52" s="16" t="inlineStr">
        <is>
          <t>lunes a martes: cerrado · miércoles a domingo: 10:00–16:00</t>
        </is>
      </c>
      <c r="M52" s="11" t="inlineStr">
        <is>
          <t>lunes y martes</t>
        </is>
      </c>
      <c r="N52" s="16" t="inlineStr">
        <is>
          <t>—</t>
        </is>
      </c>
      <c r="O52" s="16" t="inlineStr">
        <is>
          <t>—</t>
        </is>
      </c>
      <c r="P52" s="16" t="inlineStr">
        <is>
          <t>Court St-Borough Hall (2,3,4,5,R)</t>
        </is>
      </c>
      <c r="Q52" s="16" t="inlineStr">
        <is>
          <t>Una estacion de subte clausurada de 1936 con 20 vagones historicos en las vias originales; se puede subir a todos. AVISO: el aire acondicionado de las galerias traseras esta roto.</t>
        </is>
      </c>
      <c r="R52" s="16" t="inlineStr">
        <is>
          <t>99 Schermerhorn St, Brooklyn</t>
        </is>
      </c>
      <c r="S52" s="17" t="inlineStr">
        <is>
          <t>Día 8 · sáb 5/9</t>
        </is>
      </c>
      <c r="T52" s="18" t="inlineStr">
        <is>
          <t>Abrir ↗</t>
        </is>
      </c>
      <c r="U52" s="19" t="inlineStr">
        <is>
          <t>lista google</t>
        </is>
      </c>
      <c r="V52" s="20" t="inlineStr"/>
    </row>
    <row r="53" ht="46" customHeight="1">
      <c r="A53" s="9" t="inlineStr">
        <is>
          <t>Tenement Museum</t>
        </is>
      </c>
      <c r="B53" s="10" t="inlineStr">
        <is>
          <t>Museo de historia</t>
        </is>
      </c>
      <c r="C53" s="11" t="inlineStr">
        <is>
          <t>Museo</t>
        </is>
      </c>
      <c r="D53" s="11" t="inlineStr">
        <is>
          <t>Lower East Side</t>
        </is>
      </c>
      <c r="E53" s="11" t="inlineStr">
        <is>
          <t>Manhattan</t>
        </is>
      </c>
      <c r="F53" s="12" t="n">
        <v>0</v>
      </c>
      <c r="G53" s="12" t="n">
        <v>0</v>
      </c>
      <c r="H53" s="13">
        <f>IF(AND(F53=2,G53=2),"AMBOS",IF(AND(F53=2,G53&lt;2),"solo JP",IF(AND(F53&lt;2,G53=2),"solo Thais","-")))</f>
        <v/>
      </c>
      <c r="I53" s="14" t="n">
        <v>33</v>
      </c>
      <c r="J53" s="15" t="n">
        <v>1.75</v>
      </c>
      <c r="K53" s="13" t="inlineStr">
        <is>
          <t>no</t>
        </is>
      </c>
      <c r="L53" s="16" t="inlineStr">
        <is>
          <t>lunes: 10:00–18:00 · martes a jueves: 10:00–17:00 · viernes a domingo: 10:00–18:00</t>
        </is>
      </c>
      <c r="M53" s="11" t="inlineStr">
        <is>
          <t>—</t>
        </is>
      </c>
      <c r="N53" s="16" t="inlineStr">
        <is>
          <t>—</t>
        </is>
      </c>
      <c r="O53" s="16" t="inlineStr">
        <is>
          <t>OBLIGATORIA - muchos tours se agotan; tickets extra se liberan los jueves</t>
        </is>
      </c>
      <c r="P53" s="16" t="inlineStr">
        <is>
          <t>Delancey-Essex St (F,J,M,Z)</t>
        </is>
      </c>
      <c r="Q53" s="16" t="inlineStr">
        <is>
          <t>Departamentos restaurados de familias inmigrantes reales, solo con guia. No es un museo de objetos: es la historia de la inmigracion contada dentro de la casa donde paso.</t>
        </is>
      </c>
      <c r="R53" s="16" t="inlineStr">
        <is>
          <t>103 Orchard St</t>
        </is>
      </c>
      <c r="S53" s="16" t="inlineStr">
        <is>
          <t>—</t>
        </is>
      </c>
      <c r="T53" s="18" t="inlineStr">
        <is>
          <t>Abrir ↗</t>
        </is>
      </c>
      <c r="U53" s="21" t="inlineStr">
        <is>
          <t>otros</t>
        </is>
      </c>
      <c r="V53" s="20" t="inlineStr"/>
    </row>
    <row r="54" ht="46" customHeight="1">
      <c r="A54" s="9" t="inlineStr">
        <is>
          <t>The City Reliquary</t>
        </is>
      </c>
      <c r="B54" s="10" t="inlineStr">
        <is>
          <t>Museo de historia</t>
        </is>
      </c>
      <c r="C54" s="11" t="inlineStr">
        <is>
          <t>Museo</t>
        </is>
      </c>
      <c r="D54" s="11" t="inlineStr">
        <is>
          <t>Williamsburg</t>
        </is>
      </c>
      <c r="E54" s="11" t="inlineStr">
        <is>
          <t>Brooklyn</t>
        </is>
      </c>
      <c r="F54" s="12" t="n">
        <v>1</v>
      </c>
      <c r="G54" s="12" t="n">
        <v>1</v>
      </c>
      <c r="H54" s="13">
        <f>IF(AND(F54=2,G54=2),"AMBOS",IF(AND(F54=2,G54&lt;2),"solo JP",IF(AND(F54&lt;2,G54=2),"solo Thais","-")))</f>
        <v/>
      </c>
      <c r="I54" s="14" t="n">
        <v>7</v>
      </c>
      <c r="J54" s="15" t="n">
        <v>0.75</v>
      </c>
      <c r="K54" s="13" t="inlineStr">
        <is>
          <t>no</t>
        </is>
      </c>
      <c r="L54" s="16" t="inlineStr">
        <is>
          <t>lunes a viernes: cerrado · sábado a domingo: 12:00–18:00</t>
        </is>
      </c>
      <c r="M54" s="11" t="inlineStr">
        <is>
          <t>de lunes a viernes (solo abre sábados y domingos 12-18h)</t>
        </is>
      </c>
      <c r="N54" s="16" t="inlineStr">
        <is>
          <t>—</t>
        </is>
      </c>
      <c r="O54" s="16" t="inlineStr">
        <is>
          <t>—</t>
        </is>
      </c>
      <c r="P54" s="16" t="inlineStr">
        <is>
          <t>Metropolitan Av (G), Lorimer St (L)</t>
        </is>
      </c>
      <c r="Q54" s="16" t="inlineStr">
        <is>
          <t>Museo de objetos descartados de NYC en una vidriera: fichas de subte, fragmentos de la Feria Mundial, botellas de seltzer. Absurdo y encantador.</t>
        </is>
      </c>
      <c r="R54" s="16" t="inlineStr">
        <is>
          <t>370 Metropolitan Ave, Brooklyn</t>
        </is>
      </c>
      <c r="S54" s="16" t="inlineStr">
        <is>
          <t>—</t>
        </is>
      </c>
      <c r="T54" s="18" t="inlineStr">
        <is>
          <t>Abrir ↗</t>
        </is>
      </c>
      <c r="U54" s="21" t="inlineStr">
        <is>
          <t>otros</t>
        </is>
      </c>
      <c r="V54" s="20" t="inlineStr"/>
    </row>
    <row r="55" ht="46" customHeight="1">
      <c r="A55" s="9" t="inlineStr">
        <is>
          <t>The New York Historical</t>
        </is>
      </c>
      <c r="B55" s="10" t="inlineStr">
        <is>
          <t>Museo de historia</t>
        </is>
      </c>
      <c r="C55" s="11" t="inlineStr">
        <is>
          <t>Museo</t>
        </is>
      </c>
      <c r="D55" s="11" t="inlineStr">
        <is>
          <t>Upper West Side</t>
        </is>
      </c>
      <c r="E55" s="11" t="inlineStr">
        <is>
          <t>Manhattan</t>
        </is>
      </c>
      <c r="F55" s="12" t="n">
        <v>1</v>
      </c>
      <c r="G55" s="12" t="n">
        <v>1</v>
      </c>
      <c r="H55" s="13">
        <f>IF(AND(F55=2,G55=2),"AMBOS",IF(AND(F55=2,G55&lt;2),"solo JP",IF(AND(F55&lt;2,G55=2),"solo Thais","-")))</f>
        <v/>
      </c>
      <c r="I55" s="14" t="n">
        <v>24</v>
      </c>
      <c r="J55" s="15" t="n">
        <v>2</v>
      </c>
      <c r="K55" s="13" t="inlineStr">
        <is>
          <t>no</t>
        </is>
      </c>
      <c r="L55" s="16" t="inlineStr">
        <is>
          <t>—</t>
        </is>
      </c>
      <c r="M55" s="11" t="inlineStr">
        <is>
          <t>—</t>
        </is>
      </c>
      <c r="N55" s="16" t="inlineStr">
        <is>
          <t>—</t>
        </is>
      </c>
      <c r="O55" s="16" t="inlineStr">
        <is>
          <t>—</t>
        </is>
      </c>
      <c r="P55" s="16" t="inlineStr">
        <is>
          <t>81 St-Museum of Natural History (B,C)</t>
        </is>
      </c>
      <c r="Q55" s="16" t="inlineStr">
        <is>
          <t>está literalmente pegado al Museo de Historia Natural, que hacen el miércoles 2 — misma cuadra, otra puerta.</t>
        </is>
      </c>
      <c r="R55" s="16" t="inlineStr">
        <is>
          <t>170 Central Park West</t>
        </is>
      </c>
      <c r="S55" s="16" t="inlineStr">
        <is>
          <t>—</t>
        </is>
      </c>
      <c r="T55" s="18" t="inlineStr">
        <is>
          <t>Abrir ↗</t>
        </is>
      </c>
      <c r="U55" s="21" t="inlineStr">
        <is>
          <t>otros</t>
        </is>
      </c>
      <c r="V55" s="20" t="inlineStr"/>
    </row>
    <row r="56" ht="46" customHeight="1">
      <c r="A56" s="9" t="inlineStr">
        <is>
          <t>Balloon Museum NYC - DAYDREAM</t>
        </is>
      </c>
      <c r="B56" s="10" t="inlineStr">
        <is>
          <t>Museo temático</t>
        </is>
      </c>
      <c r="C56" s="11" t="inlineStr">
        <is>
          <t>Museo</t>
        </is>
      </c>
      <c r="D56" s="11" t="inlineStr">
        <is>
          <t>Manhattan</t>
        </is>
      </c>
      <c r="E56" s="11" t="inlineStr">
        <is>
          <t>Manhattan</t>
        </is>
      </c>
      <c r="F56" s="12" t="n">
        <v>1</v>
      </c>
      <c r="G56" s="12" t="n">
        <v>1</v>
      </c>
      <c r="H56" s="13">
        <f>IF(AND(F56=2,G56=2),"AMBOS",IF(AND(F56=2,G56&lt;2),"solo JP",IF(AND(F56&lt;2,G56=2),"solo Thais","-")))</f>
        <v/>
      </c>
      <c r="I56" s="14" t="n">
        <v>40</v>
      </c>
      <c r="J56" s="15" t="n">
        <v>1.25</v>
      </c>
      <c r="K56" s="13" t="inlineStr">
        <is>
          <t>SÍ</t>
        </is>
      </c>
      <c r="L56" s="16" t="inlineStr">
        <is>
          <t>—</t>
        </is>
      </c>
      <c r="M56" s="11" t="inlineStr">
        <is>
          <t>—</t>
        </is>
      </c>
      <c r="N56" s="16" t="inlineStr">
        <is>
          <t>—</t>
        </is>
      </c>
      <c r="O56" s="16" t="inlineStr">
        <is>
          <t>—</t>
        </is>
      </c>
      <c r="P56" s="16" t="inlineStr">
        <is>
          <t>-</t>
        </is>
      </c>
      <c r="Q56" s="16" t="inlineStr">
        <is>
          <t>Arte inflable inmersivo, muy fotografiable. Exposición itinerante: verificar que siga en cartel.</t>
        </is>
      </c>
      <c r="R56" s="16" t="inlineStr"/>
      <c r="S56" s="16" t="inlineStr">
        <is>
          <t>—</t>
        </is>
      </c>
      <c r="T56" s="18" t="inlineStr">
        <is>
          <t>Abrir ↗</t>
        </is>
      </c>
      <c r="U56" s="19" t="inlineStr">
        <is>
          <t>lista google</t>
        </is>
      </c>
      <c r="V56" s="20" t="inlineStr"/>
    </row>
    <row r="57" ht="46" customHeight="1">
      <c r="A57" s="9" t="inlineStr">
        <is>
          <t>City Reliquary</t>
        </is>
      </c>
      <c r="B57" s="10" t="inlineStr">
        <is>
          <t>Museo temático</t>
        </is>
      </c>
      <c r="C57" s="11" t="inlineStr">
        <is>
          <t>Museo</t>
        </is>
      </c>
      <c r="D57" s="11" t="inlineStr">
        <is>
          <t>Williamsburg</t>
        </is>
      </c>
      <c r="E57" s="11" t="inlineStr">
        <is>
          <t>Brooklyn</t>
        </is>
      </c>
      <c r="F57" s="12" t="n">
        <v>1</v>
      </c>
      <c r="G57" s="12" t="n">
        <v>1</v>
      </c>
      <c r="H57" s="13">
        <f>IF(AND(F57=2,G57=2),"AMBOS",IF(AND(F57=2,G57&lt;2),"solo JP",IF(AND(F57&lt;2,G57=2),"solo Thais","-")))</f>
        <v/>
      </c>
      <c r="I57" s="14" t="n">
        <v>7</v>
      </c>
      <c r="J57" s="15" t="n">
        <v>0.7</v>
      </c>
      <c r="K57" s="13" t="inlineStr">
        <is>
          <t>no</t>
        </is>
      </c>
      <c r="L57" s="16" t="inlineStr">
        <is>
          <t>—</t>
        </is>
      </c>
      <c r="M57" s="11" t="inlineStr">
        <is>
          <t>—</t>
        </is>
      </c>
      <c r="N57" s="16" t="inlineStr">
        <is>
          <t>—</t>
        </is>
      </c>
      <c r="O57" s="16" t="inlineStr">
        <is>
          <t>—</t>
        </is>
      </c>
      <c r="P57" s="16" t="inlineStr">
        <is>
          <t>Lorimer St (L), Metropolitan Av (G)</t>
        </is>
      </c>
      <c r="Q57" s="16" t="inlineStr">
        <is>
          <t>Museo de vitrina dedicado a la basura historica de Nueva York: fichas de subte, agua del grifo, Miss Subways.</t>
        </is>
      </c>
      <c r="R57" s="16" t="inlineStr">
        <is>
          <t>370 Metropolitan Ave, Brooklyn</t>
        </is>
      </c>
      <c r="S57" s="16" t="inlineStr">
        <is>
          <t>—</t>
        </is>
      </c>
      <c r="T57" s="18" t="inlineStr">
        <is>
          <t>Abrir ↗</t>
        </is>
      </c>
      <c r="U57" s="21" t="inlineStr">
        <is>
          <t>otros</t>
        </is>
      </c>
      <c r="V57" s="20" t="inlineStr"/>
    </row>
    <row r="58" ht="46" customHeight="1">
      <c r="A58" s="9" t="inlineStr">
        <is>
          <t>Intrepid Museum</t>
        </is>
      </c>
      <c r="B58" s="10" t="inlineStr">
        <is>
          <t>Museo temático</t>
        </is>
      </c>
      <c r="C58" s="11" t="inlineStr">
        <is>
          <t>Museo</t>
        </is>
      </c>
      <c r="D58" s="11" t="inlineStr">
        <is>
          <t>Hell's Kitchen</t>
        </is>
      </c>
      <c r="E58" s="11" t="inlineStr">
        <is>
          <t>Manhattan</t>
        </is>
      </c>
      <c r="F58" s="12" t="n">
        <v>2</v>
      </c>
      <c r="G58" s="12" t="n">
        <v>0</v>
      </c>
      <c r="H58" s="13">
        <f>IF(AND(F58=2,G58=2),"AMBOS",IF(AND(F58=2,G58&lt;2),"solo JP",IF(AND(F58&lt;2,G58=2),"solo Thais","-")))</f>
        <v/>
      </c>
      <c r="I58" s="14" t="n">
        <v>38</v>
      </c>
      <c r="J58" s="15" t="n">
        <v>2.5</v>
      </c>
      <c r="K58" s="13" t="inlineStr">
        <is>
          <t>no</t>
        </is>
      </c>
      <c r="L58" s="16" t="inlineStr">
        <is>
          <t>lunes a viernes: 10:00–17:00 · sábado a domingo: 10:00–18:00</t>
        </is>
      </c>
      <c r="M58" s="11" t="inlineStr">
        <is>
          <t>—</t>
        </is>
      </c>
      <c r="N58" s="16" t="inlineStr">
        <is>
          <t>—</t>
        </is>
      </c>
      <c r="O58" s="16" t="inlineStr">
        <is>
          <t>—</t>
        </is>
      </c>
      <c r="P58" s="16" t="inlineStr">
        <is>
          <t>50 St (C,E) + caminata</t>
        </is>
      </c>
      <c r="Q58" s="16" t="inlineStr">
        <is>
          <t>Portaaviones de la Segunda Guerra con un transbordador espacial y un submarino. Esta a 3 cuadras del hotel Ink48.</t>
        </is>
      </c>
      <c r="R58" s="16" t="inlineStr">
        <is>
          <t>Pier 86, W 46th St &amp; 12th Ave</t>
        </is>
      </c>
      <c r="S58" s="16" t="inlineStr">
        <is>
          <t>—</t>
        </is>
      </c>
      <c r="T58" s="18" t="inlineStr">
        <is>
          <t>Abrir ↗</t>
        </is>
      </c>
      <c r="U58" s="19" t="inlineStr">
        <is>
          <t>lista google</t>
        </is>
      </c>
      <c r="V58" s="20" t="inlineStr"/>
    </row>
    <row r="59" ht="46" customHeight="1">
      <c r="A59" s="9" t="inlineStr">
        <is>
          <t>Mercer Labs — Museum of Art and Technology</t>
        </is>
      </c>
      <c r="B59" s="10" t="inlineStr">
        <is>
          <t>Museo temático</t>
        </is>
      </c>
      <c r="C59" s="11" t="inlineStr">
        <is>
          <t>Museo</t>
        </is>
      </c>
      <c r="D59" s="11" t="inlineStr">
        <is>
          <t>Financial District</t>
        </is>
      </c>
      <c r="E59" s="11" t="inlineStr">
        <is>
          <t>Manhattan</t>
        </is>
      </c>
      <c r="F59" s="12" t="n">
        <v>2</v>
      </c>
      <c r="G59" s="12" t="n">
        <v>2</v>
      </c>
      <c r="H59" s="13">
        <f>IF(AND(F59=2,G59=2),"AMBOS",IF(AND(F59=2,G59&lt;2),"solo JP",IF(AND(F59&lt;2,G59=2),"solo Thais","-")))</f>
        <v/>
      </c>
      <c r="I59" s="14" t="n">
        <v>57</v>
      </c>
      <c r="J59" s="15" t="n">
        <v>1.25</v>
      </c>
      <c r="K59" s="13" t="inlineStr">
        <is>
          <t>SÍ</t>
        </is>
      </c>
      <c r="L59" s="16" t="inlineStr">
        <is>
          <t>lunes a miércoles: 10:00–20:00 · jueves a domingo: 10:00–22:00</t>
        </is>
      </c>
      <c r="M59" s="11" t="inlineStr">
        <is>
          <t>—</t>
        </is>
      </c>
      <c r="N59" s="16" t="inlineStr">
        <is>
          <t>—</t>
        </is>
      </c>
      <c r="O59" s="16" t="inlineStr">
        <is>
          <t>timed ticket online (Fever) - reservar antes</t>
        </is>
      </c>
      <c r="P59" s="16" t="inlineStr">
        <is>
          <t>Fulton St (A,C,2,3,4,5), WTC Cortlandt (1)</t>
        </is>
      </c>
      <c r="Q59" s="16" t="inlineStr">
        <is>
          <t>15 salas inmersivas de arte y tecnologia de Roy Nachum, frente al Oculus: proyecciones, sonido espacial y salas interactivas. La visita es a tu ritmo, 60-90 min.</t>
        </is>
      </c>
      <c r="R59" s="16" t="inlineStr">
        <is>
          <t>21 Dey St</t>
        </is>
      </c>
      <c r="S59" s="17" t="inlineStr">
        <is>
          <t>Día 2 · dom 30/8</t>
        </is>
      </c>
      <c r="T59" s="18" t="inlineStr">
        <is>
          <t>Abrir ↗</t>
        </is>
      </c>
      <c r="U59" s="19" t="inlineStr">
        <is>
          <t>lista google</t>
        </is>
      </c>
      <c r="V59" s="20" t="inlineStr"/>
    </row>
    <row r="60" ht="46" customHeight="1">
      <c r="A60" s="9" t="inlineStr">
        <is>
          <t>Museum of the Moving Image</t>
        </is>
      </c>
      <c r="B60" s="10" t="inlineStr">
        <is>
          <t>Museo temático</t>
        </is>
      </c>
      <c r="C60" s="11" t="inlineStr">
        <is>
          <t>Museo</t>
        </is>
      </c>
      <c r="D60" s="11" t="inlineStr">
        <is>
          <t>Astoria</t>
        </is>
      </c>
      <c r="E60" s="11" t="inlineStr">
        <is>
          <t>Queens</t>
        </is>
      </c>
      <c r="F60" s="12" t="n">
        <v>2</v>
      </c>
      <c r="G60" s="12" t="n">
        <v>2</v>
      </c>
      <c r="H60" s="13">
        <f>IF(AND(F60=2,G60=2),"AMBOS",IF(AND(F60=2,G60&lt;2),"solo JP",IF(AND(F60&lt;2,G60=2),"solo Thais","-")))</f>
        <v/>
      </c>
      <c r="I60" s="14" t="n">
        <v>20</v>
      </c>
      <c r="J60" s="15" t="n">
        <v>2.5</v>
      </c>
      <c r="K60" s="13" t="inlineStr">
        <is>
          <t>no</t>
        </is>
      </c>
      <c r="L60" s="16" t="inlineStr">
        <is>
          <t>lunes a miércoles: cerrado · jueves: 14:00–18:00 · viernes: 14:00–20:00 · sábado a domingo: 11:00–18:00</t>
        </is>
      </c>
      <c r="M60" s="11" t="inlineStr">
        <is>
          <t>lunes, martes y miercoles</t>
        </is>
      </c>
      <c r="N60" s="22" t="inlineStr">
        <is>
          <t>JUEVES 14-18h GRATIS -&gt; jueves 3 de septiembre</t>
        </is>
      </c>
      <c r="O60" s="16" t="inlineStr">
        <is>
          <t>—</t>
        </is>
      </c>
      <c r="P60" s="16" t="inlineStr">
        <is>
          <t>Steinway St (M,R), 36 Av (N,W)</t>
        </is>
      </c>
      <c r="Q60" s="16" t="inlineStr">
        <is>
          <t>Historia material del cine y la television, con la coleccion permanente de Jim Henson (los Muppets originales). Interactivo de verdad, no de vitrina.</t>
        </is>
      </c>
      <c r="R60" s="16" t="inlineStr">
        <is>
          <t>36-01 35th Ave, Astoria</t>
        </is>
      </c>
      <c r="S60" s="17" t="inlineStr">
        <is>
          <t>Día 6 · jue 3/9</t>
        </is>
      </c>
      <c r="T60" s="18" t="inlineStr">
        <is>
          <t>Abrir ↗</t>
        </is>
      </c>
      <c r="U60" s="21" t="inlineStr">
        <is>
          <t>otros</t>
        </is>
      </c>
      <c r="V60" s="20" t="inlineStr">
        <is>
          <t>SÍ</t>
        </is>
      </c>
    </row>
    <row r="61" ht="46" customHeight="1">
      <c r="A61" s="9" t="inlineStr">
        <is>
          <t>New York City Fire Museum</t>
        </is>
      </c>
      <c r="B61" s="10" t="inlineStr">
        <is>
          <t>Museo temático</t>
        </is>
      </c>
      <c r="C61" s="11" t="inlineStr">
        <is>
          <t>Museo</t>
        </is>
      </c>
      <c r="D61" s="11" t="inlineStr">
        <is>
          <t>SoHo</t>
        </is>
      </c>
      <c r="E61" s="11" t="inlineStr">
        <is>
          <t>Manhattan</t>
        </is>
      </c>
      <c r="F61" s="12" t="n">
        <v>1</v>
      </c>
      <c r="G61" s="12" t="n">
        <v>1</v>
      </c>
      <c r="H61" s="13">
        <f>IF(AND(F61=2,G61=2),"AMBOS",IF(AND(F61=2,G61&lt;2),"solo JP",IF(AND(F61&lt;2,G61=2),"solo Thais","-")))</f>
        <v/>
      </c>
      <c r="I61" s="14" t="n">
        <v>12</v>
      </c>
      <c r="J61" s="15" t="n">
        <v>1</v>
      </c>
      <c r="K61" s="13" t="inlineStr">
        <is>
          <t>no</t>
        </is>
      </c>
      <c r="L61" s="16" t="inlineStr">
        <is>
          <t>—</t>
        </is>
      </c>
      <c r="M61" s="11" t="inlineStr">
        <is>
          <t>—</t>
        </is>
      </c>
      <c r="N61" s="16" t="inlineStr">
        <is>
          <t>—</t>
        </is>
      </c>
      <c r="O61" s="16" t="inlineStr">
        <is>
          <t>—</t>
        </is>
      </c>
      <c r="P61" s="16" t="inlineStr">
        <is>
          <t>Spring St (C,E)</t>
        </is>
      </c>
      <c r="Q61" s="16" t="inlineStr">
        <is>
          <t>Cuartel de bomberos de 1904 con carros a caballo y el memorial del 11-S hecho por los propios bomberos.</t>
        </is>
      </c>
      <c r="R61" s="16" t="inlineStr">
        <is>
          <t>278 Spring St</t>
        </is>
      </c>
      <c r="S61" s="16" t="inlineStr">
        <is>
          <t>—</t>
        </is>
      </c>
      <c r="T61" s="18" t="inlineStr">
        <is>
          <t>Abrir ↗</t>
        </is>
      </c>
      <c r="U61" s="21" t="inlineStr">
        <is>
          <t>otros</t>
        </is>
      </c>
      <c r="V61" s="20" t="inlineStr"/>
    </row>
    <row r="62" ht="46" customHeight="1">
      <c r="A62" s="9" t="inlineStr">
        <is>
          <t>Poster House</t>
        </is>
      </c>
      <c r="B62" s="10" t="inlineStr">
        <is>
          <t>Museo temático</t>
        </is>
      </c>
      <c r="C62" s="11" t="inlineStr">
        <is>
          <t>Museo</t>
        </is>
      </c>
      <c r="D62" s="11" t="inlineStr">
        <is>
          <t>Chelsea</t>
        </is>
      </c>
      <c r="E62" s="11" t="inlineStr">
        <is>
          <t>Manhattan</t>
        </is>
      </c>
      <c r="F62" s="12" t="n">
        <v>1</v>
      </c>
      <c r="G62" s="12" t="n">
        <v>1</v>
      </c>
      <c r="H62" s="13">
        <f>IF(AND(F62=2,G62=2),"AMBOS",IF(AND(F62=2,G62&lt;2),"solo JP",IF(AND(F62&lt;2,G62=2),"solo Thais","-")))</f>
        <v/>
      </c>
      <c r="I62" s="14" t="n">
        <v>15</v>
      </c>
      <c r="J62" s="15" t="n">
        <v>1</v>
      </c>
      <c r="K62" s="13" t="inlineStr">
        <is>
          <t>no</t>
        </is>
      </c>
      <c r="L62" s="16" t="inlineStr">
        <is>
          <t>—</t>
        </is>
      </c>
      <c r="M62" s="11" t="inlineStr">
        <is>
          <t>—</t>
        </is>
      </c>
      <c r="N62" s="16" t="inlineStr">
        <is>
          <t>—</t>
        </is>
      </c>
      <c r="O62" s="16" t="inlineStr">
        <is>
          <t>—</t>
        </is>
      </c>
      <c r="P62" s="16" t="inlineStr">
        <is>
          <t>23 St (F,M,1)</t>
        </is>
      </c>
      <c r="Q62" s="16" t="inlineStr">
        <is>
          <t>el primer museo de Estados Unidos dedicado exclusivamente al afiche, abierto en 2019. Y el dato que lo hace fácil: el viernes es gratis y abre hasta las 21:00 — que es exactamente el día que están en Chelsea. Está a cinco cuadras de la High Line.</t>
        </is>
      </c>
      <c r="R62" s="16" t="inlineStr">
        <is>
          <t>119 W 23rd St</t>
        </is>
      </c>
      <c r="S62" s="16" t="inlineStr">
        <is>
          <t>—</t>
        </is>
      </c>
      <c r="T62" s="18" t="inlineStr">
        <is>
          <t>Abrir ↗</t>
        </is>
      </c>
      <c r="U62" s="21" t="inlineStr">
        <is>
          <t>otros</t>
        </is>
      </c>
      <c r="V62" s="20" t="inlineStr"/>
    </row>
    <row r="63" ht="46" customHeight="1">
      <c r="A63" s="9" t="inlineStr">
        <is>
          <t>Skyscraper Museum</t>
        </is>
      </c>
      <c r="B63" s="10" t="inlineStr">
        <is>
          <t>Museo temático</t>
        </is>
      </c>
      <c r="C63" s="11" t="inlineStr">
        <is>
          <t>Museo</t>
        </is>
      </c>
      <c r="D63" s="11" t="inlineStr">
        <is>
          <t>Financial District</t>
        </is>
      </c>
      <c r="E63" s="11" t="inlineStr">
        <is>
          <t>Manhattan</t>
        </is>
      </c>
      <c r="F63" s="12" t="n">
        <v>1</v>
      </c>
      <c r="G63" s="12" t="n">
        <v>1</v>
      </c>
      <c r="H63" s="13">
        <f>IF(AND(F63=2,G63=2),"AMBOS",IF(AND(F63=2,G63&lt;2),"solo JP",IF(AND(F63&lt;2,G63=2),"solo Thais","-")))</f>
        <v/>
      </c>
      <c r="I63" s="14" t="n">
        <v>5</v>
      </c>
      <c r="J63" s="15" t="n">
        <v>0.8</v>
      </c>
      <c r="K63" s="13" t="inlineStr">
        <is>
          <t>no</t>
        </is>
      </c>
      <c r="L63" s="16" t="inlineStr">
        <is>
          <t>—</t>
        </is>
      </c>
      <c r="M63" s="11" t="inlineStr">
        <is>
          <t>—</t>
        </is>
      </c>
      <c r="N63" s="16" t="inlineStr">
        <is>
          <t>—</t>
        </is>
      </c>
      <c r="O63" s="16" t="inlineStr">
        <is>
          <t>—</t>
        </is>
      </c>
      <c r="P63" s="16" t="inlineStr">
        <is>
          <t>Bowling Green (4,5)</t>
        </is>
      </c>
      <c r="Q63" s="16" t="inlineStr">
        <is>
          <t>Chico y monotematico: como y por que Nueva York crecio para arriba. Piso de acero pulido que duplica la altura.</t>
        </is>
      </c>
      <c r="R63" s="16" t="inlineStr">
        <is>
          <t>39 Battery Pl</t>
        </is>
      </c>
      <c r="S63" s="16" t="inlineStr">
        <is>
          <t>—</t>
        </is>
      </c>
      <c r="T63" s="18" t="inlineStr">
        <is>
          <t>Abrir ↗</t>
        </is>
      </c>
      <c r="U63" s="21" t="inlineStr">
        <is>
          <t>otros</t>
        </is>
      </c>
      <c r="V63" s="20" t="inlineStr"/>
    </row>
    <row r="64" ht="46" customHeight="1">
      <c r="A64" s="9" t="inlineStr">
        <is>
          <t>East Village</t>
        </is>
      </c>
      <c r="B64" s="10" t="inlineStr">
        <is>
          <t>Barrio histórico</t>
        </is>
      </c>
      <c r="C64" s="11" t="inlineStr">
        <is>
          <t>Barrio</t>
        </is>
      </c>
      <c r="D64" s="11" t="inlineStr">
        <is>
          <t>East Village</t>
        </is>
      </c>
      <c r="E64" s="11" t="inlineStr">
        <is>
          <t>Manhattan</t>
        </is>
      </c>
      <c r="F64" s="12" t="n">
        <v>1</v>
      </c>
      <c r="G64" s="12" t="n">
        <v>1</v>
      </c>
      <c r="H64" s="13">
        <f>IF(AND(F64=2,G64=2),"AMBOS",IF(AND(F64=2,G64&lt;2),"solo JP",IF(AND(F64&lt;2,G64=2),"solo Thais","-")))</f>
        <v/>
      </c>
      <c r="I64" s="14" t="n">
        <v>0</v>
      </c>
      <c r="J64" s="15" t="n">
        <v>1.5</v>
      </c>
      <c r="K64" s="13" t="inlineStr">
        <is>
          <t>no</t>
        </is>
      </c>
      <c r="L64" s="16" t="inlineStr">
        <is>
          <t>—</t>
        </is>
      </c>
      <c r="M64" s="11" t="inlineStr">
        <is>
          <t>—</t>
        </is>
      </c>
      <c r="N64" s="16" t="inlineStr">
        <is>
          <t>—</t>
        </is>
      </c>
      <c r="O64" s="16" t="inlineStr">
        <is>
          <t>—</t>
        </is>
      </c>
      <c r="P64" s="16" t="inlineStr">
        <is>
          <t>Astor Pl (6), 1 Av (L)</t>
        </is>
      </c>
      <c r="Q64" s="16" t="inlineStr">
        <is>
          <t>Lo que queda del downtown punk y ucraniano: bares de tugurio, St. Marks y jardines comunitarios.</t>
        </is>
      </c>
      <c r="R64" s="16" t="inlineStr"/>
      <c r="S64" s="16" t="inlineStr">
        <is>
          <t>—</t>
        </is>
      </c>
      <c r="T64" s="18" t="inlineStr">
        <is>
          <t>Abrir ↗</t>
        </is>
      </c>
      <c r="U64" s="19" t="inlineStr">
        <is>
          <t>lista google</t>
        </is>
      </c>
      <c r="V64" s="20" t="inlineStr"/>
    </row>
    <row r="65" ht="46" customHeight="1">
      <c r="A65" s="9" t="inlineStr">
        <is>
          <t>Harlem</t>
        </is>
      </c>
      <c r="B65" s="10" t="inlineStr">
        <is>
          <t>Barrio histórico</t>
        </is>
      </c>
      <c r="C65" s="11" t="inlineStr">
        <is>
          <t>Barrio</t>
        </is>
      </c>
      <c r="D65" s="11" t="inlineStr">
        <is>
          <t>Harlem</t>
        </is>
      </c>
      <c r="E65" s="11" t="inlineStr">
        <is>
          <t>Manhattan</t>
        </is>
      </c>
      <c r="F65" s="12" t="n">
        <v>2</v>
      </c>
      <c r="G65" s="12" t="n">
        <v>2</v>
      </c>
      <c r="H65" s="13">
        <f>IF(AND(F65=2,G65=2),"AMBOS",IF(AND(F65=2,G65&lt;2),"solo JP",IF(AND(F65&lt;2,G65=2),"solo Thais","-")))</f>
        <v/>
      </c>
      <c r="I65" s="14" t="n">
        <v>0</v>
      </c>
      <c r="J65" s="15" t="n">
        <v>4</v>
      </c>
      <c r="K65" s="13" t="inlineStr">
        <is>
          <t>no</t>
        </is>
      </c>
      <c r="L65" s="16" t="inlineStr">
        <is>
          <t>—</t>
        </is>
      </c>
      <c r="M65" s="11" t="inlineStr">
        <is>
          <t>—</t>
        </is>
      </c>
      <c r="N65" s="16" t="inlineStr">
        <is>
          <t>—</t>
        </is>
      </c>
      <c r="O65" s="16" t="inlineStr">
        <is>
          <t>—</t>
        </is>
      </c>
      <c r="P65" s="16" t="inlineStr">
        <is>
          <t>125 St (2,3,A,B,C,D)</t>
        </is>
      </c>
      <c r="Q65" s="16" t="inlineStr">
        <is>
          <t>El Studio Museum nuevo de Adjaye, Strivers' Row (casas de 1891 entre la 138 y la 139), Marcus Garvey Park y las brownstones de Mount Morris. Arquitectura residencial que no se parece a nada en el resto de la ciudad.</t>
        </is>
      </c>
      <c r="R65" s="16" t="inlineStr">
        <is>
          <t>W 125th St, Manhattan</t>
        </is>
      </c>
      <c r="S65" s="17" t="inlineStr">
        <is>
          <t>Día 1 · sáb 29/8</t>
        </is>
      </c>
      <c r="T65" s="18" t="inlineStr">
        <is>
          <t>Abrir ↗</t>
        </is>
      </c>
      <c r="U65" s="21" t="inlineStr">
        <is>
          <t>otros</t>
        </is>
      </c>
      <c r="V65" s="20" t="inlineStr"/>
    </row>
    <row r="66" ht="46" customHeight="1">
      <c r="A66" s="9" t="inlineStr">
        <is>
          <t>Inwood</t>
        </is>
      </c>
      <c r="B66" s="10" t="inlineStr">
        <is>
          <t>Barrio histórico</t>
        </is>
      </c>
      <c r="C66" s="11" t="inlineStr">
        <is>
          <t>Barrio</t>
        </is>
      </c>
      <c r="D66" s="11" t="inlineStr">
        <is>
          <t>Inwood</t>
        </is>
      </c>
      <c r="E66" s="11" t="inlineStr">
        <is>
          <t>Manhattan</t>
        </is>
      </c>
      <c r="F66" s="12" t="n">
        <v>2</v>
      </c>
      <c r="G66" s="12" t="n">
        <v>0</v>
      </c>
      <c r="H66" s="13">
        <f>IF(AND(F66=2,G66=2),"AMBOS",IF(AND(F66=2,G66&lt;2),"solo JP",IF(AND(F66&lt;2,G66=2),"solo Thais","-")))</f>
        <v/>
      </c>
      <c r="I66" s="14" t="n">
        <v>0</v>
      </c>
      <c r="J66" s="15" t="n">
        <v>3.5</v>
      </c>
      <c r="K66" s="13" t="inlineStr">
        <is>
          <t>no</t>
        </is>
      </c>
      <c r="L66" s="16" t="inlineStr">
        <is>
          <t>—</t>
        </is>
      </c>
      <c r="M66" s="11" t="inlineStr">
        <is>
          <t>—</t>
        </is>
      </c>
      <c r="N66" s="16" t="inlineStr">
        <is>
          <t>—</t>
        </is>
      </c>
      <c r="O66" s="16" t="inlineStr">
        <is>
          <t>—</t>
        </is>
      </c>
      <c r="P66" s="16" t="inlineStr">
        <is>
          <t>Dyckman St o 207 St (A), 215 St (1)</t>
        </is>
      </c>
      <c r="Q66" s="16" t="inlineStr">
        <is>
          <t>Inwood Hill Park es el unico bosque primario que queda en Manhattan, con cuevas de roca usadas por los Lenape. Abajo, Dyckman St es dominicana pura. Literalmente no parece Manhattan.</t>
        </is>
      </c>
      <c r="R66" s="16" t="inlineStr">
        <is>
          <t>Dyckman St, Manhattan</t>
        </is>
      </c>
      <c r="S66" s="16" t="inlineStr">
        <is>
          <t>—</t>
        </is>
      </c>
      <c r="T66" s="18" t="inlineStr">
        <is>
          <t>Abrir ↗</t>
        </is>
      </c>
      <c r="U66" s="21" t="inlineStr">
        <is>
          <t>otros</t>
        </is>
      </c>
      <c r="V66" s="20" t="inlineStr"/>
    </row>
    <row r="67" ht="46" customHeight="1">
      <c r="A67" s="9" t="inlineStr">
        <is>
          <t>Lower East Side</t>
        </is>
      </c>
      <c r="B67" s="10" t="inlineStr">
        <is>
          <t>Barrio histórico</t>
        </is>
      </c>
      <c r="C67" s="11" t="inlineStr">
        <is>
          <t>Barrio</t>
        </is>
      </c>
      <c r="D67" s="11" t="inlineStr">
        <is>
          <t>Lower East Side</t>
        </is>
      </c>
      <c r="E67" s="11" t="inlineStr">
        <is>
          <t>Manhattan</t>
        </is>
      </c>
      <c r="F67" s="12" t="n">
        <v>2</v>
      </c>
      <c r="G67" s="12" t="n">
        <v>2</v>
      </c>
      <c r="H67" s="13">
        <f>IF(AND(F67=2,G67=2),"AMBOS",IF(AND(F67=2,G67&lt;2),"solo JP",IF(AND(F67&lt;2,G67=2),"solo Thais","-")))</f>
        <v/>
      </c>
      <c r="I67" s="14" t="n">
        <v>0</v>
      </c>
      <c r="J67" s="15" t="n">
        <v>4</v>
      </c>
      <c r="K67" s="13" t="inlineStr">
        <is>
          <t>no</t>
        </is>
      </c>
      <c r="L67" s="16" t="inlineStr">
        <is>
          <t>—</t>
        </is>
      </c>
      <c r="M67" s="11" t="inlineStr">
        <is>
          <t>—</t>
        </is>
      </c>
      <c r="N67" s="16" t="inlineStr">
        <is>
          <t>—</t>
        </is>
      </c>
      <c r="O67" s="16" t="inlineStr">
        <is>
          <t>—</t>
        </is>
      </c>
      <c r="P67" s="16" t="inlineStr">
        <is>
          <t>Delancey-Essex St (F,J,M,Z)</t>
        </is>
      </c>
      <c r="Q67" s="16" t="inlineStr">
        <is>
          <t>La unica parte de Manhattan donde tres capas de inmigracion (judia, china, dominicana) siguen visibles en la misma cuadra. Essex Market, Eldridge Street, Tenement Museum, Katz's.</t>
        </is>
      </c>
      <c r="R67" s="16" t="inlineStr">
        <is>
          <t>Orchard St &amp; Delancey St</t>
        </is>
      </c>
      <c r="S67" s="17" t="inlineStr">
        <is>
          <t>Día 2 · dom 30/8</t>
        </is>
      </c>
      <c r="T67" s="18" t="inlineStr">
        <is>
          <t>Abrir ↗</t>
        </is>
      </c>
      <c r="U67" s="21" t="inlineStr">
        <is>
          <t>otros</t>
        </is>
      </c>
      <c r="V67" s="20" t="inlineStr"/>
    </row>
    <row r="68" ht="46" customHeight="1">
      <c r="A68" s="9" t="inlineStr">
        <is>
          <t>SoHo</t>
        </is>
      </c>
      <c r="B68" s="10" t="inlineStr">
        <is>
          <t>Barrio histórico</t>
        </is>
      </c>
      <c r="C68" s="11" t="inlineStr">
        <is>
          <t>Barrio</t>
        </is>
      </c>
      <c r="D68" s="11" t="inlineStr">
        <is>
          <t>SoHo</t>
        </is>
      </c>
      <c r="E68" s="11" t="inlineStr">
        <is>
          <t>Manhattan</t>
        </is>
      </c>
      <c r="F68" s="12" t="n">
        <v>1</v>
      </c>
      <c r="G68" s="12" t="n">
        <v>1</v>
      </c>
      <c r="H68" s="13">
        <f>IF(AND(F68=2,G68=2),"AMBOS",IF(AND(F68=2,G68&lt;2),"solo JP",IF(AND(F68&lt;2,G68=2),"solo Thais","-")))</f>
        <v/>
      </c>
      <c r="I68" s="14" t="n">
        <v>0</v>
      </c>
      <c r="J68" s="15" t="n">
        <v>1.5</v>
      </c>
      <c r="K68" s="13" t="inlineStr">
        <is>
          <t>SÍ</t>
        </is>
      </c>
      <c r="L68" s="16" t="inlineStr">
        <is>
          <t>—</t>
        </is>
      </c>
      <c r="M68" s="11" t="inlineStr">
        <is>
          <t>—</t>
        </is>
      </c>
      <c r="N68" s="16" t="inlineStr">
        <is>
          <t>—</t>
        </is>
      </c>
      <c r="O68" s="16" t="inlineStr">
        <is>
          <t>—</t>
        </is>
      </c>
      <c r="P68" s="16" t="inlineStr">
        <is>
          <t>Prince St (N,R,W), Spring St (6)</t>
        </is>
      </c>
      <c r="Q68" s="16" t="inlineStr">
        <is>
          <t>El mayor conjunto de arquitectura de hierro fundido del mundo, hoy con las marcas abajo y los lofts arriba. Es el barrio del JGStay.</t>
        </is>
      </c>
      <c r="R68" s="16" t="inlineStr"/>
      <c r="S68" s="16" t="inlineStr">
        <is>
          <t>—</t>
        </is>
      </c>
      <c r="T68" s="18" t="inlineStr">
        <is>
          <t>Abrir ↗</t>
        </is>
      </c>
      <c r="U68" s="19" t="inlineStr">
        <is>
          <t>lista google</t>
        </is>
      </c>
      <c r="V68" s="20" t="inlineStr"/>
    </row>
    <row r="69" ht="46" customHeight="1">
      <c r="A69" s="9" t="inlineStr">
        <is>
          <t>Vinegar Hill</t>
        </is>
      </c>
      <c r="B69" s="10" t="inlineStr">
        <is>
          <t>Barrio histórico</t>
        </is>
      </c>
      <c r="C69" s="11" t="inlineStr">
        <is>
          <t>Barrio</t>
        </is>
      </c>
      <c r="D69" s="11" t="inlineStr">
        <is>
          <t>DUMBO</t>
        </is>
      </c>
      <c r="E69" s="11" t="inlineStr">
        <is>
          <t>Brooklyn</t>
        </is>
      </c>
      <c r="F69" s="12" t="n">
        <v>1</v>
      </c>
      <c r="G69" s="12" t="n">
        <v>1</v>
      </c>
      <c r="H69" s="13">
        <f>IF(AND(F69=2,G69=2),"AMBOS",IF(AND(F69=2,G69&lt;2),"solo JP",IF(AND(F69&lt;2,G69=2),"solo Thais","-")))</f>
        <v/>
      </c>
      <c r="I69" s="14" t="n">
        <v>0</v>
      </c>
      <c r="J69" s="15" t="n">
        <v>0.5</v>
      </c>
      <c r="K69" s="13" t="inlineStr">
        <is>
          <t>no</t>
        </is>
      </c>
      <c r="L69" s="16" t="inlineStr">
        <is>
          <t>—</t>
        </is>
      </c>
      <c r="M69" s="11" t="inlineStr">
        <is>
          <t>—</t>
        </is>
      </c>
      <c r="N69" s="16" t="inlineStr">
        <is>
          <t>—</t>
        </is>
      </c>
      <c r="O69" s="16" t="inlineStr">
        <is>
          <t>—</t>
        </is>
      </c>
      <c r="P69" s="16" t="inlineStr">
        <is>
          <t>York St (F), High St (A,C)</t>
        </is>
      </c>
      <c r="Q69" s="16" t="inlineStr">
        <is>
          <t>uno de los distritos históricos más chicos de Nueva York — tres cuadras de casas federales y Greek Revival sobre adoquines belgas de verdad, encajadas entre DUMBO y el Brooklyn Navy Yard, con 2.700 habitantes.</t>
        </is>
      </c>
      <c r="R69" s="16" t="inlineStr">
        <is>
          <t>Hudson Ave &amp; Front St, Brooklyn</t>
        </is>
      </c>
      <c r="S69" s="16" t="inlineStr">
        <is>
          <t>—</t>
        </is>
      </c>
      <c r="T69" s="18" t="inlineStr">
        <is>
          <t>Abrir ↗</t>
        </is>
      </c>
      <c r="U69" s="21" t="inlineStr">
        <is>
          <t>otros</t>
        </is>
      </c>
      <c r="V69" s="20" t="inlineStr"/>
    </row>
    <row r="70" ht="46" customHeight="1">
      <c r="A70" s="9" t="inlineStr">
        <is>
          <t>West Village</t>
        </is>
      </c>
      <c r="B70" s="10" t="inlineStr">
        <is>
          <t>Barrio histórico</t>
        </is>
      </c>
      <c r="C70" s="11" t="inlineStr">
        <is>
          <t>Barrio</t>
        </is>
      </c>
      <c r="D70" s="11" t="inlineStr">
        <is>
          <t>West Village</t>
        </is>
      </c>
      <c r="E70" s="11" t="inlineStr">
        <is>
          <t>Manhattan</t>
        </is>
      </c>
      <c r="F70" s="12" t="n">
        <v>2</v>
      </c>
      <c r="G70" s="12" t="n">
        <v>0</v>
      </c>
      <c r="H70" s="13">
        <f>IF(AND(F70=2,G70=2),"AMBOS",IF(AND(F70=2,G70&lt;2),"solo JP",IF(AND(F70&lt;2,G70=2),"solo Thais","-")))</f>
        <v/>
      </c>
      <c r="I70" s="14" t="n">
        <v>0</v>
      </c>
      <c r="J70" s="15" t="n">
        <v>3</v>
      </c>
      <c r="K70" s="13" t="inlineStr">
        <is>
          <t>SÍ</t>
        </is>
      </c>
      <c r="L70" s="16" t="inlineStr">
        <is>
          <t>—</t>
        </is>
      </c>
      <c r="M70" s="11" t="inlineStr">
        <is>
          <t>—</t>
        </is>
      </c>
      <c r="N70" s="16" t="inlineStr">
        <is>
          <t>—</t>
        </is>
      </c>
      <c r="O70" s="16" t="inlineStr">
        <is>
          <t>—</t>
        </is>
      </c>
      <c r="P70" s="16" t="inlineStr">
        <is>
          <t>Christopher St (1), W 4 St (A,B,C,D,E,F,M)</t>
        </is>
      </c>
      <c r="Q70" s="16" t="inlineStr">
        <is>
          <t>La unica grilla rota de Manhattan: calles curvas de 1800, casas bajas de ladrillo, y todos los clubes de jazz historicos a cuatro cuadras uno de otro. Se camina sin plan.</t>
        </is>
      </c>
      <c r="R70" s="16" t="inlineStr">
        <is>
          <t>Bleecker St &amp; Bank St</t>
        </is>
      </c>
      <c r="S70" s="17" t="inlineStr">
        <is>
          <t>Día 4 · mar 1/9</t>
        </is>
      </c>
      <c r="T70" s="18" t="inlineStr">
        <is>
          <t>Abrir ↗</t>
        </is>
      </c>
      <c r="U70" s="21" t="inlineStr">
        <is>
          <t>otros</t>
        </is>
      </c>
      <c r="V70" s="20" t="inlineStr"/>
    </row>
    <row r="71" ht="46" customHeight="1">
      <c r="A71" s="9" t="inlineStr">
        <is>
          <t>Arthur Avenue (Belmont)</t>
        </is>
      </c>
      <c r="B71" s="10" t="inlineStr">
        <is>
          <t>Barrio étnico</t>
        </is>
      </c>
      <c r="C71" s="11" t="inlineStr">
        <is>
          <t>Barrio</t>
        </is>
      </c>
      <c r="D71" s="11" t="inlineStr">
        <is>
          <t>Belmont</t>
        </is>
      </c>
      <c r="E71" s="11" t="inlineStr">
        <is>
          <t>Bronx</t>
        </is>
      </c>
      <c r="F71" s="12" t="n">
        <v>2</v>
      </c>
      <c r="G71" s="12" t="n">
        <v>2</v>
      </c>
      <c r="H71" s="13">
        <f>IF(AND(F71=2,G71=2),"AMBOS",IF(AND(F71=2,G71&lt;2),"solo JP",IF(AND(F71&lt;2,G71=2),"solo Thais","-")))</f>
        <v/>
      </c>
      <c r="I71" s="14" t="n">
        <v>0</v>
      </c>
      <c r="J71" s="15" t="n">
        <v>4.5</v>
      </c>
      <c r="K71" s="13" t="inlineStr">
        <is>
          <t>no</t>
        </is>
      </c>
      <c r="L71" s="16" t="inlineStr">
        <is>
          <t>—</t>
        </is>
      </c>
      <c r="M71" s="11" t="inlineStr">
        <is>
          <t>—</t>
        </is>
      </c>
      <c r="N71" s="16" t="inlineStr">
        <is>
          <t>—</t>
        </is>
      </c>
      <c r="O71" s="16" t="inlineStr">
        <is>
          <t>—</t>
        </is>
      </c>
      <c r="P71" s="16" t="inlineStr">
        <is>
          <t>Fordham Rd (B,D,4) o Metro-North a Fordham</t>
        </is>
      </c>
      <c r="Q71" s="16" t="inlineStr">
        <is>
          <t>La Little Italy real. En Mulberry Street quedan ocho restaurantes para turistas; aca quedan las carnicerias, los panaderos de 1918 y la gente haciendo las compras. Encima hay un enclave albanes.</t>
        </is>
      </c>
      <c r="R71" s="16" t="inlineStr">
        <is>
          <t>Arthur Ave &amp; E 187th St, Bronx</t>
        </is>
      </c>
      <c r="S71" s="17" t="inlineStr">
        <is>
          <t>Día 1 · sáb 29/8</t>
        </is>
      </c>
      <c r="T71" s="18" t="inlineStr">
        <is>
          <t>Abrir ↗</t>
        </is>
      </c>
      <c r="U71" s="19" t="inlineStr">
        <is>
          <t>lista google</t>
        </is>
      </c>
      <c r="V71" s="20" t="inlineStr"/>
    </row>
    <row r="72" ht="46" customHeight="1">
      <c r="A72" s="9" t="inlineStr">
        <is>
          <t>Astoria</t>
        </is>
      </c>
      <c r="B72" s="10" t="inlineStr">
        <is>
          <t>Barrio étnico</t>
        </is>
      </c>
      <c r="C72" s="11" t="inlineStr">
        <is>
          <t>Barrio</t>
        </is>
      </c>
      <c r="D72" s="11" t="inlineStr">
        <is>
          <t>Astoria</t>
        </is>
      </c>
      <c r="E72" s="11" t="inlineStr">
        <is>
          <t>Queens</t>
        </is>
      </c>
      <c r="F72" s="12" t="n">
        <v>2</v>
      </c>
      <c r="G72" s="12" t="n">
        <v>2</v>
      </c>
      <c r="H72" s="13">
        <f>IF(AND(F72=2,G72=2),"AMBOS",IF(AND(F72=2,G72&lt;2),"solo JP",IF(AND(F72&lt;2,G72=2),"solo Thais","-")))</f>
        <v/>
      </c>
      <c r="I72" s="14" t="n">
        <v>0</v>
      </c>
      <c r="J72" s="15" t="n">
        <v>5</v>
      </c>
      <c r="K72" s="13" t="inlineStr">
        <is>
          <t>no</t>
        </is>
      </c>
      <c r="L72" s="16" t="inlineStr">
        <is>
          <t>—</t>
        </is>
      </c>
      <c r="M72" s="11" t="inlineStr">
        <is>
          <t>—</t>
        </is>
      </c>
      <c r="N72" s="16" t="inlineStr">
        <is>
          <t>—</t>
        </is>
      </c>
      <c r="O72" s="16" t="inlineStr">
        <is>
          <t>—</t>
        </is>
      </c>
      <c r="P72" s="16" t="inlineStr">
        <is>
          <t>Broadway o 30 Av (N,W)</t>
        </is>
      </c>
      <c r="Q72" s="16" t="inlineStr">
        <is>
          <t>El nucleo griego real, no la version de menu turistico. En una sola caminata: Socrates Sculpture Park, el Noguchi, tabernas griegas y Astoria Park bajo el Hell Gate Bridge al atardecer.</t>
        </is>
      </c>
      <c r="R72" s="16" t="inlineStr">
        <is>
          <t>30th Ave &amp; 31st St, Astoria</t>
        </is>
      </c>
      <c r="S72" s="16" t="inlineStr">
        <is>
          <t>—</t>
        </is>
      </c>
      <c r="T72" s="18" t="inlineStr">
        <is>
          <t>Abrir ↗</t>
        </is>
      </c>
      <c r="U72" s="21" t="inlineStr">
        <is>
          <t>otros</t>
        </is>
      </c>
      <c r="V72" s="20" t="inlineStr"/>
    </row>
    <row r="73" ht="46" customHeight="1">
      <c r="A73" s="9" t="inlineStr">
        <is>
          <t>Bay Ridge</t>
        </is>
      </c>
      <c r="B73" s="10" t="inlineStr">
        <is>
          <t>Barrio étnico</t>
        </is>
      </c>
      <c r="C73" s="11" t="inlineStr">
        <is>
          <t>Barrio</t>
        </is>
      </c>
      <c r="D73" s="11" t="inlineStr">
        <is>
          <t>Bay Ridge</t>
        </is>
      </c>
      <c r="E73" s="11" t="inlineStr">
        <is>
          <t>Brooklyn</t>
        </is>
      </c>
      <c r="F73" s="12" t="n">
        <v>1</v>
      </c>
      <c r="G73" s="12" t="n">
        <v>1</v>
      </c>
      <c r="H73" s="13">
        <f>IF(AND(F73=2,G73=2),"AMBOS",IF(AND(F73=2,G73&lt;2),"solo JP",IF(AND(F73&lt;2,G73=2),"solo Thais","-")))</f>
        <v/>
      </c>
      <c r="I73" s="14" t="n">
        <v>0</v>
      </c>
      <c r="J73" s="15" t="n">
        <v>3.5</v>
      </c>
      <c r="K73" s="13" t="inlineStr">
        <is>
          <t>no</t>
        </is>
      </c>
      <c r="L73" s="16" t="inlineStr">
        <is>
          <t>—</t>
        </is>
      </c>
      <c r="M73" s="11" t="inlineStr">
        <is>
          <t>—</t>
        </is>
      </c>
      <c r="N73" s="16" t="inlineStr">
        <is>
          <t>—</t>
        </is>
      </c>
      <c r="O73" s="16" t="inlineStr">
        <is>
          <t>—</t>
        </is>
      </c>
      <c r="P73" s="16" t="inlineStr">
        <is>
          <t>86 St o Bay Ridge Av (R)</t>
        </is>
      </c>
      <c r="Q73" s="16" t="inlineStr">
        <is>
          <t>Enclave libanes-palestino-sirio sobre 5th Avenue, mas el mejor paseo costero de la ciudad: se camina hasta quedar literalmente debajo del Verrazzano-Narrows Bridge.</t>
        </is>
      </c>
      <c r="R73" s="16" t="inlineStr">
        <is>
          <t>5th Ave &amp; 86th St, Brooklyn</t>
        </is>
      </c>
      <c r="S73" s="16" t="inlineStr">
        <is>
          <t>—</t>
        </is>
      </c>
      <c r="T73" s="18" t="inlineStr">
        <is>
          <t>Abrir ↗</t>
        </is>
      </c>
      <c r="U73" s="21" t="inlineStr">
        <is>
          <t>otros</t>
        </is>
      </c>
      <c r="V73" s="20" t="inlineStr"/>
    </row>
    <row r="74" ht="46" customHeight="1">
      <c r="A74" s="9" t="inlineStr">
        <is>
          <t>Chinatown (Manhattan)</t>
        </is>
      </c>
      <c r="B74" s="10" t="inlineStr">
        <is>
          <t>Barrio étnico</t>
        </is>
      </c>
      <c r="C74" s="11" t="inlineStr">
        <is>
          <t>Barrio</t>
        </is>
      </c>
      <c r="D74" s="11" t="inlineStr">
        <is>
          <t>Chinatown</t>
        </is>
      </c>
      <c r="E74" s="11" t="inlineStr">
        <is>
          <t>Manhattan</t>
        </is>
      </c>
      <c r="F74" s="12" t="n">
        <v>2</v>
      </c>
      <c r="G74" s="12" t="n">
        <v>2</v>
      </c>
      <c r="H74" s="13">
        <f>IF(AND(F74=2,G74=2),"AMBOS",IF(AND(F74=2,G74&lt;2),"solo JP",IF(AND(F74&lt;2,G74=2),"solo Thais","-")))</f>
        <v/>
      </c>
      <c r="I74" s="14" t="n">
        <v>0</v>
      </c>
      <c r="J74" s="15" t="n">
        <v>2.5</v>
      </c>
      <c r="K74" s="13" t="inlineStr">
        <is>
          <t>SÍ</t>
        </is>
      </c>
      <c r="L74" s="16" t="inlineStr">
        <is>
          <t>—</t>
        </is>
      </c>
      <c r="M74" s="11" t="inlineStr">
        <is>
          <t>—</t>
        </is>
      </c>
      <c r="N74" s="16" t="inlineStr">
        <is>
          <t>—</t>
        </is>
      </c>
      <c r="O74" s="16" t="inlineStr">
        <is>
          <t>—</t>
        </is>
      </c>
      <c r="P74" s="16" t="inlineStr">
        <is>
          <t>Canal St (J,N,Q,R,W,Z,6), Grand St (B,D)</t>
        </is>
      </c>
      <c r="Q74" s="16" t="inlineStr">
        <is>
          <t>El mas antiguo y todavia el mas denso. Vale por el paisaje urbano y las pescaderias de la calle, no tanto por los restaurantes (para eso, Flushing o Sunset Park).</t>
        </is>
      </c>
      <c r="R74" s="16" t="inlineStr">
        <is>
          <t>Mott St &amp; Canal St</t>
        </is>
      </c>
      <c r="S74" s="17" t="inlineStr">
        <is>
          <t>Día 2 · dom 30/8</t>
        </is>
      </c>
      <c r="T74" s="18" t="inlineStr">
        <is>
          <t>Abrir ↗</t>
        </is>
      </c>
      <c r="U74" s="21" t="inlineStr">
        <is>
          <t>otros</t>
        </is>
      </c>
      <c r="V74" s="20" t="inlineStr">
        <is>
          <t>SÍ</t>
        </is>
      </c>
    </row>
    <row r="75" ht="46" customHeight="1">
      <c r="A75" s="9" t="inlineStr">
        <is>
          <t>Flushing</t>
        </is>
      </c>
      <c r="B75" s="10" t="inlineStr">
        <is>
          <t>Barrio étnico</t>
        </is>
      </c>
      <c r="C75" s="11" t="inlineStr">
        <is>
          <t>Barrio</t>
        </is>
      </c>
      <c r="D75" s="11" t="inlineStr">
        <is>
          <t>Flushing</t>
        </is>
      </c>
      <c r="E75" s="11" t="inlineStr">
        <is>
          <t>Queens</t>
        </is>
      </c>
      <c r="F75" s="12" t="n">
        <v>1</v>
      </c>
      <c r="G75" s="12" t="n">
        <v>1</v>
      </c>
      <c r="H75" s="13">
        <f>IF(AND(F75=2,G75=2),"AMBOS",IF(AND(F75=2,G75&lt;2),"solo JP",IF(AND(F75&lt;2,G75=2),"solo Thais","-")))</f>
        <v/>
      </c>
      <c r="I75" s="14" t="n">
        <v>0</v>
      </c>
      <c r="J75" s="15" t="n">
        <v>4</v>
      </c>
      <c r="K75" s="13" t="inlineStr">
        <is>
          <t>no</t>
        </is>
      </c>
      <c r="L75" s="16" t="inlineStr">
        <is>
          <t>—</t>
        </is>
      </c>
      <c r="M75" s="11" t="inlineStr">
        <is>
          <t>—</t>
        </is>
      </c>
      <c r="N75" s="16" t="inlineStr">
        <is>
          <t>—</t>
        </is>
      </c>
      <c r="O75" s="16" t="inlineStr">
        <is>
          <t>—</t>
        </is>
      </c>
      <c r="P75" s="16" t="inlineStr">
        <is>
          <t>Main St (7), ultima parada</t>
        </is>
      </c>
      <c r="Q75" s="16" t="inlineStr">
        <is>
          <t>El Chinatown mas grande y mas regional de la ciudad: dongbei, Xi'an, uigur, taiwanes, y coreano al lado. El de Manhattan es mayormente cantones y turistico; aca se come regional de verdad. OJO: el 7 va lleno por el US Open.</t>
        </is>
      </c>
      <c r="R75" s="16" t="inlineStr">
        <is>
          <t>Main St &amp; Roosevelt Ave, Flushing</t>
        </is>
      </c>
      <c r="S75" s="16" t="inlineStr">
        <is>
          <t>—</t>
        </is>
      </c>
      <c r="T75" s="18" t="inlineStr">
        <is>
          <t>Abrir ↗</t>
        </is>
      </c>
      <c r="U75" s="21" t="inlineStr">
        <is>
          <t>otros</t>
        </is>
      </c>
      <c r="V75" s="20" t="inlineStr"/>
    </row>
    <row r="76" ht="46" customHeight="1">
      <c r="A76" s="9" t="inlineStr">
        <is>
          <t>Greenpoint</t>
        </is>
      </c>
      <c r="B76" s="10" t="inlineStr">
        <is>
          <t>Barrio étnico</t>
        </is>
      </c>
      <c r="C76" s="11" t="inlineStr">
        <is>
          <t>Barrio</t>
        </is>
      </c>
      <c r="D76" s="11" t="inlineStr">
        <is>
          <t>Greenpoint</t>
        </is>
      </c>
      <c r="E76" s="11" t="inlineStr">
        <is>
          <t>Brooklyn</t>
        </is>
      </c>
      <c r="F76" s="12" t="n">
        <v>1</v>
      </c>
      <c r="G76" s="12" t="n">
        <v>1</v>
      </c>
      <c r="H76" s="13">
        <f>IF(AND(F76=2,G76=2),"AMBOS",IF(AND(F76=2,G76&lt;2),"solo JP",IF(AND(F76&lt;2,G76=2),"solo Thais","-")))</f>
        <v/>
      </c>
      <c r="I76" s="14" t="n">
        <v>0</v>
      </c>
      <c r="J76" s="15" t="n">
        <v>4</v>
      </c>
      <c r="K76" s="13" t="inlineStr">
        <is>
          <t>no</t>
        </is>
      </c>
      <c r="L76" s="16" t="inlineStr">
        <is>
          <t>—</t>
        </is>
      </c>
      <c r="M76" s="11" t="inlineStr">
        <is>
          <t>—</t>
        </is>
      </c>
      <c r="N76" s="16" t="inlineStr">
        <is>
          <t>—</t>
        </is>
      </c>
      <c r="O76" s="16" t="inlineStr">
        <is>
          <t>—</t>
        </is>
      </c>
      <c r="P76" s="16" t="inlineStr">
        <is>
          <t>Nassau Av o Greenpoint Av (G)</t>
        </is>
      </c>
      <c r="Q76" s="16" t="inlineStr">
        <is>
          <t>La Polonia de Nueva York, todavia funcionando: carnicerias, panaderias y bares donde se pide en polaco. Es el ultimo barrio etnico europeo intacto; el resto se gentrifico del todo.</t>
        </is>
      </c>
      <c r="R76" s="16" t="inlineStr">
        <is>
          <t>Manhattan Ave &amp; Nassau Ave, Brooklyn</t>
        </is>
      </c>
      <c r="S76" s="16" t="inlineStr">
        <is>
          <t>—</t>
        </is>
      </c>
      <c r="T76" s="18" t="inlineStr">
        <is>
          <t>Abrir ↗</t>
        </is>
      </c>
      <c r="U76" s="21" t="inlineStr">
        <is>
          <t>otros</t>
        </is>
      </c>
      <c r="V76" s="20" t="inlineStr"/>
    </row>
    <row r="77" ht="46" customHeight="1">
      <c r="A77" s="9" t="inlineStr">
        <is>
          <t>Jackson Heights</t>
        </is>
      </c>
      <c r="B77" s="10" t="inlineStr">
        <is>
          <t>Barrio étnico</t>
        </is>
      </c>
      <c r="C77" s="11" t="inlineStr">
        <is>
          <t>Barrio</t>
        </is>
      </c>
      <c r="D77" s="11" t="inlineStr">
        <is>
          <t>Jackson Heights</t>
        </is>
      </c>
      <c r="E77" s="11" t="inlineStr">
        <is>
          <t>Queens</t>
        </is>
      </c>
      <c r="F77" s="12" t="n">
        <v>0</v>
      </c>
      <c r="G77" s="12" t="n">
        <v>0</v>
      </c>
      <c r="H77" s="13">
        <f>IF(AND(F77=2,G77=2),"AMBOS",IF(AND(F77=2,G77&lt;2),"solo JP",IF(AND(F77&lt;2,G77=2),"solo Thais","-")))</f>
        <v/>
      </c>
      <c r="I77" s="14" t="n">
        <v>0</v>
      </c>
      <c r="J77" s="15" t="n">
        <v>4.5</v>
      </c>
      <c r="K77" s="13" t="inlineStr">
        <is>
          <t>no</t>
        </is>
      </c>
      <c r="L77" s="16" t="inlineStr">
        <is>
          <t>—</t>
        </is>
      </c>
      <c r="M77" s="11" t="inlineStr">
        <is>
          <t>—</t>
        </is>
      </c>
      <c r="N77" s="16" t="inlineStr">
        <is>
          <t>—</t>
        </is>
      </c>
      <c r="O77" s="16" t="inlineStr">
        <is>
          <t>—</t>
        </is>
      </c>
      <c r="P77" s="16" t="inlineStr">
        <is>
          <t>74 St-Roosevelt Av (7,E,F,M,R)</t>
        </is>
      </c>
      <c r="Q77" s="16" t="inlineStr">
        <is>
          <t>Cuatro cuadras donde conviven el corredor indio-bangladesi de 74th St con el enclave tibetano-nepali mas denso del hemisferio occidental, mas colombianos y ecuatorianos sobre Roosevelt. Ningun otro barrio te da tres cocinas del sur de Asia caminando 300 metros.</t>
        </is>
      </c>
      <c r="R77" s="16" t="inlineStr">
        <is>
          <t>74th St &amp; Roosevelt Ave, Queens</t>
        </is>
      </c>
      <c r="S77" s="16" t="inlineStr">
        <is>
          <t>—</t>
        </is>
      </c>
      <c r="T77" s="18" t="inlineStr">
        <is>
          <t>Abrir ↗</t>
        </is>
      </c>
      <c r="U77" s="21" t="inlineStr">
        <is>
          <t>otros</t>
        </is>
      </c>
      <c r="V77" s="20" t="inlineStr"/>
    </row>
    <row r="78" ht="46" customHeight="1">
      <c r="A78" s="9" t="inlineStr">
        <is>
          <t>Ridgewood</t>
        </is>
      </c>
      <c r="B78" s="10" t="inlineStr">
        <is>
          <t>Barrio étnico</t>
        </is>
      </c>
      <c r="C78" s="11" t="inlineStr">
        <is>
          <t>Barrio</t>
        </is>
      </c>
      <c r="D78" s="11" t="inlineStr">
        <is>
          <t>Ridgewood</t>
        </is>
      </c>
      <c r="E78" s="11" t="inlineStr">
        <is>
          <t>Queens</t>
        </is>
      </c>
      <c r="F78" s="12" t="n">
        <v>1</v>
      </c>
      <c r="G78" s="12" t="n">
        <v>1</v>
      </c>
      <c r="H78" s="13">
        <f>IF(AND(F78=2,G78=2),"AMBOS",IF(AND(F78=2,G78&lt;2),"solo JP",IF(AND(F78&lt;2,G78=2),"solo Thais","-")))</f>
        <v/>
      </c>
      <c r="I78" s="14" t="n">
        <v>0</v>
      </c>
      <c r="J78" s="15" t="n">
        <v>3.5</v>
      </c>
      <c r="K78" s="13" t="inlineStr">
        <is>
          <t>no</t>
        </is>
      </c>
      <c r="L78" s="16" t="inlineStr">
        <is>
          <t>—</t>
        </is>
      </c>
      <c r="M78" s="11" t="inlineStr">
        <is>
          <t>—</t>
        </is>
      </c>
      <c r="N78" s="16" t="inlineStr">
        <is>
          <t>—</t>
        </is>
      </c>
      <c r="O78" s="16" t="inlineStr">
        <is>
          <t>—</t>
        </is>
      </c>
      <c r="P78" s="16" t="inlineStr">
        <is>
          <t>Forest Av o Seneca Av (M), Myrtle-Wyckoff (L,M)</t>
        </is>
      </c>
      <c r="Q78" s="16" t="inlineStr">
        <is>
          <t>Aleman-yugoslavo historico, ahora tambien nepali, mexicano y venezolano, con manzanas enteras de casas de ladrillo amarillo protegidas. Es lo que era Bushwick hace 15 anos, sin la puesta en escena.</t>
        </is>
      </c>
      <c r="R78" s="16" t="inlineStr">
        <is>
          <t>Forest Ave, Ridgewood, Queens</t>
        </is>
      </c>
      <c r="S78" s="16" t="inlineStr">
        <is>
          <t>—</t>
        </is>
      </c>
      <c r="T78" s="18" t="inlineStr">
        <is>
          <t>Abrir ↗</t>
        </is>
      </c>
      <c r="U78" s="21" t="inlineStr">
        <is>
          <t>otros</t>
        </is>
      </c>
      <c r="V78" s="20" t="inlineStr"/>
    </row>
    <row r="79" ht="46" customHeight="1">
      <c r="A79" s="9" t="inlineStr">
        <is>
          <t>Sunset Park (barrio)</t>
        </is>
      </c>
      <c r="B79" s="10" t="inlineStr">
        <is>
          <t>Barrio étnico</t>
        </is>
      </c>
      <c r="C79" s="11" t="inlineStr">
        <is>
          <t>Barrio</t>
        </is>
      </c>
      <c r="D79" s="11" t="inlineStr">
        <is>
          <t>Sunset Park</t>
        </is>
      </c>
      <c r="E79" s="11" t="inlineStr">
        <is>
          <t>Brooklyn</t>
        </is>
      </c>
      <c r="F79" s="12" t="n">
        <v>1</v>
      </c>
      <c r="G79" s="12" t="n">
        <v>1</v>
      </c>
      <c r="H79" s="13">
        <f>IF(AND(F79=2,G79=2),"AMBOS",IF(AND(F79=2,G79&lt;2),"solo JP",IF(AND(F79&lt;2,G79=2),"solo Thais","-")))</f>
        <v/>
      </c>
      <c r="I79" s="14" t="n">
        <v>0</v>
      </c>
      <c r="J79" s="15" t="n">
        <v>4.5</v>
      </c>
      <c r="K79" s="13" t="inlineStr">
        <is>
          <t>no</t>
        </is>
      </c>
      <c r="L79" s="16" t="inlineStr">
        <is>
          <t>—</t>
        </is>
      </c>
      <c r="M79" s="11" t="inlineStr">
        <is>
          <t>—</t>
        </is>
      </c>
      <c r="N79" s="16" t="inlineStr">
        <is>
          <t>—</t>
        </is>
      </c>
      <c r="O79" s="16" t="inlineStr">
        <is>
          <t>—</t>
        </is>
      </c>
      <c r="P79" s="16" t="inlineStr">
        <is>
          <t>45 St / 53 St (R), 8 Av (N)</t>
        </is>
      </c>
      <c r="Q79" s="16" t="inlineStr">
        <is>
          <t>Dos barrios paralelos: 5th Avenue es mexicana-poblana, 8th Avenue es el Chinatown fujianes (mas grande que el de Manhattan). El contraste etnico mas brusco que se puede caminar en 15 minutos.</t>
        </is>
      </c>
      <c r="R79" s="16" t="inlineStr">
        <is>
          <t>5th Ave &amp; 45th St, Brooklyn</t>
        </is>
      </c>
      <c r="S79" s="16" t="inlineStr">
        <is>
          <t>—</t>
        </is>
      </c>
      <c r="T79" s="18" t="inlineStr">
        <is>
          <t>Abrir ↗</t>
        </is>
      </c>
      <c r="U79" s="21" t="inlineStr">
        <is>
          <t>otros</t>
        </is>
      </c>
      <c r="V79" s="20" t="inlineStr"/>
    </row>
    <row r="80" ht="46" customHeight="1">
      <c r="A80" s="9" t="inlineStr">
        <is>
          <t>Governors Island</t>
        </is>
      </c>
      <c r="B80" s="10" t="inlineStr">
        <is>
          <t>Isla</t>
        </is>
      </c>
      <c r="C80" s="11" t="inlineStr">
        <is>
          <t>Barrio</t>
        </is>
      </c>
      <c r="D80" s="11" t="inlineStr">
        <is>
          <t>Governors Island</t>
        </is>
      </c>
      <c r="E80" s="11" t="inlineStr">
        <is>
          <t>Manhattan</t>
        </is>
      </c>
      <c r="F80" s="12" t="n">
        <v>1</v>
      </c>
      <c r="G80" s="12" t="n">
        <v>1</v>
      </c>
      <c r="H80" s="13">
        <f>IF(AND(F80=2,G80=2),"AMBOS",IF(AND(F80=2,G80&lt;2),"solo JP",IF(AND(F80&lt;2,G80=2),"solo Thais","-")))</f>
        <v/>
      </c>
      <c r="I80" s="14" t="n">
        <v>5</v>
      </c>
      <c r="J80" s="15" t="n">
        <v>4</v>
      </c>
      <c r="K80" s="13" t="inlineStr">
        <is>
          <t>no</t>
        </is>
      </c>
      <c r="L80" s="16" t="inlineStr">
        <is>
          <t>—</t>
        </is>
      </c>
      <c r="M80" s="11" t="inlineStr">
        <is>
          <t>—</t>
        </is>
      </c>
      <c r="N80" s="16" t="inlineStr">
        <is>
          <t>—</t>
        </is>
      </c>
      <c r="O80" s="16" t="inlineStr">
        <is>
          <t>ferry con horario</t>
        </is>
      </c>
      <c r="P80" s="16" t="inlineStr">
        <is>
          <t>Ferry desde Battery Maritime Bldg (10 South St)</t>
        </is>
      </c>
      <c r="Q80" s="16" t="inlineStr">
        <is>
          <t>Ex base militar sin autos. Outlook Hill da 360 grados con la Estatua de frente; Nolan Park tiene casas de oficiales del siglo XIX con arte adentro. Se siente fuera de la ciudad.</t>
        </is>
      </c>
      <c r="R80" s="16" t="inlineStr">
        <is>
          <t>Governors Island, New York</t>
        </is>
      </c>
      <c r="S80" s="16" t="inlineStr">
        <is>
          <t>—</t>
        </is>
      </c>
      <c r="T80" s="18" t="inlineStr">
        <is>
          <t>Abrir ↗</t>
        </is>
      </c>
      <c r="U80" s="21" t="inlineStr">
        <is>
          <t>otros</t>
        </is>
      </c>
      <c r="V80" s="20" t="inlineStr"/>
    </row>
    <row r="81" ht="46" customHeight="1">
      <c r="A81" s="9" t="inlineStr">
        <is>
          <t>Roosevelt Island</t>
        </is>
      </c>
      <c r="B81" s="10" t="inlineStr">
        <is>
          <t>Isla</t>
        </is>
      </c>
      <c r="C81" s="11" t="inlineStr">
        <is>
          <t>Barrio</t>
        </is>
      </c>
      <c r="D81" s="11" t="inlineStr">
        <is>
          <t>Roosevelt Island</t>
        </is>
      </c>
      <c r="E81" s="11" t="inlineStr">
        <is>
          <t>Manhattan</t>
        </is>
      </c>
      <c r="F81" s="12" t="n">
        <v>2</v>
      </c>
      <c r="G81" s="12" t="n">
        <v>2</v>
      </c>
      <c r="H81" s="13">
        <f>IF(AND(F81=2,G81=2),"AMBOS",IF(AND(F81=2,G81&lt;2),"solo JP",IF(AND(F81&lt;2,G81=2),"solo Thais","-")))</f>
        <v/>
      </c>
      <c r="I81" s="14" t="n">
        <v>3</v>
      </c>
      <c r="J81" s="15" t="n">
        <v>2.5</v>
      </c>
      <c r="K81" s="13" t="inlineStr">
        <is>
          <t>no</t>
        </is>
      </c>
      <c r="L81" s="16" t="inlineStr">
        <is>
          <t>—</t>
        </is>
      </c>
      <c r="M81" s="11" t="inlineStr">
        <is>
          <t>—</t>
        </is>
      </c>
      <c r="N81" s="16" t="inlineStr">
        <is>
          <t>—</t>
        </is>
      </c>
      <c r="O81" s="16" t="inlineStr">
        <is>
          <t>—</t>
        </is>
      </c>
      <c r="P81" s="16" t="inlineStr">
        <is>
          <t>Tramway (59 St &amp; 2 Av) o Roosevelt Island (F)</t>
        </is>
      </c>
      <c r="Q81" s="16" t="inlineStr">
        <is>
          <t>Se llega en teleferico por $3 y se camina hasta el FDR Four Freedoms Park de Louis Kahn, pasando por las ruinas del Smallpox Hospital. Una de las mejores obras de arquitectura moderna de la ciudad, gratis y vacia.</t>
        </is>
      </c>
      <c r="R81" s="16" t="inlineStr">
        <is>
          <t>Roosevelt Island, New York</t>
        </is>
      </c>
      <c r="S81" s="16" t="inlineStr">
        <is>
          <t>—</t>
        </is>
      </c>
      <c r="T81" s="18" t="inlineStr">
        <is>
          <t>Abrir ↗</t>
        </is>
      </c>
      <c r="U81" s="19" t="inlineStr">
        <is>
          <t>lista google</t>
        </is>
      </c>
      <c r="V81" s="20" t="inlineStr">
        <is>
          <t>SÍ</t>
        </is>
      </c>
    </row>
    <row r="82" ht="46" customHeight="1">
      <c r="A82" s="9" t="inlineStr">
        <is>
          <t>DUMBO</t>
        </is>
      </c>
      <c r="B82" s="10" t="inlineStr">
        <is>
          <t>Waterfront</t>
        </is>
      </c>
      <c r="C82" s="11" t="inlineStr">
        <is>
          <t>Barrio</t>
        </is>
      </c>
      <c r="D82" s="11" t="inlineStr">
        <is>
          <t>DUMBO</t>
        </is>
      </c>
      <c r="E82" s="11" t="inlineStr">
        <is>
          <t>Brooklyn</t>
        </is>
      </c>
      <c r="F82" s="12" t="n">
        <v>2</v>
      </c>
      <c r="G82" s="12" t="n">
        <v>1</v>
      </c>
      <c r="H82" s="13">
        <f>IF(AND(F82=2,G82=2),"AMBOS",IF(AND(F82=2,G82&lt;2),"solo JP",IF(AND(F82&lt;2,G82=2),"solo Thais","-")))</f>
        <v/>
      </c>
      <c r="I82" s="14" t="n">
        <v>0</v>
      </c>
      <c r="J82" s="15" t="n">
        <v>2</v>
      </c>
      <c r="K82" s="13" t="inlineStr">
        <is>
          <t>SÍ</t>
        </is>
      </c>
      <c r="L82" s="16" t="inlineStr">
        <is>
          <t>—</t>
        </is>
      </c>
      <c r="M82" s="11" t="inlineStr">
        <is>
          <t>—</t>
        </is>
      </c>
      <c r="N82" s="16" t="inlineStr">
        <is>
          <t>—</t>
        </is>
      </c>
      <c r="O82" s="16" t="inlineStr">
        <is>
          <t>—</t>
        </is>
      </c>
      <c r="P82" s="16" t="inlineStr">
        <is>
          <t>York St (F), High St (A,C)</t>
        </is>
      </c>
      <c r="Q82" s="16" t="inlineStr">
        <is>
          <t>La foto del Manhattan Bridge encuadrado entre edificios (Washington y Water) y Brooklyn Bridge Park abajo. Muy turistico: ir antes de las 9 de la manana o se convierte en cola de fotos.</t>
        </is>
      </c>
      <c r="R82" s="16" t="inlineStr">
        <is>
          <t>Washington St &amp; Water St, Brooklyn</t>
        </is>
      </c>
      <c r="S82" s="17" t="inlineStr">
        <is>
          <t>Día 2 · dom 30/8</t>
        </is>
      </c>
      <c r="T82" s="18" t="inlineStr">
        <is>
          <t>Abrir ↗</t>
        </is>
      </c>
      <c r="U82" s="21" t="inlineStr">
        <is>
          <t>otros</t>
        </is>
      </c>
      <c r="V82" s="20" t="inlineStr">
        <is>
          <t>SÍ</t>
        </is>
      </c>
    </row>
    <row r="83" ht="46" customHeight="1">
      <c r="A83" s="9" t="inlineStr">
        <is>
          <t>Red Hook</t>
        </is>
      </c>
      <c r="B83" s="10" t="inlineStr">
        <is>
          <t>Waterfront</t>
        </is>
      </c>
      <c r="C83" s="11" t="inlineStr">
        <is>
          <t>Barrio</t>
        </is>
      </c>
      <c r="D83" s="11" t="inlineStr">
        <is>
          <t>Red Hook</t>
        </is>
      </c>
      <c r="E83" s="11" t="inlineStr">
        <is>
          <t>Brooklyn</t>
        </is>
      </c>
      <c r="F83" s="12" t="n">
        <v>1</v>
      </c>
      <c r="G83" s="12" t="n">
        <v>1</v>
      </c>
      <c r="H83" s="13">
        <f>IF(AND(F83=2,G83=2),"AMBOS",IF(AND(F83=2,G83&lt;2),"solo JP",IF(AND(F83&lt;2,G83=2),"solo Thais","-")))</f>
        <v/>
      </c>
      <c r="I83" s="14" t="n">
        <v>0</v>
      </c>
      <c r="J83" s="15" t="n">
        <v>3.5</v>
      </c>
      <c r="K83" s="13" t="inlineStr">
        <is>
          <t>no</t>
        </is>
      </c>
      <c r="L83" s="16" t="inlineStr">
        <is>
          <t>—</t>
        </is>
      </c>
      <c r="M83" s="11" t="inlineStr">
        <is>
          <t>—</t>
        </is>
      </c>
      <c r="N83" s="16" t="inlineStr">
        <is>
          <t>—</t>
        </is>
      </c>
      <c r="O83" s="16" t="inlineStr">
        <is>
          <t>—</t>
        </is>
      </c>
      <c r="P83" s="16" t="inlineStr">
        <is>
          <t>sin subte: NYC Ferry o bus B61 desde Carroll St (F,G)</t>
        </is>
      </c>
      <c r="Q83" s="16" t="inlineStr">
        <is>
          <t>Adoquines, gruas portuarias, ni una torre a la vista. El unico barrio de NYC que se siente como un pueblo portuario. Que no tenga subte es exactamente la razon por la que sigue asi.</t>
        </is>
      </c>
      <c r="R83" s="16" t="inlineStr">
        <is>
          <t>Van Brunt St, Brooklyn</t>
        </is>
      </c>
      <c r="S83" s="16" t="inlineStr">
        <is>
          <t>—</t>
        </is>
      </c>
      <c r="T83" s="18" t="inlineStr">
        <is>
          <t>Abrir ↗</t>
        </is>
      </c>
      <c r="U83" s="21" t="inlineStr">
        <is>
          <t>otros</t>
        </is>
      </c>
      <c r="V83" s="20" t="inlineStr"/>
    </row>
    <row r="84" ht="46" customHeight="1">
      <c r="A84" s="9" t="inlineStr">
        <is>
          <t>% Arabica</t>
        </is>
      </c>
      <c r="B84" s="10" t="inlineStr">
        <is>
          <t>Café y brunch</t>
        </is>
      </c>
      <c r="C84" s="11" t="inlineStr">
        <is>
          <t>Comida</t>
        </is>
      </c>
      <c r="D84" s="11" t="inlineStr">
        <is>
          <t>Manhattan</t>
        </is>
      </c>
      <c r="E84" s="11" t="inlineStr">
        <is>
          <t>Manhattan</t>
        </is>
      </c>
      <c r="F84" s="12" t="n">
        <v>1</v>
      </c>
      <c r="G84" s="12" t="n">
        <v>1</v>
      </c>
      <c r="H84" s="13">
        <f>IF(AND(F84=2,G84=2),"AMBOS",IF(AND(F84=2,G84&lt;2),"solo JP",IF(AND(F84&lt;2,G84=2),"solo Thais","-")))</f>
        <v/>
      </c>
      <c r="I84" s="14" t="n">
        <v>10</v>
      </c>
      <c r="J84" s="15" t="n">
        <v>0.4</v>
      </c>
      <c r="K84" s="13" t="inlineStr">
        <is>
          <t>no</t>
        </is>
      </c>
      <c r="L84" s="16" t="inlineStr">
        <is>
          <t>—</t>
        </is>
      </c>
      <c r="M84" s="11" t="inlineStr">
        <is>
          <t>—</t>
        </is>
      </c>
      <c r="N84" s="16" t="inlineStr">
        <is>
          <t>—</t>
        </is>
      </c>
      <c r="O84" s="16" t="inlineStr">
        <is>
          <t>—</t>
        </is>
      </c>
      <c r="P84" s="16" t="inlineStr">
        <is>
          <t>-</t>
        </is>
      </c>
      <c r="Q84" s="16" t="inlineStr">
        <is>
          <t>Café japonés-kuwaití minimalista, buen espresso para llevar caminando.</t>
        </is>
      </c>
      <c r="R84" s="16" t="inlineStr"/>
      <c r="S84" s="16" t="inlineStr">
        <is>
          <t>—</t>
        </is>
      </c>
      <c r="T84" s="18" t="inlineStr">
        <is>
          <t>Abrir ↗</t>
        </is>
      </c>
      <c r="U84" s="19" t="inlineStr">
        <is>
          <t>lista google</t>
        </is>
      </c>
      <c r="V84" s="20" t="inlineStr"/>
    </row>
    <row r="85" ht="46" customHeight="1">
      <c r="A85" s="9" t="inlineStr">
        <is>
          <t>Bibliothèque</t>
        </is>
      </c>
      <c r="B85" s="10" t="inlineStr">
        <is>
          <t>Café y brunch</t>
        </is>
      </c>
      <c r="C85" s="11" t="inlineStr">
        <is>
          <t>Comida</t>
        </is>
      </c>
      <c r="D85" s="11" t="inlineStr">
        <is>
          <t>Manhattan</t>
        </is>
      </c>
      <c r="E85" s="11" t="inlineStr">
        <is>
          <t>Manhattan</t>
        </is>
      </c>
      <c r="F85" s="12" t="n">
        <v>1</v>
      </c>
      <c r="G85" s="12" t="n">
        <v>1</v>
      </c>
      <c r="H85" s="13">
        <f>IF(AND(F85=2,G85=2),"AMBOS",IF(AND(F85=2,G85&lt;2),"solo JP",IF(AND(F85&lt;2,G85=2),"solo Thais","-")))</f>
        <v/>
      </c>
      <c r="I85" s="14" t="n">
        <v>25</v>
      </c>
      <c r="J85" s="15" t="n">
        <v>1</v>
      </c>
      <c r="K85" s="13" t="inlineStr">
        <is>
          <t>no</t>
        </is>
      </c>
      <c r="L85" s="16" t="inlineStr">
        <is>
          <t>—</t>
        </is>
      </c>
      <c r="M85" s="11" t="inlineStr">
        <is>
          <t>—</t>
        </is>
      </c>
      <c r="N85" s="16" t="inlineStr">
        <is>
          <t>—</t>
        </is>
      </c>
      <c r="O85" s="16" t="inlineStr">
        <is>
          <t>—</t>
        </is>
      </c>
      <c r="P85" s="16" t="inlineStr">
        <is>
          <t>-</t>
        </is>
      </c>
      <c r="Q85" s="16" t="inlineStr">
        <is>
          <t>Café-librería para sentarse un rato largo sin que te apuren.</t>
        </is>
      </c>
      <c r="R85" s="16" t="inlineStr"/>
      <c r="S85" s="16" t="inlineStr">
        <is>
          <t>—</t>
        </is>
      </c>
      <c r="T85" s="18" t="inlineStr">
        <is>
          <t>Abrir ↗</t>
        </is>
      </c>
      <c r="U85" s="19" t="inlineStr">
        <is>
          <t>lista google</t>
        </is>
      </c>
      <c r="V85" s="20" t="inlineStr"/>
    </row>
    <row r="86" ht="46" customHeight="1">
      <c r="A86" s="9" t="inlineStr">
        <is>
          <t>Bluestone Lane UWS Café</t>
        </is>
      </c>
      <c r="B86" s="10" t="inlineStr">
        <is>
          <t>Café y brunch</t>
        </is>
      </c>
      <c r="C86" s="11" t="inlineStr">
        <is>
          <t>Comida</t>
        </is>
      </c>
      <c r="D86" s="11" t="inlineStr">
        <is>
          <t>Upper West Side</t>
        </is>
      </c>
      <c r="E86" s="11" t="inlineStr">
        <is>
          <t>Manhattan</t>
        </is>
      </c>
      <c r="F86" s="12" t="n">
        <v>1</v>
      </c>
      <c r="G86" s="12" t="n">
        <v>1</v>
      </c>
      <c r="H86" s="13">
        <f>IF(AND(F86=2,G86=2),"AMBOS",IF(AND(F86=2,G86&lt;2),"solo JP",IF(AND(F86&lt;2,G86=2),"solo Thais","-")))</f>
        <v/>
      </c>
      <c r="I86" s="14" t="n">
        <v>18</v>
      </c>
      <c r="J86" s="15" t="n">
        <v>0.6</v>
      </c>
      <c r="K86" s="13" t="inlineStr">
        <is>
          <t>no</t>
        </is>
      </c>
      <c r="L86" s="16" t="inlineStr">
        <is>
          <t>—</t>
        </is>
      </c>
      <c r="M86" s="11" t="inlineStr">
        <is>
          <t>—</t>
        </is>
      </c>
      <c r="N86" s="16" t="inlineStr">
        <is>
          <t>—</t>
        </is>
      </c>
      <c r="O86" s="16" t="inlineStr">
        <is>
          <t>—</t>
        </is>
      </c>
      <c r="P86" s="16" t="inlineStr">
        <is>
          <t>79 St (1)</t>
        </is>
      </c>
      <c r="Q86" s="16" t="inlineStr">
        <is>
          <t>Café australiano: flat white decente y avocado toast, a tres cuadras de The Beacon.</t>
        </is>
      </c>
      <c r="R86" s="16" t="inlineStr"/>
      <c r="S86" s="16" t="inlineStr">
        <is>
          <t>—</t>
        </is>
      </c>
      <c r="T86" s="18" t="inlineStr">
        <is>
          <t>Abrir ↗</t>
        </is>
      </c>
      <c r="U86" s="19" t="inlineStr">
        <is>
          <t>lista google</t>
        </is>
      </c>
      <c r="V86" s="20" t="inlineStr"/>
    </row>
    <row r="87" ht="46" customHeight="1">
      <c r="A87" s="9" t="inlineStr">
        <is>
          <t>Bubby's Tribeca</t>
        </is>
      </c>
      <c r="B87" s="10" t="inlineStr">
        <is>
          <t>Café y brunch</t>
        </is>
      </c>
      <c r="C87" s="11" t="inlineStr">
        <is>
          <t>Comida</t>
        </is>
      </c>
      <c r="D87" s="11" t="inlineStr">
        <is>
          <t>Tribeca</t>
        </is>
      </c>
      <c r="E87" s="11" t="inlineStr">
        <is>
          <t>Manhattan</t>
        </is>
      </c>
      <c r="F87" s="12" t="n">
        <v>1</v>
      </c>
      <c r="G87" s="12" t="n">
        <v>1</v>
      </c>
      <c r="H87" s="13">
        <f>IF(AND(F87=2,G87=2),"AMBOS",IF(AND(F87=2,G87&lt;2),"solo JP",IF(AND(F87&lt;2,G87=2),"solo Thais","-")))</f>
        <v/>
      </c>
      <c r="I87" s="14" t="n">
        <v>30</v>
      </c>
      <c r="J87" s="15" t="n">
        <v>1.2</v>
      </c>
      <c r="K87" s="13" t="inlineStr">
        <is>
          <t>no</t>
        </is>
      </c>
      <c r="L87" s="16" t="inlineStr">
        <is>
          <t>—</t>
        </is>
      </c>
      <c r="M87" s="11" t="inlineStr">
        <is>
          <t>—</t>
        </is>
      </c>
      <c r="N87" s="16" t="inlineStr">
        <is>
          <t>—</t>
        </is>
      </c>
      <c r="O87" s="16" t="inlineStr">
        <is>
          <t>—</t>
        </is>
      </c>
      <c r="P87" s="16" t="inlineStr">
        <is>
          <t>Franklin St (1), Canal St (A,C,E)</t>
        </is>
      </c>
      <c r="Q87" s="16" t="inlineStr">
        <is>
          <t>Brunch americano desde 1990 en la misma esquina de Tribeca, con las tartas que le dieron el nombre. Abre 8:00. OJO: la sucursal del High Line cerro, esta es la que queda.</t>
        </is>
      </c>
      <c r="R87" s="16" t="inlineStr">
        <is>
          <t>120 Hudson St</t>
        </is>
      </c>
      <c r="S87" s="16" t="inlineStr">
        <is>
          <t>—</t>
        </is>
      </c>
      <c r="T87" s="18" t="inlineStr">
        <is>
          <t>Abrir ↗</t>
        </is>
      </c>
      <c r="U87" s="21" t="inlineStr">
        <is>
          <t>otros</t>
        </is>
      </c>
      <c r="V87" s="20" t="inlineStr"/>
    </row>
    <row r="88" ht="46" customHeight="1">
      <c r="A88" s="9" t="inlineStr">
        <is>
          <t>Culture Espresso</t>
        </is>
      </c>
      <c r="B88" s="10" t="inlineStr">
        <is>
          <t>Café y brunch</t>
        </is>
      </c>
      <c r="C88" s="11" t="inlineStr">
        <is>
          <t>Comida</t>
        </is>
      </c>
      <c r="D88" s="11" t="inlineStr">
        <is>
          <t>Midtown</t>
        </is>
      </c>
      <c r="E88" s="11" t="inlineStr">
        <is>
          <t>Manhattan</t>
        </is>
      </c>
      <c r="F88" s="12" t="n">
        <v>1</v>
      </c>
      <c r="G88" s="12" t="n">
        <v>1</v>
      </c>
      <c r="H88" s="13">
        <f>IF(AND(F88=2,G88=2),"AMBOS",IF(AND(F88=2,G88&lt;2),"solo JP",IF(AND(F88&lt;2,G88=2),"solo Thais","-")))</f>
        <v/>
      </c>
      <c r="I88" s="14" t="n">
        <v>8</v>
      </c>
      <c r="J88" s="15" t="n">
        <v>0.4</v>
      </c>
      <c r="K88" s="13" t="inlineStr">
        <is>
          <t>no</t>
        </is>
      </c>
      <c r="L88" s="16" t="inlineStr">
        <is>
          <t>—</t>
        </is>
      </c>
      <c r="M88" s="11" t="inlineStr">
        <is>
          <t>—</t>
        </is>
      </c>
      <c r="N88" s="16" t="inlineStr">
        <is>
          <t>—</t>
        </is>
      </c>
      <c r="O88" s="16" t="inlineStr">
        <is>
          <t>—</t>
        </is>
      </c>
      <c r="P88" s="16" t="inlineStr">
        <is>
          <t>34 St-Herald Sq (B,D,F,M,N,Q,R,W)</t>
        </is>
      </c>
      <c r="Q88" s="16" t="inlineStr">
        <is>
          <t>Café pequeño famoso por su cookie de chocolate, que compite en serio con Levain.</t>
        </is>
      </c>
      <c r="R88" s="16" t="inlineStr">
        <is>
          <t>72 W 38th St</t>
        </is>
      </c>
      <c r="S88" s="16" t="inlineStr">
        <is>
          <t>—</t>
        </is>
      </c>
      <c r="T88" s="18" t="inlineStr">
        <is>
          <t>Abrir ↗</t>
        </is>
      </c>
      <c r="U88" s="19" t="inlineStr">
        <is>
          <t>lista google</t>
        </is>
      </c>
      <c r="V88" s="20" t="inlineStr"/>
    </row>
    <row r="89" ht="46" customHeight="1">
      <c r="A89" s="9" t="inlineStr">
        <is>
          <t>Jack's Wife Freda</t>
        </is>
      </c>
      <c r="B89" s="10" t="inlineStr">
        <is>
          <t>Café y brunch</t>
        </is>
      </c>
      <c r="C89" s="11" t="inlineStr">
        <is>
          <t>Comida</t>
        </is>
      </c>
      <c r="D89" s="11" t="inlineStr">
        <is>
          <t>SoHo</t>
        </is>
      </c>
      <c r="E89" s="11" t="inlineStr">
        <is>
          <t>Manhattan</t>
        </is>
      </c>
      <c r="F89" s="12" t="n">
        <v>1</v>
      </c>
      <c r="G89" s="12" t="n">
        <v>1</v>
      </c>
      <c r="H89" s="13">
        <f>IF(AND(F89=2,G89=2),"AMBOS",IF(AND(F89=2,G89&lt;2),"solo JP",IF(AND(F89&lt;2,G89=2),"solo Thais","-")))</f>
        <v/>
      </c>
      <c r="I89" s="14" t="n">
        <v>30</v>
      </c>
      <c r="J89" s="15" t="n">
        <v>1</v>
      </c>
      <c r="K89" s="13" t="inlineStr">
        <is>
          <t>SÍ</t>
        </is>
      </c>
      <c r="L89" s="16" t="inlineStr">
        <is>
          <t>—</t>
        </is>
      </c>
      <c r="M89" s="11" t="inlineStr">
        <is>
          <t>—</t>
        </is>
      </c>
      <c r="N89" s="16" t="inlineStr">
        <is>
          <t>—</t>
        </is>
      </c>
      <c r="O89" s="16" t="inlineStr">
        <is>
          <t>—</t>
        </is>
      </c>
      <c r="P89" s="16" t="inlineStr">
        <is>
          <t>Spring St (6)</t>
        </is>
      </c>
      <c r="Q89" s="16" t="inlineStr">
        <is>
          <t>Brunch sudafricano-israelí, chico y siempre lleno. A dos cuadras del JGStay.</t>
        </is>
      </c>
      <c r="R89" s="16" t="inlineStr">
        <is>
          <t>224 Lafayette St</t>
        </is>
      </c>
      <c r="S89" s="16" t="inlineStr">
        <is>
          <t>—</t>
        </is>
      </c>
      <c r="T89" s="18" t="inlineStr">
        <is>
          <t>Abrir ↗</t>
        </is>
      </c>
      <c r="U89" s="19" t="inlineStr">
        <is>
          <t>lista google</t>
        </is>
      </c>
      <c r="V89" s="20" t="inlineStr"/>
    </row>
    <row r="90" ht="46" customHeight="1">
      <c r="A90" s="9" t="inlineStr">
        <is>
          <t>Sarabeth's Central Park South</t>
        </is>
      </c>
      <c r="B90" s="10" t="inlineStr">
        <is>
          <t>Café y brunch</t>
        </is>
      </c>
      <c r="C90" s="11" t="inlineStr">
        <is>
          <t>Comida</t>
        </is>
      </c>
      <c r="D90" s="11" t="inlineStr">
        <is>
          <t>Midtown</t>
        </is>
      </c>
      <c r="E90" s="11" t="inlineStr">
        <is>
          <t>Manhattan</t>
        </is>
      </c>
      <c r="F90" s="12" t="n">
        <v>1</v>
      </c>
      <c r="G90" s="12" t="n">
        <v>1</v>
      </c>
      <c r="H90" s="13">
        <f>IF(AND(F90=2,G90=2),"AMBOS",IF(AND(F90=2,G90&lt;2),"solo JP",IF(AND(F90&lt;2,G90=2),"solo Thais","-")))</f>
        <v/>
      </c>
      <c r="I90" s="14" t="n">
        <v>35</v>
      </c>
      <c r="J90" s="15" t="n">
        <v>1</v>
      </c>
      <c r="K90" s="13" t="inlineStr">
        <is>
          <t>SÍ</t>
        </is>
      </c>
      <c r="L90" s="16" t="inlineStr">
        <is>
          <t>—</t>
        </is>
      </c>
      <c r="M90" s="11" t="inlineStr">
        <is>
          <t>—</t>
        </is>
      </c>
      <c r="N90" s="16" t="inlineStr">
        <is>
          <t>—</t>
        </is>
      </c>
      <c r="O90" s="16" t="inlineStr">
        <is>
          <t>—</t>
        </is>
      </c>
      <c r="P90" s="16" t="inlineStr">
        <is>
          <t>59 St-Columbus Circle (1,A,B,C,D)</t>
        </is>
      </c>
      <c r="Q90" s="16" t="inlineStr">
        <is>
          <t>El brunch clásico del Upper East/Central Park South. Mermeladas propias, cola los domingos.</t>
        </is>
      </c>
      <c r="R90" s="16" t="inlineStr">
        <is>
          <t>40 Central Park S</t>
        </is>
      </c>
      <c r="S90" s="16" t="inlineStr">
        <is>
          <t>—</t>
        </is>
      </c>
      <c r="T90" s="18" t="inlineStr">
        <is>
          <t>Abrir ↗</t>
        </is>
      </c>
      <c r="U90" s="19" t="inlineStr">
        <is>
          <t>lista google</t>
        </is>
      </c>
      <c r="V90" s="20" t="inlineStr"/>
    </row>
    <row r="91" ht="46" customHeight="1">
      <c r="A91" s="9" t="inlineStr">
        <is>
          <t>Starbucks Reserve Roastery</t>
        </is>
      </c>
      <c r="B91" s="10" t="inlineStr">
        <is>
          <t>Café y brunch</t>
        </is>
      </c>
      <c r="C91" s="11" t="inlineStr">
        <is>
          <t>Comida</t>
        </is>
      </c>
      <c r="D91" s="11" t="inlineStr">
        <is>
          <t>Chelsea</t>
        </is>
      </c>
      <c r="E91" s="11" t="inlineStr">
        <is>
          <t>Manhattan</t>
        </is>
      </c>
      <c r="F91" s="12" t="n">
        <v>1</v>
      </c>
      <c r="G91" s="12" t="n">
        <v>1</v>
      </c>
      <c r="H91" s="13">
        <f>IF(AND(F91=2,G91=2),"AMBOS",IF(AND(F91=2,G91&lt;2),"solo JP",IF(AND(F91&lt;2,G91=2),"solo Thais","-")))</f>
        <v/>
      </c>
      <c r="I91" s="14" t="n">
        <v>15</v>
      </c>
      <c r="J91" s="15" t="n">
        <v>0.75</v>
      </c>
      <c r="K91" s="13" t="inlineStr">
        <is>
          <t>SÍ</t>
        </is>
      </c>
      <c r="L91" s="16" t="inlineStr">
        <is>
          <t>—</t>
        </is>
      </c>
      <c r="M91" s="11" t="inlineStr">
        <is>
          <t>—</t>
        </is>
      </c>
      <c r="N91" s="16" t="inlineStr">
        <is>
          <t>—</t>
        </is>
      </c>
      <c r="O91" s="16" t="inlineStr">
        <is>
          <t>—</t>
        </is>
      </c>
      <c r="P91" s="16" t="inlineStr">
        <is>
          <t>14 St (A,C,E)</t>
        </is>
      </c>
      <c r="Q91" s="16" t="inlineStr">
        <is>
          <t>La tostadora gigante a la vista: más fábrica-espectáculo que café. Entrar es gratis.</t>
        </is>
      </c>
      <c r="R91" s="16" t="inlineStr">
        <is>
          <t>61 9th Ave</t>
        </is>
      </c>
      <c r="S91" s="16" t="inlineStr">
        <is>
          <t>—</t>
        </is>
      </c>
      <c r="T91" s="18" t="inlineStr">
        <is>
          <t>Abrir ↗</t>
        </is>
      </c>
      <c r="U91" s="19" t="inlineStr">
        <is>
          <t>lista google</t>
        </is>
      </c>
      <c r="V91" s="20" t="inlineStr"/>
    </row>
    <row r="92" ht="46" customHeight="1">
      <c r="A92" s="9" t="inlineStr">
        <is>
          <t>The Grey Dog - Union Square</t>
        </is>
      </c>
      <c r="B92" s="10" t="inlineStr">
        <is>
          <t>Café y brunch</t>
        </is>
      </c>
      <c r="C92" s="11" t="inlineStr">
        <is>
          <t>Comida</t>
        </is>
      </c>
      <c r="D92" s="11" t="inlineStr">
        <is>
          <t>Union Square</t>
        </is>
      </c>
      <c r="E92" s="11" t="inlineStr">
        <is>
          <t>Manhattan</t>
        </is>
      </c>
      <c r="F92" s="12" t="n">
        <v>1</v>
      </c>
      <c r="G92" s="12" t="n">
        <v>1</v>
      </c>
      <c r="H92" s="13">
        <f>IF(AND(F92=2,G92=2),"AMBOS",IF(AND(F92=2,G92&lt;2),"solo JP",IF(AND(F92&lt;2,G92=2),"solo Thais","-")))</f>
        <v/>
      </c>
      <c r="I92" s="14" t="n">
        <v>25</v>
      </c>
      <c r="J92" s="15" t="n">
        <v>0.75</v>
      </c>
      <c r="K92" s="13" t="inlineStr">
        <is>
          <t>no</t>
        </is>
      </c>
      <c r="L92" s="16" t="inlineStr">
        <is>
          <t>—</t>
        </is>
      </c>
      <c r="M92" s="11" t="inlineStr">
        <is>
          <t>—</t>
        </is>
      </c>
      <c r="N92" s="16" t="inlineStr">
        <is>
          <t>—</t>
        </is>
      </c>
      <c r="O92" s="16" t="inlineStr">
        <is>
          <t>—</t>
        </is>
      </c>
      <c r="P92" s="16" t="inlineStr">
        <is>
          <t>14 St-Union Sq (4,5,6,L,N,Q,R,W)</t>
        </is>
      </c>
      <c r="Q92" s="16" t="inlineStr">
        <is>
          <t>Café-restaurante de barrio, desayuno todo el día, el antídoto al brunch de cola.</t>
        </is>
      </c>
      <c r="R92" s="16" t="inlineStr">
        <is>
          <t>90 University Pl</t>
        </is>
      </c>
      <c r="S92" s="16" t="inlineStr">
        <is>
          <t>—</t>
        </is>
      </c>
      <c r="T92" s="18" t="inlineStr">
        <is>
          <t>Abrir ↗</t>
        </is>
      </c>
      <c r="U92" s="19" t="inlineStr">
        <is>
          <t>lista google</t>
        </is>
      </c>
      <c r="V92" s="20" t="inlineStr"/>
    </row>
    <row r="93" ht="46" customHeight="1">
      <c r="A93" s="9" t="inlineStr">
        <is>
          <t>Double Chicken Please</t>
        </is>
      </c>
      <c r="B93" s="10" t="inlineStr">
        <is>
          <t>Coctelería</t>
        </is>
      </c>
      <c r="C93" s="11" t="inlineStr">
        <is>
          <t>Comida</t>
        </is>
      </c>
      <c r="D93" s="11" t="inlineStr">
        <is>
          <t>Lower East Side</t>
        </is>
      </c>
      <c r="E93" s="11" t="inlineStr">
        <is>
          <t>Manhattan</t>
        </is>
      </c>
      <c r="F93" s="12" t="n">
        <v>1</v>
      </c>
      <c r="G93" s="12" t="n">
        <v>1</v>
      </c>
      <c r="H93" s="13">
        <f>IF(AND(F93=2,G93=2),"AMBOS",IF(AND(F93=2,G93&lt;2),"solo JP",IF(AND(F93&lt;2,G93=2),"solo Thais","-")))</f>
        <v/>
      </c>
      <c r="I93" s="14" t="n">
        <v>40</v>
      </c>
      <c r="J93" s="15" t="n">
        <v>1.5</v>
      </c>
      <c r="K93" s="13" t="inlineStr">
        <is>
          <t>SÍ</t>
        </is>
      </c>
      <c r="L93" s="16" t="inlineStr">
        <is>
          <t>—</t>
        </is>
      </c>
      <c r="M93" s="11" t="inlineStr">
        <is>
          <t>—</t>
        </is>
      </c>
      <c r="N93" s="16" t="inlineStr">
        <is>
          <t>—</t>
        </is>
      </c>
      <c r="O93" s="16" t="inlineStr">
        <is>
          <t>—</t>
        </is>
      </c>
      <c r="P93" s="16" t="inlineStr">
        <is>
          <t>Delancey St-Essex St (F,J,M,Z)</t>
        </is>
      </c>
      <c r="Q93" s="16" t="inlineStr">
        <is>
          <t>Entra en las listas de mejores bares del mundo: cócteles que replican platos (el 'Cold Pizza' es real).</t>
        </is>
      </c>
      <c r="R93" s="16" t="inlineStr">
        <is>
          <t>115 Allen St</t>
        </is>
      </c>
      <c r="S93" s="16" t="inlineStr">
        <is>
          <t>—</t>
        </is>
      </c>
      <c r="T93" s="18" t="inlineStr">
        <is>
          <t>Abrir ↗</t>
        </is>
      </c>
      <c r="U93" s="19" t="inlineStr">
        <is>
          <t>lista google</t>
        </is>
      </c>
      <c r="V93" s="20" t="inlineStr"/>
    </row>
    <row r="94" ht="46" customHeight="1">
      <c r="A94" s="9" t="inlineStr">
        <is>
          <t>Adel's Famous Halal Food</t>
        </is>
      </c>
      <c r="B94" s="10" t="inlineStr">
        <is>
          <t>Comida al paso</t>
        </is>
      </c>
      <c r="C94" s="11" t="inlineStr">
        <is>
          <t>Comida</t>
        </is>
      </c>
      <c r="D94" s="11" t="inlineStr">
        <is>
          <t>Astoria</t>
        </is>
      </c>
      <c r="E94" s="11" t="inlineStr">
        <is>
          <t>Queens</t>
        </is>
      </c>
      <c r="F94" s="12" t="n">
        <v>1</v>
      </c>
      <c r="G94" s="12" t="n">
        <v>1</v>
      </c>
      <c r="H94" s="13">
        <f>IF(AND(F94=2,G94=2),"AMBOS",IF(AND(F94=2,G94&lt;2),"solo JP",IF(AND(F94&lt;2,G94=2),"solo Thais","-")))</f>
        <v/>
      </c>
      <c r="I94" s="14" t="n">
        <v>12</v>
      </c>
      <c r="J94" s="15" t="n">
        <v>0.5</v>
      </c>
      <c r="K94" s="13" t="inlineStr">
        <is>
          <t>no</t>
        </is>
      </c>
      <c r="L94" s="16" t="inlineStr">
        <is>
          <t>—</t>
        </is>
      </c>
      <c r="M94" s="11" t="inlineStr">
        <is>
          <t>—</t>
        </is>
      </c>
      <c r="N94" s="16" t="inlineStr">
        <is>
          <t>—</t>
        </is>
      </c>
      <c r="O94" s="16" t="inlineStr">
        <is>
          <t>—</t>
        </is>
      </c>
      <c r="P94" s="16" t="inlineStr">
        <is>
          <t>Broadway (N,W)</t>
        </is>
      </c>
      <c r="Q94" s="16" t="inlineStr">
        <is>
          <t>Carrito halal de culto: arroz amarillo, pollo y la salsa blanca, a precio de carrito.</t>
        </is>
      </c>
      <c r="R94" s="16" t="inlineStr"/>
      <c r="S94" s="16" t="inlineStr">
        <is>
          <t>—</t>
        </is>
      </c>
      <c r="T94" s="18" t="inlineStr">
        <is>
          <t>Abrir ↗</t>
        </is>
      </c>
      <c r="U94" s="19" t="inlineStr">
        <is>
          <t>lista google</t>
        </is>
      </c>
      <c r="V94" s="20" t="inlineStr"/>
    </row>
    <row r="95" ht="46" customHeight="1">
      <c r="A95" s="9" t="inlineStr">
        <is>
          <t>Bark Barbecue</t>
        </is>
      </c>
      <c r="B95" s="10" t="inlineStr">
        <is>
          <t>Comida al paso</t>
        </is>
      </c>
      <c r="C95" s="11" t="inlineStr">
        <is>
          <t>Comida</t>
        </is>
      </c>
      <c r="D95" s="11" t="inlineStr">
        <is>
          <t>Queens</t>
        </is>
      </c>
      <c r="E95" s="11" t="inlineStr">
        <is>
          <t>Queens</t>
        </is>
      </c>
      <c r="F95" s="12" t="n">
        <v>1</v>
      </c>
      <c r="G95" s="12" t="n">
        <v>1</v>
      </c>
      <c r="H95" s="13">
        <f>IF(AND(F95=2,G95=2),"AMBOS",IF(AND(F95=2,G95&lt;2),"solo JP",IF(AND(F95&lt;2,G95=2),"solo Thais","-")))</f>
        <v/>
      </c>
      <c r="I95" s="14" t="n">
        <v>25</v>
      </c>
      <c r="J95" s="15" t="n">
        <v>1</v>
      </c>
      <c r="K95" s="13" t="inlineStr">
        <is>
          <t>no</t>
        </is>
      </c>
      <c r="L95" s="16" t="inlineStr">
        <is>
          <t>—</t>
        </is>
      </c>
      <c r="M95" s="11" t="inlineStr">
        <is>
          <t>—</t>
        </is>
      </c>
      <c r="N95" s="16" t="inlineStr">
        <is>
          <t>—</t>
        </is>
      </c>
      <c r="O95" s="16" t="inlineStr">
        <is>
          <t>—</t>
        </is>
      </c>
      <c r="P95" s="16" t="inlineStr">
        <is>
          <t>-</t>
        </is>
      </c>
      <c r="Q95" s="16" t="inlineStr">
        <is>
          <t>Barbacoa texana con acento mexicano, de las mejor rankeadas de la ciudad.</t>
        </is>
      </c>
      <c r="R95" s="16" t="inlineStr"/>
      <c r="S95" s="16" t="inlineStr">
        <is>
          <t>—</t>
        </is>
      </c>
      <c r="T95" s="18" t="inlineStr">
        <is>
          <t>Abrir ↗</t>
        </is>
      </c>
      <c r="U95" s="19" t="inlineStr">
        <is>
          <t>lista google</t>
        </is>
      </c>
      <c r="V95" s="20" t="inlineStr"/>
    </row>
    <row r="96" ht="46" customHeight="1">
      <c r="A96" s="9" t="inlineStr">
        <is>
          <t>Casa Della Mozzarella</t>
        </is>
      </c>
      <c r="B96" s="10" t="inlineStr">
        <is>
          <t>Comida al paso</t>
        </is>
      </c>
      <c r="C96" s="11" t="inlineStr">
        <is>
          <t>Comida</t>
        </is>
      </c>
      <c r="D96" s="11" t="inlineStr">
        <is>
          <t>Belmont</t>
        </is>
      </c>
      <c r="E96" s="11" t="inlineStr">
        <is>
          <t>Bronx</t>
        </is>
      </c>
      <c r="F96" s="12" t="n">
        <v>2</v>
      </c>
      <c r="G96" s="12" t="n">
        <v>2</v>
      </c>
      <c r="H96" s="13">
        <f>IF(AND(F96=2,G96=2),"AMBOS",IF(AND(F96=2,G96&lt;2),"solo JP",IF(AND(F96&lt;2,G96=2),"solo Thais","-")))</f>
        <v/>
      </c>
      <c r="I96" s="14" t="n">
        <v>14</v>
      </c>
      <c r="J96" s="15" t="n">
        <v>0.5</v>
      </c>
      <c r="K96" s="13" t="inlineStr">
        <is>
          <t>no</t>
        </is>
      </c>
      <c r="L96" s="16" t="inlineStr">
        <is>
          <t>—</t>
        </is>
      </c>
      <c r="M96" s="11" t="inlineStr">
        <is>
          <t>—</t>
        </is>
      </c>
      <c r="N96" s="16" t="inlineStr">
        <is>
          <t>—</t>
        </is>
      </c>
      <c r="O96" s="16" t="inlineStr">
        <is>
          <t>—</t>
        </is>
      </c>
      <c r="P96" s="16" t="inlineStr">
        <is>
          <t>Fordham Rd (B,D,4)</t>
        </is>
      </c>
      <c r="Q96" s="16" t="inlineStr">
        <is>
          <t>Sandwich de mozzarella hecha esa manana con prosciutto y pimientos secos en pan de sesamo. Uno de los mejores sandwiches de la ciudad, y cuesta lo que una cerveza en Manhattan.</t>
        </is>
      </c>
      <c r="R96" s="16" t="inlineStr">
        <is>
          <t>604 E 187th St, Bronx</t>
        </is>
      </c>
      <c r="S96" s="16" t="inlineStr">
        <is>
          <t>—</t>
        </is>
      </c>
      <c r="T96" s="18" t="inlineStr">
        <is>
          <t>Abrir ↗</t>
        </is>
      </c>
      <c r="U96" s="19" t="inlineStr">
        <is>
          <t>lista google</t>
        </is>
      </c>
      <c r="V96" s="20" t="inlineStr"/>
    </row>
    <row r="97" ht="46" customHeight="1">
      <c r="A97" s="9" t="inlineStr">
        <is>
          <t>Cosenza's Fish Market</t>
        </is>
      </c>
      <c r="B97" s="10" t="inlineStr">
        <is>
          <t>Comida al paso</t>
        </is>
      </c>
      <c r="C97" s="11" t="inlineStr">
        <is>
          <t>Comida</t>
        </is>
      </c>
      <c r="D97" s="11" t="inlineStr">
        <is>
          <t>Belmont</t>
        </is>
      </c>
      <c r="E97" s="11" t="inlineStr">
        <is>
          <t>Bronx</t>
        </is>
      </c>
      <c r="F97" s="12" t="n">
        <v>0</v>
      </c>
      <c r="G97" s="12" t="n">
        <v>0</v>
      </c>
      <c r="H97" s="13">
        <f>IF(AND(F97=2,G97=2),"AMBOS",IF(AND(F97=2,G97&lt;2),"solo JP",IF(AND(F97&lt;2,G97=2),"solo Thais","-")))</f>
        <v/>
      </c>
      <c r="I97" s="14" t="n">
        <v>15</v>
      </c>
      <c r="J97" s="15" t="n">
        <v>0.5</v>
      </c>
      <c r="K97" s="13" t="inlineStr">
        <is>
          <t>no</t>
        </is>
      </c>
      <c r="L97" s="16" t="inlineStr">
        <is>
          <t>—</t>
        </is>
      </c>
      <c r="M97" s="11" t="inlineStr">
        <is>
          <t>—</t>
        </is>
      </c>
      <c r="N97" s="16" t="inlineStr">
        <is>
          <t>—</t>
        </is>
      </c>
      <c r="O97" s="16" t="inlineStr">
        <is>
          <t>—</t>
        </is>
      </c>
      <c r="P97" s="16" t="inlineStr">
        <is>
          <t>Fordham Rd (B,D,4)</t>
        </is>
      </c>
      <c r="Q97" s="16" t="inlineStr">
        <is>
          <t>Barra de ostras montada en la vereda, con los condimentos afuera. Se come parado en la calle. Es la mejor media hora de Arthur Avenue.</t>
        </is>
      </c>
      <c r="R97" s="16" t="inlineStr">
        <is>
          <t>2354 Arthur Ave, Bronx</t>
        </is>
      </c>
      <c r="S97" s="16" t="inlineStr">
        <is>
          <t>—</t>
        </is>
      </c>
      <c r="T97" s="18" t="inlineStr">
        <is>
          <t>Abrir ↗</t>
        </is>
      </c>
      <c r="U97" s="21" t="inlineStr">
        <is>
          <t>otros</t>
        </is>
      </c>
      <c r="V97" s="20" t="inlineStr"/>
    </row>
    <row r="98" ht="46" customHeight="1">
      <c r="A98" s="9" t="inlineStr">
        <is>
          <t>Di Palo's Fine Foods</t>
        </is>
      </c>
      <c r="B98" s="10" t="inlineStr">
        <is>
          <t>Comida al paso</t>
        </is>
      </c>
      <c r="C98" s="11" t="inlineStr">
        <is>
          <t>Comida</t>
        </is>
      </c>
      <c r="D98" s="11" t="inlineStr">
        <is>
          <t>Little Italy</t>
        </is>
      </c>
      <c r="E98" s="11" t="inlineStr">
        <is>
          <t>Manhattan</t>
        </is>
      </c>
      <c r="F98" s="12" t="n">
        <v>1</v>
      </c>
      <c r="G98" s="12" t="n">
        <v>1</v>
      </c>
      <c r="H98" s="13">
        <f>IF(AND(F98=2,G98=2),"AMBOS",IF(AND(F98=2,G98&lt;2),"solo JP",IF(AND(F98&lt;2,G98=2),"solo Thais","-")))</f>
        <v/>
      </c>
      <c r="I98" s="14" t="n">
        <v>15</v>
      </c>
      <c r="J98" s="15" t="n">
        <v>0.5</v>
      </c>
      <c r="K98" s="13" t="inlineStr">
        <is>
          <t>no</t>
        </is>
      </c>
      <c r="L98" s="16" t="inlineStr">
        <is>
          <t>—</t>
        </is>
      </c>
      <c r="M98" s="11" t="inlineStr">
        <is>
          <t>—</t>
        </is>
      </c>
      <c r="N98" s="16" t="inlineStr">
        <is>
          <t>—</t>
        </is>
      </c>
      <c r="O98" s="16" t="inlineStr">
        <is>
          <t>—</t>
        </is>
      </c>
      <c r="P98" s="16" t="inlineStr">
        <is>
          <t>Canal St (J,N,Q,R,W,6)</t>
        </is>
      </c>
      <c r="Q98" s="16" t="inlineStr">
        <is>
          <t>Cuatro generaciones cortando mozzarella desde 1925. Es la Little Italy que queda cuando se van los turistas.</t>
        </is>
      </c>
      <c r="R98" s="16" t="inlineStr">
        <is>
          <t>200 Grand St</t>
        </is>
      </c>
      <c r="S98" s="16" t="inlineStr">
        <is>
          <t>—</t>
        </is>
      </c>
      <c r="T98" s="18" t="inlineStr">
        <is>
          <t>Abrir ↗</t>
        </is>
      </c>
      <c r="U98" s="21" t="inlineStr">
        <is>
          <t>otros</t>
        </is>
      </c>
      <c r="V98" s="20" t="inlineStr"/>
    </row>
    <row r="99" ht="46" customHeight="1">
      <c r="A99" s="9" t="inlineStr">
        <is>
          <t>Gray's Papaya</t>
        </is>
      </c>
      <c r="B99" s="10" t="inlineStr">
        <is>
          <t>Comida al paso</t>
        </is>
      </c>
      <c r="C99" s="11" t="inlineStr">
        <is>
          <t>Comida</t>
        </is>
      </c>
      <c r="D99" s="11" t="inlineStr">
        <is>
          <t>Upper West Side</t>
        </is>
      </c>
      <c r="E99" s="11" t="inlineStr">
        <is>
          <t>Manhattan</t>
        </is>
      </c>
      <c r="F99" s="12" t="n">
        <v>1</v>
      </c>
      <c r="G99" s="12" t="n">
        <v>1</v>
      </c>
      <c r="H99" s="13">
        <f>IF(AND(F99=2,G99=2),"AMBOS",IF(AND(F99=2,G99&lt;2),"solo JP",IF(AND(F99&lt;2,G99=2),"solo Thais","-")))</f>
        <v/>
      </c>
      <c r="I99" s="14" t="n">
        <v>6</v>
      </c>
      <c r="J99" s="15" t="n">
        <v>0.2</v>
      </c>
      <c r="K99" s="13" t="inlineStr">
        <is>
          <t>no</t>
        </is>
      </c>
      <c r="L99" s="16" t="inlineStr">
        <is>
          <t>—</t>
        </is>
      </c>
      <c r="M99" s="11" t="inlineStr">
        <is>
          <t>—</t>
        </is>
      </c>
      <c r="N99" s="16" t="inlineStr">
        <is>
          <t>—</t>
        </is>
      </c>
      <c r="O99" s="16" t="inlineStr">
        <is>
          <t>—</t>
        </is>
      </c>
      <c r="P99" s="16" t="inlineStr">
        <is>
          <t>72 St (1,2,3)</t>
        </is>
      </c>
      <c r="Q99" s="16" t="inlineStr">
        <is>
          <t>Pancho y jugo de papaya de parado, luz de neon, abierto toda la noche desde 1973.</t>
        </is>
      </c>
      <c r="R99" s="16" t="inlineStr">
        <is>
          <t>2090 Broadway</t>
        </is>
      </c>
      <c r="S99" s="16" t="inlineStr">
        <is>
          <t>—</t>
        </is>
      </c>
      <c r="T99" s="18" t="inlineStr">
        <is>
          <t>Abrir ↗</t>
        </is>
      </c>
      <c r="U99" s="21" t="inlineStr">
        <is>
          <t>otros</t>
        </is>
      </c>
      <c r="V99" s="20" t="inlineStr"/>
    </row>
    <row r="100" ht="46" customHeight="1">
      <c r="A100" s="9" t="inlineStr">
        <is>
          <t>Los Tacos No. 1</t>
        </is>
      </c>
      <c r="B100" s="10" t="inlineStr">
        <is>
          <t>Comida al paso</t>
        </is>
      </c>
      <c r="C100" s="11" t="inlineStr">
        <is>
          <t>Comida</t>
        </is>
      </c>
      <c r="D100" s="11" t="inlineStr">
        <is>
          <t>Chelsea</t>
        </is>
      </c>
      <c r="E100" s="11" t="inlineStr">
        <is>
          <t>Manhattan</t>
        </is>
      </c>
      <c r="F100" s="12" t="n">
        <v>2</v>
      </c>
      <c r="G100" s="12" t="n">
        <v>1</v>
      </c>
      <c r="H100" s="13">
        <f>IF(AND(F100=2,G100=2),"AMBOS",IF(AND(F100=2,G100&lt;2),"solo JP",IF(AND(F100&lt;2,G100=2),"solo Thais","-")))</f>
        <v/>
      </c>
      <c r="I100" s="14" t="n">
        <v>15</v>
      </c>
      <c r="J100" s="15" t="n">
        <v>0.5</v>
      </c>
      <c r="K100" s="13" t="inlineStr">
        <is>
          <t>SÍ</t>
        </is>
      </c>
      <c r="L100" s="16" t="inlineStr">
        <is>
          <t>—</t>
        </is>
      </c>
      <c r="M100" s="11" t="inlineStr">
        <is>
          <t>—</t>
        </is>
      </c>
      <c r="N100" s="16" t="inlineStr">
        <is>
          <t>—</t>
        </is>
      </c>
      <c r="O100" s="16" t="inlineStr">
        <is>
          <t>—</t>
        </is>
      </c>
      <c r="P100" s="16" t="inlineStr">
        <is>
          <t>14 St-8 Av (A,C,E,L)</t>
        </is>
      </c>
      <c r="Q100" s="16" t="inlineStr">
        <is>
          <t>Lo mejor de Chelsea Market y de las pocas cosas por las que vale entrar. Adobada y nopal, tortilla hecha ahi. Se come parado.</t>
        </is>
      </c>
      <c r="R100" s="16" t="inlineStr">
        <is>
          <t>75 9th Ave (Chelsea Market)</t>
        </is>
      </c>
      <c r="S100" s="16" t="inlineStr">
        <is>
          <t>—</t>
        </is>
      </c>
      <c r="T100" s="18" t="inlineStr">
        <is>
          <t>Abrir ↗</t>
        </is>
      </c>
      <c r="U100" s="21" t="inlineStr">
        <is>
          <t>otros</t>
        </is>
      </c>
      <c r="V100" s="20" t="inlineStr"/>
    </row>
    <row r="101" ht="46" customHeight="1">
      <c r="A101" s="9" t="inlineStr">
        <is>
          <t>Murray's Cheese</t>
        </is>
      </c>
      <c r="B101" s="10" t="inlineStr">
        <is>
          <t>Comida al paso</t>
        </is>
      </c>
      <c r="C101" s="11" t="inlineStr">
        <is>
          <t>Comida</t>
        </is>
      </c>
      <c r="D101" s="11" t="inlineStr">
        <is>
          <t>West Village</t>
        </is>
      </c>
      <c r="E101" s="11" t="inlineStr">
        <is>
          <t>Manhattan</t>
        </is>
      </c>
      <c r="F101" s="12" t="n">
        <v>1</v>
      </c>
      <c r="G101" s="12" t="n">
        <v>1</v>
      </c>
      <c r="H101" s="13">
        <f>IF(AND(F101=2,G101=2),"AMBOS",IF(AND(F101=2,G101&lt;2),"solo JP",IF(AND(F101&lt;2,G101=2),"solo Thais","-")))</f>
        <v/>
      </c>
      <c r="I101" s="14" t="n">
        <v>15</v>
      </c>
      <c r="J101" s="15" t="n">
        <v>0.4</v>
      </c>
      <c r="K101" s="13" t="inlineStr">
        <is>
          <t>no</t>
        </is>
      </c>
      <c r="L101" s="16" t="inlineStr">
        <is>
          <t>—</t>
        </is>
      </c>
      <c r="M101" s="11" t="inlineStr">
        <is>
          <t>—</t>
        </is>
      </c>
      <c r="N101" s="16" t="inlineStr">
        <is>
          <t>—</t>
        </is>
      </c>
      <c r="O101" s="16" t="inlineStr">
        <is>
          <t>—</t>
        </is>
      </c>
      <c r="P101" s="16" t="inlineStr">
        <is>
          <t>Christopher St (1)</t>
        </is>
      </c>
      <c r="Q101" s="16" t="inlineStr">
        <is>
          <t>Queseria desde 1940, la mas vieja de la ciudad. Te hacen probar antes de comprar.</t>
        </is>
      </c>
      <c r="R101" s="16" t="inlineStr">
        <is>
          <t>254 Bleecker St</t>
        </is>
      </c>
      <c r="S101" s="16" t="inlineStr">
        <is>
          <t>—</t>
        </is>
      </c>
      <c r="T101" s="18" t="inlineStr">
        <is>
          <t>Abrir ↗</t>
        </is>
      </c>
      <c r="U101" s="21" t="inlineStr">
        <is>
          <t>otros</t>
        </is>
      </c>
      <c r="V101" s="20" t="inlineStr"/>
    </row>
    <row r="102" ht="46" customHeight="1">
      <c r="A102" s="9" t="inlineStr">
        <is>
          <t>Papaya King</t>
        </is>
      </c>
      <c r="B102" s="10" t="inlineStr">
        <is>
          <t>Comida al paso</t>
        </is>
      </c>
      <c r="C102" s="11" t="inlineStr">
        <is>
          <t>Comida</t>
        </is>
      </c>
      <c r="D102" s="11" t="inlineStr">
        <is>
          <t>Upper East Side</t>
        </is>
      </c>
      <c r="E102" s="11" t="inlineStr">
        <is>
          <t>Manhattan</t>
        </is>
      </c>
      <c r="F102" s="12" t="n">
        <v>1</v>
      </c>
      <c r="G102" s="12" t="n">
        <v>1</v>
      </c>
      <c r="H102" s="13">
        <f>IF(AND(F102=2,G102=2),"AMBOS",IF(AND(F102=2,G102&lt;2),"solo JP",IF(AND(F102&lt;2,G102=2),"solo Thais","-")))</f>
        <v/>
      </c>
      <c r="I102" s="14" t="n">
        <v>10</v>
      </c>
      <c r="J102" s="15" t="n">
        <v>0.3</v>
      </c>
      <c r="K102" s="13" t="inlineStr">
        <is>
          <t>no</t>
        </is>
      </c>
      <c r="L102" s="16" t="inlineStr">
        <is>
          <t>—</t>
        </is>
      </c>
      <c r="M102" s="11" t="inlineStr">
        <is>
          <t>—</t>
        </is>
      </c>
      <c r="N102" s="16" t="inlineStr">
        <is>
          <t>—</t>
        </is>
      </c>
      <c r="O102" s="16" t="inlineStr">
        <is>
          <t>—</t>
        </is>
      </c>
      <c r="P102" s="16" t="inlineStr">
        <is>
          <t>86 St (4,5,6)</t>
        </is>
      </c>
      <c r="Q102" s="16" t="inlineStr">
        <is>
          <t>Pancho con jugo de papaya desde 1932, el invento del que despues copiaron todos los demas. Se come parado en el mostrador. OJO: se mudo del 179 al 206 de la misma calle.</t>
        </is>
      </c>
      <c r="R102" s="16" t="inlineStr">
        <is>
          <t>206 E 86th St</t>
        </is>
      </c>
      <c r="S102" s="16" t="inlineStr">
        <is>
          <t>—</t>
        </is>
      </c>
      <c r="T102" s="18" t="inlineStr">
        <is>
          <t>Abrir ↗</t>
        </is>
      </c>
      <c r="U102" s="21" t="inlineStr">
        <is>
          <t>otros</t>
        </is>
      </c>
      <c r="V102" s="20" t="inlineStr"/>
    </row>
    <row r="103" ht="46" customHeight="1">
      <c r="A103" s="9" t="inlineStr">
        <is>
          <t>Pommes Frites</t>
        </is>
      </c>
      <c r="B103" s="10" t="inlineStr">
        <is>
          <t>Comida al paso</t>
        </is>
      </c>
      <c r="C103" s="11" t="inlineStr">
        <is>
          <t>Comida</t>
        </is>
      </c>
      <c r="D103" s="11" t="inlineStr">
        <is>
          <t>Greenwich Village</t>
        </is>
      </c>
      <c r="E103" s="11" t="inlineStr">
        <is>
          <t>Manhattan</t>
        </is>
      </c>
      <c r="F103" s="12" t="n">
        <v>1</v>
      </c>
      <c r="G103" s="12" t="n">
        <v>1</v>
      </c>
      <c r="H103" s="13">
        <f>IF(AND(F103=2,G103=2),"AMBOS",IF(AND(F103=2,G103&lt;2),"solo JP",IF(AND(F103&lt;2,G103=2),"solo Thais","-")))</f>
        <v/>
      </c>
      <c r="I103" s="14" t="n">
        <v>11</v>
      </c>
      <c r="J103" s="15" t="n">
        <v>0.3</v>
      </c>
      <c r="K103" s="13" t="inlineStr">
        <is>
          <t>no</t>
        </is>
      </c>
      <c r="L103" s="16" t="inlineStr">
        <is>
          <t>—</t>
        </is>
      </c>
      <c r="M103" s="11" t="inlineStr">
        <is>
          <t>—</t>
        </is>
      </c>
      <c r="N103" s="16" t="inlineStr">
        <is>
          <t>—</t>
        </is>
      </c>
      <c r="O103" s="16" t="inlineStr">
        <is>
          <t>—</t>
        </is>
      </c>
      <c r="P103" s="16" t="inlineStr">
        <is>
          <t>W 4 St (A,C,E,B,D,F,M)</t>
        </is>
      </c>
      <c r="Q103" s="16" t="inlineStr">
        <is>
          <t>papas belgas doble fritura en cono de papel, con una lista larga de salsas (la de trufa y la de mango-chutney-mayo son las clásicas). No es una comida, es lo que se come a las 2 de la mañana.</t>
        </is>
      </c>
      <c r="R103" s="16" t="inlineStr">
        <is>
          <t>128 MacDougal St</t>
        </is>
      </c>
      <c r="S103" s="16" t="inlineStr">
        <is>
          <t>—</t>
        </is>
      </c>
      <c r="T103" s="18" t="inlineStr">
        <is>
          <t>Abrir ↗</t>
        </is>
      </c>
      <c r="U103" s="21" t="inlineStr">
        <is>
          <t>otros</t>
        </is>
      </c>
      <c r="V103" s="20" t="inlineStr"/>
    </row>
    <row r="104" ht="46" customHeight="1">
      <c r="A104" s="9" t="inlineStr">
        <is>
          <t>Xi'an Famous Foods (W 45th)</t>
        </is>
      </c>
      <c r="B104" s="10" t="inlineStr">
        <is>
          <t>Comida al paso</t>
        </is>
      </c>
      <c r="C104" s="11" t="inlineStr">
        <is>
          <t>Comida</t>
        </is>
      </c>
      <c r="D104" s="11" t="inlineStr">
        <is>
          <t>Midtown</t>
        </is>
      </c>
      <c r="E104" s="11" t="inlineStr">
        <is>
          <t>Manhattan</t>
        </is>
      </c>
      <c r="F104" s="12" t="n">
        <v>1</v>
      </c>
      <c r="G104" s="12" t="n">
        <v>1</v>
      </c>
      <c r="H104" s="13">
        <f>IF(AND(F104=2,G104=2),"AMBOS",IF(AND(F104=2,G104&lt;2),"solo JP",IF(AND(F104&lt;2,G104=2),"solo Thais","-")))</f>
        <v/>
      </c>
      <c r="I104" s="14" t="n">
        <v>18</v>
      </c>
      <c r="J104" s="15" t="n">
        <v>0.5</v>
      </c>
      <c r="K104" s="13" t="inlineStr">
        <is>
          <t>no</t>
        </is>
      </c>
      <c r="L104" s="16" t="inlineStr">
        <is>
          <t>—</t>
        </is>
      </c>
      <c r="M104" s="11" t="inlineStr">
        <is>
          <t>—</t>
        </is>
      </c>
      <c r="N104" s="16" t="inlineStr">
        <is>
          <t>—</t>
        </is>
      </c>
      <c r="O104" s="16" t="inlineStr">
        <is>
          <t>—</t>
        </is>
      </c>
      <c r="P104" s="16" t="inlineStr">
        <is>
          <t>47-50 Sts-Rockefeller Ctr (B,D,F,M)</t>
        </is>
      </c>
      <c r="Q104" s="16" t="inlineStr">
        <is>
          <t>los *spicy cumin lamb hand-ripped noodles* (N1), fideos estirados a mano con cordero y comino. La versión para comer parado es el *spicy cumin lamb burger* (B2).</t>
        </is>
      </c>
      <c r="R104" s="16" t="inlineStr">
        <is>
          <t>60 W 45th St</t>
        </is>
      </c>
      <c r="S104" s="16" t="inlineStr">
        <is>
          <t>—</t>
        </is>
      </c>
      <c r="T104" s="18" t="inlineStr">
        <is>
          <t>Abrir ↗</t>
        </is>
      </c>
      <c r="U104" s="21" t="inlineStr">
        <is>
          <t>otros</t>
        </is>
      </c>
      <c r="V104" s="20" t="inlineStr"/>
    </row>
    <row r="105" ht="46" customHeight="1">
      <c r="A105" s="9" t="inlineStr">
        <is>
          <t>Barney Greengrass</t>
        </is>
      </c>
      <c r="B105" s="10" t="inlineStr">
        <is>
          <t>Deli y pastrami</t>
        </is>
      </c>
      <c r="C105" s="11" t="inlineStr">
        <is>
          <t>Comida</t>
        </is>
      </c>
      <c r="D105" s="11" t="inlineStr">
        <is>
          <t>Upper West Side</t>
        </is>
      </c>
      <c r="E105" s="11" t="inlineStr">
        <is>
          <t>Manhattan</t>
        </is>
      </c>
      <c r="F105" s="12" t="n">
        <v>1</v>
      </c>
      <c r="G105" s="12" t="n">
        <v>1</v>
      </c>
      <c r="H105" s="13">
        <f>IF(AND(F105=2,G105=2),"AMBOS",IF(AND(F105=2,G105&lt;2),"solo JP",IF(AND(F105&lt;2,G105=2),"solo Thais","-")))</f>
        <v/>
      </c>
      <c r="I105" s="14" t="n">
        <v>25</v>
      </c>
      <c r="J105" s="15" t="n">
        <v>1</v>
      </c>
      <c r="K105" s="13" t="inlineStr">
        <is>
          <t>no</t>
        </is>
      </c>
      <c r="L105" s="16" t="inlineStr">
        <is>
          <t>—</t>
        </is>
      </c>
      <c r="M105" s="11" t="inlineStr">
        <is>
          <t>—</t>
        </is>
      </c>
      <c r="N105" s="16" t="inlineStr">
        <is>
          <t>—</t>
        </is>
      </c>
      <c r="O105" s="16" t="inlineStr">
        <is>
          <t>—</t>
        </is>
      </c>
      <c r="P105" s="16" t="inlineStr">
        <is>
          <t>86 St (1)</t>
        </is>
      </c>
      <c r="Q105" s="16" t="inlineStr">
        <is>
          <t>'El rey del esturion' desde 1908, con el mismo linoleo. Huevos con salmon y cebolla en una mesa de formica.</t>
        </is>
      </c>
      <c r="R105" s="16" t="inlineStr">
        <is>
          <t>541 Amsterdam Ave</t>
        </is>
      </c>
      <c r="S105" s="16" t="inlineStr">
        <is>
          <t>—</t>
        </is>
      </c>
      <c r="T105" s="18" t="inlineStr">
        <is>
          <t>Abrir ↗</t>
        </is>
      </c>
      <c r="U105" s="21" t="inlineStr">
        <is>
          <t>otros</t>
        </is>
      </c>
      <c r="V105" s="20" t="inlineStr"/>
    </row>
    <row r="106" ht="46" customHeight="1">
      <c r="A106" s="9" t="inlineStr">
        <is>
          <t>Frankel's Delicatessen</t>
        </is>
      </c>
      <c r="B106" s="10" t="inlineStr">
        <is>
          <t>Deli y pastrami</t>
        </is>
      </c>
      <c r="C106" s="11" t="inlineStr">
        <is>
          <t>Comida</t>
        </is>
      </c>
      <c r="D106" s="11" t="inlineStr">
        <is>
          <t>Greenpoint</t>
        </is>
      </c>
      <c r="E106" s="11" t="inlineStr">
        <is>
          <t>Brooklyn</t>
        </is>
      </c>
      <c r="F106" s="12" t="n">
        <v>2</v>
      </c>
      <c r="G106" s="12" t="n">
        <v>2</v>
      </c>
      <c r="H106" s="13">
        <f>IF(AND(F106=2,G106=2),"AMBOS",IF(AND(F106=2,G106&lt;2),"solo JP",IF(AND(F106&lt;2,G106=2),"solo Thais","-")))</f>
        <v/>
      </c>
      <c r="I106" s="14" t="n">
        <v>20</v>
      </c>
      <c r="J106" s="15" t="n">
        <v>1</v>
      </c>
      <c r="K106" s="13" t="inlineStr">
        <is>
          <t>no</t>
        </is>
      </c>
      <c r="L106" s="16" t="inlineStr">
        <is>
          <t>—</t>
        </is>
      </c>
      <c r="M106" s="11" t="inlineStr">
        <is>
          <t>—</t>
        </is>
      </c>
      <c r="N106" s="16" t="inlineStr">
        <is>
          <t>—</t>
        </is>
      </c>
      <c r="O106" s="16" t="inlineStr">
        <is>
          <t>—</t>
        </is>
      </c>
      <c r="P106" s="16" t="inlineStr">
        <is>
          <t>Nassau Av (G)</t>
        </is>
      </c>
      <c r="Q106" s="16" t="inlineStr">
        <is>
          <t>El pastrami-huevo-queso sobre challah entro en la lista del NYT de sandwiches que definen NYC. Deli judio version Brooklyn contemporaneo.</t>
        </is>
      </c>
      <c r="R106" s="16" t="inlineStr">
        <is>
          <t>631 Manhattan Ave, Brooklyn</t>
        </is>
      </c>
      <c r="S106" s="16" t="inlineStr">
        <is>
          <t>—</t>
        </is>
      </c>
      <c r="T106" s="18" t="inlineStr">
        <is>
          <t>Abrir ↗</t>
        </is>
      </c>
      <c r="U106" s="19" t="inlineStr">
        <is>
          <t>lista google</t>
        </is>
      </c>
      <c r="V106" s="20" t="inlineStr"/>
    </row>
    <row r="107" ht="46" customHeight="1">
      <c r="A107" s="9" t="inlineStr">
        <is>
          <t>Katz's Delicatessen</t>
        </is>
      </c>
      <c r="B107" s="10" t="inlineStr">
        <is>
          <t>Deli y pastrami</t>
        </is>
      </c>
      <c r="C107" s="11" t="inlineStr">
        <is>
          <t>Comida</t>
        </is>
      </c>
      <c r="D107" s="11" t="inlineStr">
        <is>
          <t>Lower East Side</t>
        </is>
      </c>
      <c r="E107" s="11" t="inlineStr">
        <is>
          <t>Manhattan</t>
        </is>
      </c>
      <c r="F107" s="12" t="n">
        <v>2</v>
      </c>
      <c r="G107" s="12" t="n">
        <v>2</v>
      </c>
      <c r="H107" s="13">
        <f>IF(AND(F107=2,G107=2),"AMBOS",IF(AND(F107=2,G107&lt;2),"solo JP",IF(AND(F107&lt;2,G107=2),"solo Thais","-")))</f>
        <v/>
      </c>
      <c r="I107" s="14" t="n">
        <v>32</v>
      </c>
      <c r="J107" s="15" t="n">
        <v>1.25</v>
      </c>
      <c r="K107" s="13" t="inlineStr">
        <is>
          <t>SÍ</t>
        </is>
      </c>
      <c r="L107" s="16" t="inlineStr">
        <is>
          <t>—</t>
        </is>
      </c>
      <c r="M107" s="11" t="inlineStr">
        <is>
          <t>—</t>
        </is>
      </c>
      <c r="N107" s="16" t="inlineStr">
        <is>
          <t>—</t>
        </is>
      </c>
      <c r="O107" s="16" t="inlineStr">
        <is>
          <t>—</t>
        </is>
      </c>
      <c r="P107" s="16" t="inlineStr">
        <is>
          <t>2 Av (F)</t>
        </is>
      </c>
      <c r="Q107" s="16" t="inlineStr">
        <is>
          <t>1888. El pastrami cura 30 dias y se corta a cuchillo. TRUCO: sentarse en el mostrador, dar propina al cortador, e ir un martes a las 15h en vez de un sabado al mediodia. Guardar el ticket o se paga multa.</t>
        </is>
      </c>
      <c r="R107" s="16" t="inlineStr">
        <is>
          <t>205 E Houston St</t>
        </is>
      </c>
      <c r="S107" s="17" t="inlineStr">
        <is>
          <t>Día 2 · dom 30/8</t>
        </is>
      </c>
      <c r="T107" s="18" t="inlineStr">
        <is>
          <t>Abrir ↗</t>
        </is>
      </c>
      <c r="U107" s="19" t="inlineStr">
        <is>
          <t>lista google</t>
        </is>
      </c>
      <c r="V107" s="20" t="inlineStr"/>
    </row>
    <row r="108" ht="46" customHeight="1">
      <c r="A108" s="9" t="inlineStr">
        <is>
          <t>Russ &amp; Daughters</t>
        </is>
      </c>
      <c r="B108" s="10" t="inlineStr">
        <is>
          <t>Deli y pastrami</t>
        </is>
      </c>
      <c r="C108" s="11" t="inlineStr">
        <is>
          <t>Comida</t>
        </is>
      </c>
      <c r="D108" s="11" t="inlineStr">
        <is>
          <t>Lower East Side</t>
        </is>
      </c>
      <c r="E108" s="11" t="inlineStr">
        <is>
          <t>Manhattan</t>
        </is>
      </c>
      <c r="F108" s="12" t="n">
        <v>2</v>
      </c>
      <c r="G108" s="12" t="n">
        <v>2</v>
      </c>
      <c r="H108" s="13">
        <f>IF(AND(F108=2,G108=2),"AMBOS",IF(AND(F108=2,G108&lt;2),"solo JP",IF(AND(F108&lt;2,G108=2),"solo Thais","-")))</f>
        <v/>
      </c>
      <c r="I108" s="14" t="n">
        <v>22</v>
      </c>
      <c r="J108" s="15" t="n">
        <v>0.75</v>
      </c>
      <c r="K108" s="13" t="inlineStr">
        <is>
          <t>SÍ</t>
        </is>
      </c>
      <c r="L108" s="16" t="inlineStr">
        <is>
          <t>lunes a viernes: 08:00–16:00 · sábado a domingo: 08:00–17:00</t>
        </is>
      </c>
      <c r="M108" s="11" t="inlineStr">
        <is>
          <t>—</t>
        </is>
      </c>
      <c r="N108" s="16" t="inlineStr">
        <is>
          <t>—</t>
        </is>
      </c>
      <c r="O108" s="16" t="inlineStr">
        <is>
          <t>—</t>
        </is>
      </c>
      <c r="P108" s="16" t="inlineStr">
        <is>
          <t>2 Av (F)</t>
        </is>
      </c>
      <c r="Q108" s="16" t="inlineStr">
        <is>
          <t>Appetizing store de 1914, cuarta generacion de la misma familia. Salmon curado cortado a mano sobre bagel. El mostrador es mejor experiencia que el cafe de al lado.</t>
        </is>
      </c>
      <c r="R108" s="16" t="inlineStr">
        <is>
          <t>179 E Houston St</t>
        </is>
      </c>
      <c r="S108" s="17" t="inlineStr">
        <is>
          <t>Día 2 · dom 30/8</t>
        </is>
      </c>
      <c r="T108" s="18" t="inlineStr">
        <is>
          <t>Abrir ↗</t>
        </is>
      </c>
      <c r="U108" s="19" t="inlineStr">
        <is>
          <t>lista google</t>
        </is>
      </c>
      <c r="V108" s="20" t="inlineStr"/>
    </row>
    <row r="109" ht="46" customHeight="1">
      <c r="A109" s="9" t="inlineStr">
        <is>
          <t>Russ &amp; Daughters Cafe</t>
        </is>
      </c>
      <c r="B109" s="10" t="inlineStr">
        <is>
          <t>Deli y pastrami</t>
        </is>
      </c>
      <c r="C109" s="11" t="inlineStr">
        <is>
          <t>Comida</t>
        </is>
      </c>
      <c r="D109" s="11" t="inlineStr">
        <is>
          <t>Lower East Side</t>
        </is>
      </c>
      <c r="E109" s="11" t="inlineStr">
        <is>
          <t>Manhattan</t>
        </is>
      </c>
      <c r="F109" s="12" t="n">
        <v>1</v>
      </c>
      <c r="G109" s="12" t="n">
        <v>1</v>
      </c>
      <c r="H109" s="13">
        <f>IF(AND(F109=2,G109=2),"AMBOS",IF(AND(F109=2,G109&lt;2),"solo JP",IF(AND(F109&lt;2,G109=2),"solo Thais","-")))</f>
        <v/>
      </c>
      <c r="I109" s="14" t="n">
        <v>40</v>
      </c>
      <c r="J109" s="15" t="n">
        <v>1.25</v>
      </c>
      <c r="K109" s="13" t="inlineStr">
        <is>
          <t>SÍ</t>
        </is>
      </c>
      <c r="L109" s="16" t="inlineStr">
        <is>
          <t>—</t>
        </is>
      </c>
      <c r="M109" s="11" t="inlineStr">
        <is>
          <t>—</t>
        </is>
      </c>
      <c r="N109" s="16" t="inlineStr">
        <is>
          <t>—</t>
        </is>
      </c>
      <c r="O109" s="16" t="inlineStr">
        <is>
          <t>—</t>
        </is>
      </c>
      <c r="P109" s="16" t="inlineStr">
        <is>
          <t>Delancey St-Essex St (F,J,M,Z)</t>
        </is>
      </c>
      <c r="Q109" s="16" t="inlineStr">
        <is>
          <t>La versión SENTADA del appetizing de 1914: mismo salmón, con mesa y platos. Distinto del local de Houston.</t>
        </is>
      </c>
      <c r="R109" s="16" t="inlineStr">
        <is>
          <t>127 Orchard St</t>
        </is>
      </c>
      <c r="S109" s="16" t="inlineStr">
        <is>
          <t>—</t>
        </is>
      </c>
      <c r="T109" s="18" t="inlineStr">
        <is>
          <t>Abrir ↗</t>
        </is>
      </c>
      <c r="U109" s="19" t="inlineStr">
        <is>
          <t>lista google</t>
        </is>
      </c>
      <c r="V109" s="20" t="inlineStr"/>
    </row>
    <row r="110" ht="46" customHeight="1">
      <c r="A110" s="9" t="inlineStr">
        <is>
          <t>S&amp;P Lunch</t>
        </is>
      </c>
      <c r="B110" s="10" t="inlineStr">
        <is>
          <t>Deli y pastrami</t>
        </is>
      </c>
      <c r="C110" s="11" t="inlineStr">
        <is>
          <t>Comida</t>
        </is>
      </c>
      <c r="D110" s="11" t="inlineStr">
        <is>
          <t>Flatiron</t>
        </is>
      </c>
      <c r="E110" s="11" t="inlineStr">
        <is>
          <t>Manhattan</t>
        </is>
      </c>
      <c r="F110" s="12" t="n">
        <v>2</v>
      </c>
      <c r="G110" s="12" t="n">
        <v>2</v>
      </c>
      <c r="H110" s="13">
        <f>IF(AND(F110=2,G110=2),"AMBOS",IF(AND(F110=2,G110&lt;2),"solo JP",IF(AND(F110&lt;2,G110=2),"solo Thais","-")))</f>
        <v/>
      </c>
      <c r="I110" s="14" t="n">
        <v>22</v>
      </c>
      <c r="J110" s="15" t="n">
        <v>1</v>
      </c>
      <c r="K110" s="13" t="inlineStr">
        <is>
          <t>no</t>
        </is>
      </c>
      <c r="L110" s="16" t="inlineStr">
        <is>
          <t>—</t>
        </is>
      </c>
      <c r="M110" s="11" t="inlineStr">
        <is>
          <t>—</t>
        </is>
      </c>
      <c r="N110" s="16" t="inlineStr">
        <is>
          <t>—</t>
        </is>
      </c>
      <c r="O110" s="16" t="inlineStr">
        <is>
          <t>—</t>
        </is>
      </c>
      <c r="P110" s="16" t="inlineStr">
        <is>
          <t>23 St (R,W,6)</t>
        </is>
      </c>
      <c r="Q110" s="16" t="inlineStr">
        <is>
          <t>Ocupa el local del Eisenberg's (1929), con pastrami cortado a mano. Es la alternativa a Katz's sin la cola ni el circo.</t>
        </is>
      </c>
      <c r="R110" s="16" t="inlineStr">
        <is>
          <t>174 5th Ave</t>
        </is>
      </c>
      <c r="S110" s="16" t="inlineStr">
        <is>
          <t>—</t>
        </is>
      </c>
      <c r="T110" s="18" t="inlineStr">
        <is>
          <t>Abrir ↗</t>
        </is>
      </c>
      <c r="U110" s="19" t="inlineStr">
        <is>
          <t>lista google</t>
        </is>
      </c>
      <c r="V110" s="20" t="inlineStr"/>
    </row>
    <row r="111" ht="46" customHeight="1">
      <c r="A111" s="9" t="inlineStr">
        <is>
          <t>Sarge's Delicatessen &amp; Diner</t>
        </is>
      </c>
      <c r="B111" s="10" t="inlineStr">
        <is>
          <t>Deli y pastrami</t>
        </is>
      </c>
      <c r="C111" s="11" t="inlineStr">
        <is>
          <t>Comida</t>
        </is>
      </c>
      <c r="D111" s="11" t="inlineStr">
        <is>
          <t>Murray Hill</t>
        </is>
      </c>
      <c r="E111" s="11" t="inlineStr">
        <is>
          <t>Manhattan</t>
        </is>
      </c>
      <c r="F111" s="12" t="n">
        <v>1</v>
      </c>
      <c r="G111" s="12" t="n">
        <v>1</v>
      </c>
      <c r="H111" s="13">
        <f>IF(AND(F111=2,G111=2),"AMBOS",IF(AND(F111=2,G111&lt;2),"solo JP",IF(AND(F111&lt;2,G111=2),"solo Thais","-")))</f>
        <v/>
      </c>
      <c r="I111" s="14" t="n">
        <v>30</v>
      </c>
      <c r="J111" s="15" t="n">
        <v>1</v>
      </c>
      <c r="K111" s="13" t="inlineStr">
        <is>
          <t>no</t>
        </is>
      </c>
      <c r="L111" s="16" t="inlineStr">
        <is>
          <t>—</t>
        </is>
      </c>
      <c r="M111" s="11" t="inlineStr">
        <is>
          <t>—</t>
        </is>
      </c>
      <c r="N111" s="16" t="inlineStr">
        <is>
          <t>—</t>
        </is>
      </c>
      <c r="O111" s="16" t="inlineStr">
        <is>
          <t>—</t>
        </is>
      </c>
      <c r="P111" s="16" t="inlineStr">
        <is>
          <t>33 St (6)</t>
        </is>
      </c>
      <c r="Q111" s="16" t="inlineStr">
        <is>
          <t>Deli judío de 1964 abierto 24 horas: el pastrami sin la cola de Katz's.</t>
        </is>
      </c>
      <c r="R111" s="16" t="inlineStr">
        <is>
          <t>548 3rd Ave</t>
        </is>
      </c>
      <c r="S111" s="16" t="inlineStr">
        <is>
          <t>—</t>
        </is>
      </c>
      <c r="T111" s="18" t="inlineStr">
        <is>
          <t>Abrir ↗</t>
        </is>
      </c>
      <c r="U111" s="19" t="inlineStr">
        <is>
          <t>lista google</t>
        </is>
      </c>
      <c r="V111" s="20" t="inlineStr"/>
    </row>
    <row r="112" ht="46" customHeight="1">
      <c r="A112" s="9" t="inlineStr">
        <is>
          <t>Golden Diner</t>
        </is>
      </c>
      <c r="B112" s="10" t="inlineStr">
        <is>
          <t>Diner clásico</t>
        </is>
      </c>
      <c r="C112" s="11" t="inlineStr">
        <is>
          <t>Comida</t>
        </is>
      </c>
      <c r="D112" s="11" t="inlineStr">
        <is>
          <t>Two Bridges</t>
        </is>
      </c>
      <c r="E112" s="11" t="inlineStr">
        <is>
          <t>Manhattan</t>
        </is>
      </c>
      <c r="F112" s="12" t="n">
        <v>1</v>
      </c>
      <c r="G112" s="12" t="n">
        <v>1</v>
      </c>
      <c r="H112" s="13">
        <f>IF(AND(F112=2,G112=2),"AMBOS",IF(AND(F112=2,G112&lt;2),"solo JP",IF(AND(F112&lt;2,G112=2),"solo Thais","-")))</f>
        <v/>
      </c>
      <c r="I112" s="14" t="n">
        <v>25</v>
      </c>
      <c r="J112" s="15" t="n">
        <v>0.75</v>
      </c>
      <c r="K112" s="13" t="inlineStr">
        <is>
          <t>no</t>
        </is>
      </c>
      <c r="L112" s="16" t="inlineStr">
        <is>
          <t>—</t>
        </is>
      </c>
      <c r="M112" s="11" t="inlineStr">
        <is>
          <t>—</t>
        </is>
      </c>
      <c r="N112" s="16" t="inlineStr">
        <is>
          <t>—</t>
        </is>
      </c>
      <c r="O112" s="16" t="inlineStr">
        <is>
          <t>—</t>
        </is>
      </c>
      <c r="P112" s="16" t="inlineStr">
        <is>
          <t>East Broadway (F)</t>
        </is>
      </c>
      <c r="Q112" s="16" t="inlineStr">
        <is>
          <t>Diner americano cruzado con cocina asiática, debajo del puente de Manhattan. Sin pose.</t>
        </is>
      </c>
      <c r="R112" s="16" t="inlineStr">
        <is>
          <t>123 Madison St</t>
        </is>
      </c>
      <c r="S112" s="16" t="inlineStr">
        <is>
          <t>—</t>
        </is>
      </c>
      <c r="T112" s="18" t="inlineStr">
        <is>
          <t>Abrir ↗</t>
        </is>
      </c>
      <c r="U112" s="19" t="inlineStr">
        <is>
          <t>lista google</t>
        </is>
      </c>
      <c r="V112" s="20" t="inlineStr"/>
    </row>
    <row r="113" ht="46" customHeight="1">
      <c r="A113" s="9" t="inlineStr">
        <is>
          <t>Junior's Restaurant and Bakery</t>
        </is>
      </c>
      <c r="B113" s="10" t="inlineStr">
        <is>
          <t>Diner clásico</t>
        </is>
      </c>
      <c r="C113" s="11" t="inlineStr">
        <is>
          <t>Comida</t>
        </is>
      </c>
      <c r="D113" s="11" t="inlineStr">
        <is>
          <t>Theater District</t>
        </is>
      </c>
      <c r="E113" s="11" t="inlineStr">
        <is>
          <t>Manhattan</t>
        </is>
      </c>
      <c r="F113" s="12" t="n">
        <v>1</v>
      </c>
      <c r="G113" s="12" t="n">
        <v>1</v>
      </c>
      <c r="H113" s="13">
        <f>IF(AND(F113=2,G113=2),"AMBOS",IF(AND(F113=2,G113&lt;2),"solo JP",IF(AND(F113&lt;2,G113=2),"solo Thais","-")))</f>
        <v/>
      </c>
      <c r="I113" s="14" t="n">
        <v>30</v>
      </c>
      <c r="J113" s="15" t="n">
        <v>1</v>
      </c>
      <c r="K113" s="13" t="inlineStr">
        <is>
          <t>SÍ</t>
        </is>
      </c>
      <c r="L113" s="16" t="inlineStr">
        <is>
          <t>—</t>
        </is>
      </c>
      <c r="M113" s="11" t="inlineStr">
        <is>
          <t>—</t>
        </is>
      </c>
      <c r="N113" s="16" t="inlineStr">
        <is>
          <t>—</t>
        </is>
      </c>
      <c r="O113" s="16" t="inlineStr">
        <is>
          <t>—</t>
        </is>
      </c>
      <c r="P113" s="16" t="inlineStr">
        <is>
          <t>49 St (N,R,W)</t>
        </is>
      </c>
      <c r="Q113" s="16" t="inlineStr">
        <is>
          <t>El cheesecake de Brooklyn, en su sucursal de Times Square. Porciones absurdas.</t>
        </is>
      </c>
      <c r="R113" s="16" t="inlineStr">
        <is>
          <t>1626 Broadway</t>
        </is>
      </c>
      <c r="S113" s="16" t="inlineStr">
        <is>
          <t>—</t>
        </is>
      </c>
      <c r="T113" s="18" t="inlineStr">
        <is>
          <t>Abrir ↗</t>
        </is>
      </c>
      <c r="U113" s="19" t="inlineStr">
        <is>
          <t>lista google</t>
        </is>
      </c>
      <c r="V113" s="20" t="inlineStr"/>
    </row>
    <row r="114" ht="46" customHeight="1">
      <c r="A114" s="9" t="inlineStr">
        <is>
          <t>Lexington Candy Shop</t>
        </is>
      </c>
      <c r="B114" s="10" t="inlineStr">
        <is>
          <t>Diner clásico</t>
        </is>
      </c>
      <c r="C114" s="11" t="inlineStr">
        <is>
          <t>Comida</t>
        </is>
      </c>
      <c r="D114" s="11" t="inlineStr">
        <is>
          <t>Upper East Side</t>
        </is>
      </c>
      <c r="E114" s="11" t="inlineStr">
        <is>
          <t>Manhattan</t>
        </is>
      </c>
      <c r="F114" s="12" t="n">
        <v>1</v>
      </c>
      <c r="G114" s="12" t="n">
        <v>1</v>
      </c>
      <c r="H114" s="13">
        <f>IF(AND(F114=2,G114=2),"AMBOS",IF(AND(F114=2,G114&lt;2),"solo JP",IF(AND(F114&lt;2,G114=2),"solo Thais","-")))</f>
        <v/>
      </c>
      <c r="I114" s="14" t="n">
        <v>18</v>
      </c>
      <c r="J114" s="15" t="n">
        <v>0.8</v>
      </c>
      <c r="K114" s="13" t="inlineStr">
        <is>
          <t>no</t>
        </is>
      </c>
      <c r="L114" s="16" t="inlineStr">
        <is>
          <t>—</t>
        </is>
      </c>
      <c r="M114" s="11" t="inlineStr">
        <is>
          <t>—</t>
        </is>
      </c>
      <c r="N114" s="16" t="inlineStr">
        <is>
          <t>—</t>
        </is>
      </c>
      <c r="O114" s="16" t="inlineStr">
        <is>
          <t>—</t>
        </is>
      </c>
      <c r="P114" s="16" t="inlineStr">
        <is>
          <t>86 St (4,5,6)</t>
        </is>
      </c>
      <c r="Q114" s="16" t="inlineStr">
        <is>
          <t>Luncheonette de 1925 sin un solo cambio: malteadas hechas a mano y Coca-Cola mezclada en el mostrador.</t>
        </is>
      </c>
      <c r="R114" s="16" t="inlineStr">
        <is>
          <t>1226 Lexington Ave</t>
        </is>
      </c>
      <c r="S114" s="16" t="inlineStr">
        <is>
          <t>—</t>
        </is>
      </c>
      <c r="T114" s="18" t="inlineStr">
        <is>
          <t>Abrir ↗</t>
        </is>
      </c>
      <c r="U114" s="21" t="inlineStr">
        <is>
          <t>otros</t>
        </is>
      </c>
      <c r="V114" s="20" t="inlineStr"/>
    </row>
    <row r="115" ht="46" customHeight="1">
      <c r="A115" s="9" t="inlineStr">
        <is>
          <t>Tick Tock Diner NY</t>
        </is>
      </c>
      <c r="B115" s="10" t="inlineStr">
        <is>
          <t>Diner clásico</t>
        </is>
      </c>
      <c r="C115" s="11" t="inlineStr">
        <is>
          <t>Comida</t>
        </is>
      </c>
      <c r="D115" s="11" t="inlineStr">
        <is>
          <t>Midtown West</t>
        </is>
      </c>
      <c r="E115" s="11" t="inlineStr">
        <is>
          <t>Manhattan</t>
        </is>
      </c>
      <c r="F115" s="12" t="n">
        <v>1</v>
      </c>
      <c r="G115" s="12" t="n">
        <v>1</v>
      </c>
      <c r="H115" s="13">
        <f>IF(AND(F115=2,G115=2),"AMBOS",IF(AND(F115=2,G115&lt;2),"solo JP",IF(AND(F115&lt;2,G115=2),"solo Thais","-")))</f>
        <v/>
      </c>
      <c r="I115" s="14" t="n">
        <v>25</v>
      </c>
      <c r="J115" s="15" t="n">
        <v>0.75</v>
      </c>
      <c r="K115" s="13" t="inlineStr">
        <is>
          <t>no</t>
        </is>
      </c>
      <c r="L115" s="16" t="inlineStr">
        <is>
          <t>—</t>
        </is>
      </c>
      <c r="M115" s="11" t="inlineStr">
        <is>
          <t>—</t>
        </is>
      </c>
      <c r="N115" s="16" t="inlineStr">
        <is>
          <t>—</t>
        </is>
      </c>
      <c r="O115" s="16" t="inlineStr">
        <is>
          <t>—</t>
        </is>
      </c>
      <c r="P115" s="16" t="inlineStr">
        <is>
          <t>34 St-Penn Station (1,2,3,A,C,E)</t>
        </is>
      </c>
      <c r="Q115" s="16" t="inlineStr">
        <is>
          <t>Diner art déco cromado frente a Penn Station. Útil de verdad los días de tren.</t>
        </is>
      </c>
      <c r="R115" s="16" t="inlineStr">
        <is>
          <t>481 8th Ave</t>
        </is>
      </c>
      <c r="S115" s="16" t="inlineStr">
        <is>
          <t>—</t>
        </is>
      </c>
      <c r="T115" s="18" t="inlineStr">
        <is>
          <t>Abrir ↗</t>
        </is>
      </c>
      <c r="U115" s="19" t="inlineStr">
        <is>
          <t>lista google</t>
        </is>
      </c>
      <c r="V115" s="20" t="inlineStr"/>
    </row>
    <row r="116" ht="46" customHeight="1">
      <c r="A116" s="9" t="inlineStr">
        <is>
          <t>Corner Bistro</t>
        </is>
      </c>
      <c r="B116" s="10" t="inlineStr">
        <is>
          <t>Hamburguesería</t>
        </is>
      </c>
      <c r="C116" s="11" t="inlineStr">
        <is>
          <t>Comida</t>
        </is>
      </c>
      <c r="D116" s="11" t="inlineStr">
        <is>
          <t>West Village</t>
        </is>
      </c>
      <c r="E116" s="11" t="inlineStr">
        <is>
          <t>Manhattan</t>
        </is>
      </c>
      <c r="F116" s="12" t="n">
        <v>1</v>
      </c>
      <c r="G116" s="12" t="n">
        <v>1</v>
      </c>
      <c r="H116" s="13">
        <f>IF(AND(F116=2,G116=2),"AMBOS",IF(AND(F116=2,G116&lt;2),"solo JP",IF(AND(F116&lt;2,G116=2),"solo Thais","-")))</f>
        <v/>
      </c>
      <c r="I116" s="14" t="n">
        <v>12</v>
      </c>
      <c r="J116" s="15" t="n">
        <v>1</v>
      </c>
      <c r="K116" s="13" t="inlineStr">
        <is>
          <t>no</t>
        </is>
      </c>
      <c r="L116" s="16" t="inlineStr">
        <is>
          <t>—</t>
        </is>
      </c>
      <c r="M116" s="11" t="inlineStr">
        <is>
          <t>—</t>
        </is>
      </c>
      <c r="N116" s="16" t="inlineStr">
        <is>
          <t>—</t>
        </is>
      </c>
      <c r="O116" s="16" t="inlineStr">
        <is>
          <t>—</t>
        </is>
      </c>
      <c r="P116" s="16" t="inlineStr">
        <is>
          <t>14 St (A,C,E)</t>
        </is>
      </c>
      <c r="Q116" s="16" t="inlineStr">
        <is>
          <t>Hamburguesa en plato de papel, cerveza barata y boxes de madera desde 1961. Nada de artesanal.</t>
        </is>
      </c>
      <c r="R116" s="16" t="inlineStr">
        <is>
          <t>331 W 4th St</t>
        </is>
      </c>
      <c r="S116" s="16" t="inlineStr">
        <is>
          <t>—</t>
        </is>
      </c>
      <c r="T116" s="18" t="inlineStr">
        <is>
          <t>Abrir ↗</t>
        </is>
      </c>
      <c r="U116" s="21" t="inlineStr">
        <is>
          <t>otros</t>
        </is>
      </c>
      <c r="V116" s="20" t="inlineStr"/>
    </row>
    <row r="117" ht="46" customHeight="1">
      <c r="A117" s="9" t="inlineStr">
        <is>
          <t>Hamburger America</t>
        </is>
      </c>
      <c r="B117" s="10" t="inlineStr">
        <is>
          <t>Hamburguesería</t>
        </is>
      </c>
      <c r="C117" s="11" t="inlineStr">
        <is>
          <t>Comida</t>
        </is>
      </c>
      <c r="D117" s="11" t="inlineStr">
        <is>
          <t>SoHo / West Village</t>
        </is>
      </c>
      <c r="E117" s="11" t="inlineStr">
        <is>
          <t>Manhattan</t>
        </is>
      </c>
      <c r="F117" s="12" t="n">
        <v>2</v>
      </c>
      <c r="G117" s="12" t="n">
        <v>1</v>
      </c>
      <c r="H117" s="13">
        <f>IF(AND(F117=2,G117=2),"AMBOS",IF(AND(F117=2,G117&lt;2),"solo JP",IF(AND(F117&lt;2,G117=2),"solo Thais","-")))</f>
        <v/>
      </c>
      <c r="I117" s="14" t="n">
        <v>20</v>
      </c>
      <c r="J117" s="15" t="n">
        <v>0.75</v>
      </c>
      <c r="K117" s="13" t="inlineStr">
        <is>
          <t>SÍ</t>
        </is>
      </c>
      <c r="L117" s="16" t="inlineStr">
        <is>
          <t>lunes a jueves: 11:00–22:00 · viernes a sábado: 11:00–23:00 · domingo: 11:00–22:00</t>
        </is>
      </c>
      <c r="M117" s="11" t="inlineStr">
        <is>
          <t>—</t>
        </is>
      </c>
      <c r="N117" s="16" t="inlineStr">
        <is>
          <t>—</t>
        </is>
      </c>
      <c r="O117" s="16" t="inlineStr">
        <is>
          <t>no acepta reservas - ir y hacer la fila</t>
        </is>
      </c>
      <c r="P117" s="16" t="inlineStr">
        <is>
          <t>Houston St (1), W 4 St (A,C,E,B,D,F,M)</t>
        </is>
      </c>
      <c r="Q117" s="16" t="inlineStr">
        <is>
          <t>El counter de George Motz, EL historiador de la hamburguesa americana: smashburger con cebolla al estilo Oklahoma y griddle a la vista. Es la hamburguesa clasica llevada a doctrina — MUST de JP.</t>
        </is>
      </c>
      <c r="R117" s="16" t="inlineStr">
        <is>
          <t>155 W Houston St</t>
        </is>
      </c>
      <c r="S117" s="17" t="inlineStr">
        <is>
          <t>Día 4 · mar 1/9</t>
        </is>
      </c>
      <c r="T117" s="18" t="inlineStr">
        <is>
          <t>Abrir ↗</t>
        </is>
      </c>
      <c r="U117" s="19" t="inlineStr">
        <is>
          <t>lista google</t>
        </is>
      </c>
      <c r="V117" s="20" t="inlineStr">
        <is>
          <t>SÍ</t>
        </is>
      </c>
    </row>
    <row r="118" ht="46" customHeight="1">
      <c r="A118" s="9" t="inlineStr">
        <is>
          <t>Shake Shack (Columbus Circle / Theater District)</t>
        </is>
      </c>
      <c r="B118" s="10" t="inlineStr">
        <is>
          <t>Hamburguesería</t>
        </is>
      </c>
      <c r="C118" s="11" t="inlineStr">
        <is>
          <t>Comida</t>
        </is>
      </c>
      <c r="D118" s="11" t="inlineStr">
        <is>
          <t>Midtown</t>
        </is>
      </c>
      <c r="E118" s="11" t="inlineStr">
        <is>
          <t>Manhattan</t>
        </is>
      </c>
      <c r="F118" s="12" t="n">
        <v>1</v>
      </c>
      <c r="G118" s="12" t="n">
        <v>1</v>
      </c>
      <c r="H118" s="13">
        <f>IF(AND(F118=2,G118=2),"AMBOS",IF(AND(F118=2,G118&lt;2),"solo JP",IF(AND(F118&lt;2,G118=2),"solo Thais","-")))</f>
        <v/>
      </c>
      <c r="I118" s="14" t="n">
        <v>15</v>
      </c>
      <c r="J118" s="15" t="n">
        <v>0.5</v>
      </c>
      <c r="K118" s="13" t="inlineStr">
        <is>
          <t>SÍ</t>
        </is>
      </c>
      <c r="L118" s="16" t="inlineStr">
        <is>
          <t>—</t>
        </is>
      </c>
      <c r="M118" s="11" t="inlineStr">
        <is>
          <t>—</t>
        </is>
      </c>
      <c r="N118" s="16" t="inlineStr">
        <is>
          <t>—</t>
        </is>
      </c>
      <c r="O118" s="16" t="inlineStr">
        <is>
          <t>—</t>
        </is>
      </c>
      <c r="P118" s="16" t="inlineStr">
        <is>
          <t>59 St-Columbus Circle (1,A,B,C,D)</t>
        </is>
      </c>
      <c r="Q118" s="16" t="inlineStr">
        <is>
          <t>El burger de Madison Square Park convertido en cadena. En la lista estaban tres sucursales: esta es la más cómoda.</t>
        </is>
      </c>
      <c r="R118" s="16" t="inlineStr"/>
      <c r="S118" s="16" t="inlineStr">
        <is>
          <t>—</t>
        </is>
      </c>
      <c r="T118" s="18" t="inlineStr">
        <is>
          <t>Abrir ↗</t>
        </is>
      </c>
      <c r="U118" s="19" t="inlineStr">
        <is>
          <t>lista google</t>
        </is>
      </c>
      <c r="V118" s="20" t="inlineStr"/>
    </row>
    <row r="119" ht="46" customHeight="1">
      <c r="A119" s="9" t="inlineStr">
        <is>
          <t>Amorino</t>
        </is>
      </c>
      <c r="B119" s="10" t="inlineStr">
        <is>
          <t>Heladería y dulces</t>
        </is>
      </c>
      <c r="C119" s="11" t="inlineStr">
        <is>
          <t>Comida</t>
        </is>
      </c>
      <c r="D119" s="11" t="inlineStr">
        <is>
          <t>Manhattan</t>
        </is>
      </c>
      <c r="E119" s="11" t="inlineStr">
        <is>
          <t>Manhattan</t>
        </is>
      </c>
      <c r="F119" s="12" t="n">
        <v>1</v>
      </c>
      <c r="G119" s="12" t="n">
        <v>1</v>
      </c>
      <c r="H119" s="13">
        <f>IF(AND(F119=2,G119=2),"AMBOS",IF(AND(F119=2,G119&lt;2),"solo JP",IF(AND(F119&lt;2,G119=2),"solo Thais","-")))</f>
        <v/>
      </c>
      <c r="I119" s="14" t="n">
        <v>10</v>
      </c>
      <c r="J119" s="15" t="n">
        <v>0.3</v>
      </c>
      <c r="K119" s="13" t="inlineStr">
        <is>
          <t>SÍ</t>
        </is>
      </c>
      <c r="L119" s="16" t="inlineStr">
        <is>
          <t>—</t>
        </is>
      </c>
      <c r="M119" s="11" t="inlineStr">
        <is>
          <t>—</t>
        </is>
      </c>
      <c r="N119" s="16" t="inlineStr">
        <is>
          <t>—</t>
        </is>
      </c>
      <c r="O119" s="16" t="inlineStr">
        <is>
          <t>—</t>
        </is>
      </c>
      <c r="P119" s="16" t="inlineStr">
        <is>
          <t>-</t>
        </is>
      </c>
      <c r="Q119" s="16" t="inlineStr">
        <is>
          <t>Gelato servido en forma de flor. Más foto que helado, pero el helado es bueno.</t>
        </is>
      </c>
      <c r="R119" s="16" t="inlineStr"/>
      <c r="S119" s="16" t="inlineStr">
        <is>
          <t>—</t>
        </is>
      </c>
      <c r="T119" s="18" t="inlineStr">
        <is>
          <t>Abrir ↗</t>
        </is>
      </c>
      <c r="U119" s="19" t="inlineStr">
        <is>
          <t>lista google</t>
        </is>
      </c>
      <c r="V119" s="20" t="inlineStr"/>
    </row>
    <row r="120" ht="46" customHeight="1">
      <c r="A120" s="9" t="inlineStr">
        <is>
          <t>Dough Doughnuts</t>
        </is>
      </c>
      <c r="B120" s="10" t="inlineStr">
        <is>
          <t>Heladería y dulces</t>
        </is>
      </c>
      <c r="C120" s="11" t="inlineStr">
        <is>
          <t>Comida</t>
        </is>
      </c>
      <c r="D120" s="11" t="inlineStr">
        <is>
          <t>Midtown</t>
        </is>
      </c>
      <c r="E120" s="11" t="inlineStr">
        <is>
          <t>Manhattan</t>
        </is>
      </c>
      <c r="F120" s="12" t="n">
        <v>1</v>
      </c>
      <c r="G120" s="12" t="n">
        <v>1</v>
      </c>
      <c r="H120" s="13">
        <f>IF(AND(F120=2,G120=2),"AMBOS",IF(AND(F120=2,G120&lt;2),"solo JP",IF(AND(F120&lt;2,G120=2),"solo Thais","-")))</f>
        <v/>
      </c>
      <c r="I120" s="14" t="n">
        <v>8</v>
      </c>
      <c r="J120" s="15" t="n">
        <v>0.3</v>
      </c>
      <c r="K120" s="13" t="inlineStr">
        <is>
          <t>no</t>
        </is>
      </c>
      <c r="L120" s="16" t="inlineStr">
        <is>
          <t>—</t>
        </is>
      </c>
      <c r="M120" s="11" t="inlineStr">
        <is>
          <t>—</t>
        </is>
      </c>
      <c r="N120" s="16" t="inlineStr">
        <is>
          <t>—</t>
        </is>
      </c>
      <c r="O120" s="16" t="inlineStr">
        <is>
          <t>—</t>
        </is>
      </c>
      <c r="P120" s="16" t="inlineStr">
        <is>
          <t>47-50 Sts-Rockefeller Ctr (B,D,F,M)</t>
        </is>
      </c>
      <c r="Q120" s="16" t="inlineStr">
        <is>
          <t>Donas grandes y glaseadas (hibisco, dulce de leche). Buen desvío de cinco minutos.</t>
        </is>
      </c>
      <c r="R120" s="16" t="inlineStr"/>
      <c r="S120" s="16" t="inlineStr">
        <is>
          <t>—</t>
        </is>
      </c>
      <c r="T120" s="18" t="inlineStr">
        <is>
          <t>Abrir ↗</t>
        </is>
      </c>
      <c r="U120" s="19" t="inlineStr">
        <is>
          <t>lista google</t>
        </is>
      </c>
      <c r="V120" s="20" t="inlineStr"/>
    </row>
    <row r="121" ht="46" customHeight="1">
      <c r="A121" s="9" t="inlineStr">
        <is>
          <t>Krispy Kreme Times Square</t>
        </is>
      </c>
      <c r="B121" s="10" t="inlineStr">
        <is>
          <t>Heladería y dulces</t>
        </is>
      </c>
      <c r="C121" s="11" t="inlineStr">
        <is>
          <t>Comida</t>
        </is>
      </c>
      <c r="D121" s="11" t="inlineStr">
        <is>
          <t>Times Square</t>
        </is>
      </c>
      <c r="E121" s="11" t="inlineStr">
        <is>
          <t>Manhattan</t>
        </is>
      </c>
      <c r="F121" s="12" t="n">
        <v>1</v>
      </c>
      <c r="G121" s="12" t="n">
        <v>1</v>
      </c>
      <c r="H121" s="13">
        <f>IF(AND(F121=2,G121=2),"AMBOS",IF(AND(F121=2,G121&lt;2),"solo JP",IF(AND(F121&lt;2,G121=2),"solo Thais","-")))</f>
        <v/>
      </c>
      <c r="I121" s="14" t="n">
        <v>8</v>
      </c>
      <c r="J121" s="15" t="n">
        <v>0.4</v>
      </c>
      <c r="K121" s="13" t="inlineStr">
        <is>
          <t>SÍ</t>
        </is>
      </c>
      <c r="L121" s="16" t="inlineStr">
        <is>
          <t>—</t>
        </is>
      </c>
      <c r="M121" s="11" t="inlineStr">
        <is>
          <t>—</t>
        </is>
      </c>
      <c r="N121" s="16" t="inlineStr">
        <is>
          <t>—</t>
        </is>
      </c>
      <c r="O121" s="16" t="inlineStr">
        <is>
          <t>—</t>
        </is>
      </c>
      <c r="P121" s="16" t="inlineStr">
        <is>
          <t>42 St-Times Sq</t>
        </is>
      </c>
      <c r="Q121" s="16" t="inlineStr">
        <is>
          <t>El flagship con la línea de glaseado a la vista y el cartel gigante. Espectáculo, no gastronomía.</t>
        </is>
      </c>
      <c r="R121" s="16" t="inlineStr">
        <is>
          <t>1601 Broadway</t>
        </is>
      </c>
      <c r="S121" s="16" t="inlineStr">
        <is>
          <t>—</t>
        </is>
      </c>
      <c r="T121" s="18" t="inlineStr">
        <is>
          <t>Abrir ↗</t>
        </is>
      </c>
      <c r="U121" s="19" t="inlineStr">
        <is>
          <t>lista google</t>
        </is>
      </c>
      <c r="V121" s="20" t="inlineStr"/>
    </row>
    <row r="122" ht="46" customHeight="1">
      <c r="A122" s="9" t="inlineStr">
        <is>
          <t>Levain Bakery</t>
        </is>
      </c>
      <c r="B122" s="10" t="inlineStr">
        <is>
          <t>Heladería y dulces</t>
        </is>
      </c>
      <c r="C122" s="11" t="inlineStr">
        <is>
          <t>Comida</t>
        </is>
      </c>
      <c r="D122" s="11" t="inlineStr">
        <is>
          <t>Upper West Side</t>
        </is>
      </c>
      <c r="E122" s="11" t="inlineStr">
        <is>
          <t>Manhattan</t>
        </is>
      </c>
      <c r="F122" s="12" t="n">
        <v>1</v>
      </c>
      <c r="G122" s="12" t="n">
        <v>1</v>
      </c>
      <c r="H122" s="13">
        <f>IF(AND(F122=2,G122=2),"AMBOS",IF(AND(F122=2,G122&lt;2),"solo JP",IF(AND(F122&lt;2,G122=2),"solo Thais","-")))</f>
        <v/>
      </c>
      <c r="I122" s="14" t="n">
        <v>6</v>
      </c>
      <c r="J122" s="15" t="n">
        <v>0.3</v>
      </c>
      <c r="K122" s="13" t="inlineStr">
        <is>
          <t>no</t>
        </is>
      </c>
      <c r="L122" s="16" t="inlineStr">
        <is>
          <t>—</t>
        </is>
      </c>
      <c r="M122" s="11" t="inlineStr">
        <is>
          <t>—</t>
        </is>
      </c>
      <c r="N122" s="16" t="inlineStr">
        <is>
          <t>—</t>
        </is>
      </c>
      <c r="O122" s="16" t="inlineStr">
        <is>
          <t>—</t>
        </is>
      </c>
      <c r="P122" s="16" t="inlineStr">
        <is>
          <t>79 St (1)</t>
        </is>
      </c>
      <c r="Q122" s="16" t="inlineStr">
        <is>
          <t>La cookie de 170 gramos que hizo cola durante veinte anos. Cruda por dentro a proposito.</t>
        </is>
      </c>
      <c r="R122" s="16" t="inlineStr">
        <is>
          <t>351 Amsterdam Ave</t>
        </is>
      </c>
      <c r="S122" s="16" t="inlineStr">
        <is>
          <t>—</t>
        </is>
      </c>
      <c r="T122" s="18" t="inlineStr">
        <is>
          <t>Abrir ↗</t>
        </is>
      </c>
      <c r="U122" s="21" t="inlineStr">
        <is>
          <t>otros</t>
        </is>
      </c>
      <c r="V122" s="20" t="inlineStr"/>
    </row>
    <row r="123" ht="46" customHeight="1">
      <c r="A123" s="9" t="inlineStr">
        <is>
          <t>OddFellows Ice Cream (Domino Park)</t>
        </is>
      </c>
      <c r="B123" s="10" t="inlineStr">
        <is>
          <t>Heladería y dulces</t>
        </is>
      </c>
      <c r="C123" s="11" t="inlineStr">
        <is>
          <t>Comida</t>
        </is>
      </c>
      <c r="D123" s="11" t="inlineStr">
        <is>
          <t>Williamsburg</t>
        </is>
      </c>
      <c r="E123" s="11" t="inlineStr">
        <is>
          <t>Brooklyn</t>
        </is>
      </c>
      <c r="F123" s="12" t="n">
        <v>1</v>
      </c>
      <c r="G123" s="12" t="n">
        <v>1</v>
      </c>
      <c r="H123" s="13">
        <f>IF(AND(F123=2,G123=2),"AMBOS",IF(AND(F123=2,G123&lt;2),"solo JP",IF(AND(F123&lt;2,G123=2),"solo Thais","-")))</f>
        <v/>
      </c>
      <c r="I123" s="14" t="n">
        <v>8</v>
      </c>
      <c r="J123" s="15" t="n">
        <v>0.3</v>
      </c>
      <c r="K123" s="13" t="inlineStr">
        <is>
          <t>no</t>
        </is>
      </c>
      <c r="L123" s="16" t="inlineStr">
        <is>
          <t>—</t>
        </is>
      </c>
      <c r="M123" s="11" t="inlineStr">
        <is>
          <t>—</t>
        </is>
      </c>
      <c r="N123" s="16" t="inlineStr">
        <is>
          <t>—</t>
        </is>
      </c>
      <c r="O123" s="16" t="inlineStr">
        <is>
          <t>—</t>
        </is>
      </c>
      <c r="P123" s="16" t="inlineStr">
        <is>
          <t>Bedford Av (L), Marcy Av (J,M,Z)</t>
        </is>
      </c>
      <c r="Q123" s="16" t="inlineStr">
        <is>
          <t>Helado hecho ahi con sabores que suenan raros y funcionan. La sucursal de Kent Ave cerro: la que queda esta DENTRO DE DOMINO PARK, que ya estan visitando el sabado 5 a las 14:15.</t>
        </is>
      </c>
      <c r="R123" s="16" t="inlineStr">
        <is>
          <t>40 River St, Brooklyn</t>
        </is>
      </c>
      <c r="S123" s="16" t="inlineStr">
        <is>
          <t>—</t>
        </is>
      </c>
      <c r="T123" s="18" t="inlineStr">
        <is>
          <t>Abrir ↗</t>
        </is>
      </c>
      <c r="U123" s="21" t="inlineStr">
        <is>
          <t>otros</t>
        </is>
      </c>
      <c r="V123" s="20" t="inlineStr"/>
    </row>
    <row r="124" ht="46" customHeight="1">
      <c r="A124" s="9" t="inlineStr">
        <is>
          <t>Arthur Avenue Retail Market</t>
        </is>
      </c>
      <c r="B124" s="10" t="inlineStr">
        <is>
          <t>Mercado y food hall</t>
        </is>
      </c>
      <c r="C124" s="11" t="inlineStr">
        <is>
          <t>Comida</t>
        </is>
      </c>
      <c r="D124" s="11" t="inlineStr">
        <is>
          <t>Belmont</t>
        </is>
      </c>
      <c r="E124" s="11" t="inlineStr">
        <is>
          <t>Bronx</t>
        </is>
      </c>
      <c r="F124" s="12" t="n">
        <v>1</v>
      </c>
      <c r="G124" s="12" t="n">
        <v>1</v>
      </c>
      <c r="H124" s="13">
        <f>IF(AND(F124=2,G124=2),"AMBOS",IF(AND(F124=2,G124&lt;2),"solo JP",IF(AND(F124&lt;2,G124=2),"solo Thais","-")))</f>
        <v/>
      </c>
      <c r="I124" s="14" t="n">
        <v>20</v>
      </c>
      <c r="J124" s="15" t="n">
        <v>1.5</v>
      </c>
      <c r="K124" s="13" t="inlineStr">
        <is>
          <t>no</t>
        </is>
      </c>
      <c r="L124" s="16" t="inlineStr">
        <is>
          <t>—</t>
        </is>
      </c>
      <c r="M124" s="11" t="inlineStr">
        <is>
          <t>—</t>
        </is>
      </c>
      <c r="N124" s="16" t="inlineStr">
        <is>
          <t>—</t>
        </is>
      </c>
      <c r="O124" s="16" t="inlineStr">
        <is>
          <t>—</t>
        </is>
      </c>
      <c r="P124" s="16" t="inlineStr">
        <is>
          <t>Fordham Rd (B,D,4)</t>
        </is>
      </c>
      <c r="Q124" s="16" t="inlineStr">
        <is>
          <t>Mercado techado de 1940 que LaGuardia construyo para sacar los carritos de la calle. Mike's Deli adentro: eggplant parm y arancini.</t>
        </is>
      </c>
      <c r="R124" s="16" t="inlineStr">
        <is>
          <t>2344 Arthur Ave, Bronx</t>
        </is>
      </c>
      <c r="S124" s="16" t="inlineStr">
        <is>
          <t>—</t>
        </is>
      </c>
      <c r="T124" s="18" t="inlineStr">
        <is>
          <t>Abrir ↗</t>
        </is>
      </c>
      <c r="U124" s="19" t="inlineStr">
        <is>
          <t>lista google</t>
        </is>
      </c>
      <c r="V124" s="20" t="inlineStr"/>
    </row>
    <row r="125" ht="46" customHeight="1">
      <c r="A125" s="9" t="inlineStr">
        <is>
          <t>Chelsea Market</t>
        </is>
      </c>
      <c r="B125" s="10" t="inlineStr">
        <is>
          <t>Mercado y food hall</t>
        </is>
      </c>
      <c r="C125" s="11" t="inlineStr">
        <is>
          <t>Comida</t>
        </is>
      </c>
      <c r="D125" s="11" t="inlineStr">
        <is>
          <t>Chelsea</t>
        </is>
      </c>
      <c r="E125" s="11" t="inlineStr">
        <is>
          <t>Manhattan</t>
        </is>
      </c>
      <c r="F125" s="12" t="n">
        <v>2</v>
      </c>
      <c r="G125" s="12" t="n">
        <v>2</v>
      </c>
      <c r="H125" s="13">
        <f>IF(AND(F125=2,G125=2),"AMBOS",IF(AND(F125=2,G125&lt;2),"solo JP",IF(AND(F125&lt;2,G125=2),"solo Thais","-")))</f>
        <v/>
      </c>
      <c r="I125" s="14" t="n">
        <v>22</v>
      </c>
      <c r="J125" s="15" t="n">
        <v>1.25</v>
      </c>
      <c r="K125" s="13" t="inlineStr">
        <is>
          <t>SÍ</t>
        </is>
      </c>
      <c r="L125" s="16" t="inlineStr">
        <is>
          <t>—</t>
        </is>
      </c>
      <c r="M125" s="11" t="inlineStr">
        <is>
          <t>—</t>
        </is>
      </c>
      <c r="N125" s="16" t="inlineStr">
        <is>
          <t>—</t>
        </is>
      </c>
      <c r="O125" s="16" t="inlineStr">
        <is>
          <t>—</t>
        </is>
      </c>
      <c r="P125" s="16" t="inlineStr">
        <is>
          <t>14 St-8 Av (A,C,E,L)</t>
        </is>
      </c>
      <c r="Q125" s="16" t="inlineStr">
        <is>
          <t>Vale, pero SOLO fuera de hora pico: el almuerzo de fin de semana es insoportable. Ir martes o miercoles 9-10h o 14:30-16h. Los Tacos No.1 y Very Fresh Noodles si valen.</t>
        </is>
      </c>
      <c r="R125" s="16" t="inlineStr">
        <is>
          <t>75 9th Ave</t>
        </is>
      </c>
      <c r="S125" s="17" t="inlineStr">
        <is>
          <t>Día 7 · vie 4/9</t>
        </is>
      </c>
      <c r="T125" s="18" t="inlineStr">
        <is>
          <t>Abrir ↗</t>
        </is>
      </c>
      <c r="U125" s="19" t="inlineStr">
        <is>
          <t>lista google</t>
        </is>
      </c>
      <c r="V125" s="20" t="inlineStr">
        <is>
          <t>SÍ</t>
        </is>
      </c>
    </row>
    <row r="126" ht="46" customHeight="1">
      <c r="A126" s="9" t="inlineStr">
        <is>
          <t>DeKalb Market Hall</t>
        </is>
      </c>
      <c r="B126" s="10" t="inlineStr">
        <is>
          <t>Mercado y food hall</t>
        </is>
      </c>
      <c r="C126" s="11" t="inlineStr">
        <is>
          <t>Comida</t>
        </is>
      </c>
      <c r="D126" s="11" t="inlineStr">
        <is>
          <t>Downtown Brooklyn</t>
        </is>
      </c>
      <c r="E126" s="11" t="inlineStr">
        <is>
          <t>Brooklyn</t>
        </is>
      </c>
      <c r="F126" s="12" t="n">
        <v>1</v>
      </c>
      <c r="G126" s="12" t="n">
        <v>1</v>
      </c>
      <c r="H126" s="13">
        <f>IF(AND(F126=2,G126=2),"AMBOS",IF(AND(F126=2,G126&lt;2),"solo JP",IF(AND(F126&lt;2,G126=2),"solo Thais","-")))</f>
        <v/>
      </c>
      <c r="I126" s="14" t="n">
        <v>20</v>
      </c>
      <c r="J126" s="15" t="n">
        <v>1</v>
      </c>
      <c r="K126" s="13" t="inlineStr">
        <is>
          <t>no</t>
        </is>
      </c>
      <c r="L126" s="16" t="inlineStr">
        <is>
          <t>—</t>
        </is>
      </c>
      <c r="M126" s="11" t="inlineStr">
        <is>
          <t>—</t>
        </is>
      </c>
      <c r="N126" s="16" t="inlineStr">
        <is>
          <t>—</t>
        </is>
      </c>
      <c r="O126" s="16" t="inlineStr">
        <is>
          <t>—</t>
        </is>
      </c>
      <c r="P126" s="16" t="inlineStr">
        <is>
          <t>DeKalb Av (B,Q,R), Jay St-MetroTech</t>
        </is>
      </c>
      <c r="Q126" s="16" t="inlineStr">
        <is>
          <t>El food hall mas honesto de Brooklyn. Tiene una sucursal de Katz's adentro, sin la cola de Houston Street.</t>
        </is>
      </c>
      <c r="R126" s="16" t="inlineStr">
        <is>
          <t>445 Albee Square W, Brooklyn</t>
        </is>
      </c>
      <c r="S126" s="16" t="inlineStr">
        <is>
          <t>—</t>
        </is>
      </c>
      <c r="T126" s="18" t="inlineStr">
        <is>
          <t>Abrir ↗</t>
        </is>
      </c>
      <c r="U126" s="19" t="inlineStr">
        <is>
          <t>lista google</t>
        </is>
      </c>
      <c r="V126" s="20" t="inlineStr"/>
    </row>
    <row r="127" ht="46" customHeight="1">
      <c r="A127" s="9" t="inlineStr">
        <is>
          <t>Eataly Flatiron</t>
        </is>
      </c>
      <c r="B127" s="10" t="inlineStr">
        <is>
          <t>Mercado y food hall</t>
        </is>
      </c>
      <c r="C127" s="11" t="inlineStr">
        <is>
          <t>Comida</t>
        </is>
      </c>
      <c r="D127" s="11" t="inlineStr">
        <is>
          <t>Flatiron</t>
        </is>
      </c>
      <c r="E127" s="11" t="inlineStr">
        <is>
          <t>Manhattan</t>
        </is>
      </c>
      <c r="F127" s="12" t="n">
        <v>1</v>
      </c>
      <c r="G127" s="12" t="n">
        <v>1</v>
      </c>
      <c r="H127" s="13">
        <f>IF(AND(F127=2,G127=2),"AMBOS",IF(AND(F127=2,G127&lt;2),"solo JP",IF(AND(F127&lt;2,G127=2),"solo Thais","-")))</f>
        <v/>
      </c>
      <c r="I127" s="14" t="n">
        <v>30</v>
      </c>
      <c r="J127" s="15" t="n">
        <v>1.25</v>
      </c>
      <c r="K127" s="13" t="inlineStr">
        <is>
          <t>SÍ</t>
        </is>
      </c>
      <c r="L127" s="16" t="inlineStr">
        <is>
          <t>—</t>
        </is>
      </c>
      <c r="M127" s="11" t="inlineStr">
        <is>
          <t>—</t>
        </is>
      </c>
      <c r="N127" s="16" t="inlineStr">
        <is>
          <t>—</t>
        </is>
      </c>
      <c r="O127" s="16" t="inlineStr">
        <is>
          <t>—</t>
        </is>
      </c>
      <c r="P127" s="16" t="inlineStr">
        <is>
          <t>23 St (R,W,F,M)</t>
        </is>
      </c>
      <c r="Q127" s="16" t="inlineStr">
        <is>
          <t>Mercado italiano gigante: pasta fresca, mostradores de quesos y varias barras para comer parado.</t>
        </is>
      </c>
      <c r="R127" s="16" t="inlineStr">
        <is>
          <t>200 5th Ave</t>
        </is>
      </c>
      <c r="S127" s="16" t="inlineStr">
        <is>
          <t>—</t>
        </is>
      </c>
      <c r="T127" s="18" t="inlineStr">
        <is>
          <t>Abrir ↗</t>
        </is>
      </c>
      <c r="U127" s="19" t="inlineStr">
        <is>
          <t>lista google</t>
        </is>
      </c>
      <c r="V127" s="20" t="inlineStr"/>
    </row>
    <row r="128" ht="46" customHeight="1">
      <c r="A128" s="9" t="inlineStr">
        <is>
          <t>Essex Market</t>
        </is>
      </c>
      <c r="B128" s="10" t="inlineStr">
        <is>
          <t>Mercado y food hall</t>
        </is>
      </c>
      <c r="C128" s="11" t="inlineStr">
        <is>
          <t>Comida</t>
        </is>
      </c>
      <c r="D128" s="11" t="inlineStr">
        <is>
          <t>Lower East Side</t>
        </is>
      </c>
      <c r="E128" s="11" t="inlineStr">
        <is>
          <t>Manhattan</t>
        </is>
      </c>
      <c r="F128" s="12" t="n">
        <v>2</v>
      </c>
      <c r="G128" s="12" t="n">
        <v>2</v>
      </c>
      <c r="H128" s="13">
        <f>IF(AND(F128=2,G128=2),"AMBOS",IF(AND(F128=2,G128&lt;2),"solo JP",IF(AND(F128&lt;2,G128=2),"solo Thais","-")))</f>
        <v/>
      </c>
      <c r="I128" s="14" t="n">
        <v>20</v>
      </c>
      <c r="J128" s="15" t="n">
        <v>1</v>
      </c>
      <c r="K128" s="13" t="inlineStr">
        <is>
          <t>no</t>
        </is>
      </c>
      <c r="L128" s="16" t="inlineStr">
        <is>
          <t>lunes a miércoles: 08:00–20:00 · jueves a sábado: 08:00–21:00 · domingo: 10:00–18:00</t>
        </is>
      </c>
      <c r="M128" s="11" t="inlineStr">
        <is>
          <t>—</t>
        </is>
      </c>
      <c r="N128" s="16" t="inlineStr">
        <is>
          <t>—</t>
        </is>
      </c>
      <c r="O128" s="16" t="inlineStr">
        <is>
          <t>—</t>
        </is>
      </c>
      <c r="P128" s="16" t="inlineStr">
        <is>
          <t>Essex St (J,M,Z), Delancey St (F)</t>
        </is>
      </c>
      <c r="Q128" s="16" t="inlineStr">
        <is>
          <t>Mercado municipal desde 1940 en edificio nuevo. Sigue teniendo carniceros, pescaderos y verduleros de verdad, no solo puestos de comida para turistas.</t>
        </is>
      </c>
      <c r="R128" s="16" t="inlineStr">
        <is>
          <t>88 Essex St</t>
        </is>
      </c>
      <c r="S128" s="17" t="inlineStr">
        <is>
          <t>Día 2 · dom 30/8</t>
        </is>
      </c>
      <c r="T128" s="18" t="inlineStr">
        <is>
          <t>Abrir ↗</t>
        </is>
      </c>
      <c r="U128" s="19" t="inlineStr">
        <is>
          <t>lista google</t>
        </is>
      </c>
      <c r="V128" s="20" t="inlineStr">
        <is>
          <t>SÍ</t>
        </is>
      </c>
    </row>
    <row r="129" ht="46" customHeight="1">
      <c r="A129" s="9" t="inlineStr">
        <is>
          <t>Gansevoort Market</t>
        </is>
      </c>
      <c r="B129" s="10" t="inlineStr">
        <is>
          <t>Mercado y food hall</t>
        </is>
      </c>
      <c r="C129" s="11" t="inlineStr">
        <is>
          <t>Comida</t>
        </is>
      </c>
      <c r="D129" s="11" t="inlineStr">
        <is>
          <t>Meatpacking</t>
        </is>
      </c>
      <c r="E129" s="11" t="inlineStr">
        <is>
          <t>Manhattan</t>
        </is>
      </c>
      <c r="F129" s="12" t="n">
        <v>1</v>
      </c>
      <c r="G129" s="12" t="n">
        <v>1</v>
      </c>
      <c r="H129" s="13">
        <f>IF(AND(F129=2,G129=2),"AMBOS",IF(AND(F129=2,G129&lt;2),"solo JP",IF(AND(F129&lt;2,G129=2),"solo Thais","-")))</f>
        <v/>
      </c>
      <c r="I129" s="14" t="n">
        <v>15</v>
      </c>
      <c r="J129" s="15" t="n">
        <v>0.8</v>
      </c>
      <c r="K129" s="13" t="inlineStr">
        <is>
          <t>no</t>
        </is>
      </c>
      <c r="L129" s="16" t="inlineStr">
        <is>
          <t>—</t>
        </is>
      </c>
      <c r="M129" s="11" t="inlineStr">
        <is>
          <t>—</t>
        </is>
      </c>
      <c r="N129" s="16" t="inlineStr">
        <is>
          <t>—</t>
        </is>
      </c>
      <c r="O129" s="16" t="inlineStr">
        <is>
          <t>—</t>
        </is>
      </c>
      <c r="P129" s="16" t="inlineStr">
        <is>
          <t>14 St (A,C,E), 8 Av (L)</t>
        </is>
      </c>
      <c r="Q129" s="16" t="inlineStr">
        <is>
          <t>Food hall en un galpon del Meatpacking, mucho menos turistico que Chelsea Market y a cuatro cuadras del High Line.</t>
        </is>
      </c>
      <c r="R129" s="16" t="inlineStr">
        <is>
          <t>353 W 14th St</t>
        </is>
      </c>
      <c r="S129" s="16" t="inlineStr">
        <is>
          <t>—</t>
        </is>
      </c>
      <c r="T129" s="18" t="inlineStr">
        <is>
          <t>Abrir ↗</t>
        </is>
      </c>
      <c r="U129" s="21" t="inlineStr">
        <is>
          <t>otros</t>
        </is>
      </c>
      <c r="V129" s="20" t="inlineStr"/>
    </row>
    <row r="130" ht="46" customHeight="1">
      <c r="A130" s="9" t="inlineStr">
        <is>
          <t>Morningside Park Farmers Market</t>
        </is>
      </c>
      <c r="B130" s="10" t="inlineStr">
        <is>
          <t>Mercado y food hall</t>
        </is>
      </c>
      <c r="C130" s="11" t="inlineStr">
        <is>
          <t>Comida</t>
        </is>
      </c>
      <c r="D130" s="11" t="inlineStr">
        <is>
          <t>Morningside Heights</t>
        </is>
      </c>
      <c r="E130" s="11" t="inlineStr">
        <is>
          <t>Manhattan</t>
        </is>
      </c>
      <c r="F130" s="12" t="n">
        <v>1</v>
      </c>
      <c r="G130" s="12" t="n">
        <v>1</v>
      </c>
      <c r="H130" s="13">
        <f>IF(AND(F130=2,G130=2),"AMBOS",IF(AND(F130=2,G130&lt;2),"solo JP",IF(AND(F130&lt;2,G130=2),"solo Thais","-")))</f>
        <v/>
      </c>
      <c r="I130" s="14" t="n">
        <v>0</v>
      </c>
      <c r="J130" s="15" t="n">
        <v>0.5</v>
      </c>
      <c r="K130" s="13" t="inlineStr">
        <is>
          <t>no</t>
        </is>
      </c>
      <c r="L130" s="16" t="inlineStr">
        <is>
          <t>—</t>
        </is>
      </c>
      <c r="M130" s="11" t="inlineStr">
        <is>
          <t>—</t>
        </is>
      </c>
      <c r="N130" s="16" t="inlineStr">
        <is>
          <t>—</t>
        </is>
      </c>
      <c r="O130" s="16" t="inlineStr">
        <is>
          <t>—</t>
        </is>
      </c>
      <c r="P130" s="16" t="inlineStr">
        <is>
          <t>116 St-Columbia University (1)</t>
        </is>
      </c>
      <c r="Q130" s="16" t="inlineStr">
        <is>
          <t>Feria de productores del barrio de Columbia. Solo algunos días: verificar antes de ir.</t>
        </is>
      </c>
      <c r="R130" s="16" t="inlineStr"/>
      <c r="S130" s="16" t="inlineStr">
        <is>
          <t>—</t>
        </is>
      </c>
      <c r="T130" s="18" t="inlineStr">
        <is>
          <t>Abrir ↗</t>
        </is>
      </c>
      <c r="U130" s="19" t="inlineStr">
        <is>
          <t>lista google</t>
        </is>
      </c>
      <c r="V130" s="20" t="inlineStr"/>
    </row>
    <row r="131" ht="46" customHeight="1">
      <c r="A131" s="9" t="inlineStr">
        <is>
          <t>New World Mall Food Court</t>
        </is>
      </c>
      <c r="B131" s="10" t="inlineStr">
        <is>
          <t>Mercado y food hall</t>
        </is>
      </c>
      <c r="C131" s="11" t="inlineStr">
        <is>
          <t>Comida</t>
        </is>
      </c>
      <c r="D131" s="11" t="inlineStr">
        <is>
          <t>Flushing</t>
        </is>
      </c>
      <c r="E131" s="11" t="inlineStr">
        <is>
          <t>Queens</t>
        </is>
      </c>
      <c r="F131" s="12" t="n">
        <v>0</v>
      </c>
      <c r="G131" s="12" t="n">
        <v>0</v>
      </c>
      <c r="H131" s="13">
        <f>IF(AND(F131=2,G131=2),"AMBOS",IF(AND(F131=2,G131&lt;2),"solo JP",IF(AND(F131&lt;2,G131=2),"solo Thais","-")))</f>
        <v/>
      </c>
      <c r="I131" s="14" t="n">
        <v>15</v>
      </c>
      <c r="J131" s="15" t="n">
        <v>1.5</v>
      </c>
      <c r="K131" s="13" t="inlineStr">
        <is>
          <t>no</t>
        </is>
      </c>
      <c r="L131" s="16" t="inlineStr">
        <is>
          <t>—</t>
        </is>
      </c>
      <c r="M131" s="11" t="inlineStr">
        <is>
          <t>—</t>
        </is>
      </c>
      <c r="N131" s="16" t="inlineStr">
        <is>
          <t>—</t>
        </is>
      </c>
      <c r="O131" s="16" t="inlineStr">
        <is>
          <t>—</t>
        </is>
      </c>
      <c r="P131" s="16" t="inlineStr">
        <is>
          <t>Main St (7)</t>
        </is>
      </c>
      <c r="Q131" s="16" t="inlineStr">
        <is>
          <t>Food court subterraneo con decenas de puestos regionales chinos. Cero concesiones al paladar occidental: ahi esta la gracia.</t>
        </is>
      </c>
      <c r="R131" s="16" t="inlineStr">
        <is>
          <t>136-20 Roosevelt Ave, Flushing</t>
        </is>
      </c>
      <c r="S131" s="16" t="inlineStr">
        <is>
          <t>—</t>
        </is>
      </c>
      <c r="T131" s="18" t="inlineStr">
        <is>
          <t>Abrir ↗</t>
        </is>
      </c>
      <c r="U131" s="21" t="inlineStr">
        <is>
          <t>otros</t>
        </is>
      </c>
      <c r="V131" s="20" t="inlineStr"/>
    </row>
    <row r="132" ht="46" customHeight="1">
      <c r="A132" s="9" t="inlineStr">
        <is>
          <t>Smorgasburg Williamsburg</t>
        </is>
      </c>
      <c r="B132" s="10" t="inlineStr">
        <is>
          <t>Mercado y food hall</t>
        </is>
      </c>
      <c r="C132" s="11" t="inlineStr">
        <is>
          <t>Comida</t>
        </is>
      </c>
      <c r="D132" s="11" t="inlineStr">
        <is>
          <t>Williamsburg</t>
        </is>
      </c>
      <c r="E132" s="11" t="inlineStr">
        <is>
          <t>Brooklyn</t>
        </is>
      </c>
      <c r="F132" s="12" t="n">
        <v>1</v>
      </c>
      <c r="G132" s="12" t="n">
        <v>1</v>
      </c>
      <c r="H132" s="13">
        <f>IF(AND(F132=2,G132=2),"AMBOS",IF(AND(F132=2,G132&lt;2),"solo JP",IF(AND(F132&lt;2,G132=2),"solo Thais","-")))</f>
        <v/>
      </c>
      <c r="I132" s="14" t="n">
        <v>22</v>
      </c>
      <c r="J132" s="15" t="n">
        <v>1.5</v>
      </c>
      <c r="K132" s="13" t="inlineStr">
        <is>
          <t>no</t>
        </is>
      </c>
      <c r="L132" s="16" t="inlineStr">
        <is>
          <t>—</t>
        </is>
      </c>
      <c r="M132" s="11" t="inlineStr">
        <is>
          <t>—</t>
        </is>
      </c>
      <c r="N132" s="16" t="inlineStr">
        <is>
          <t>—</t>
        </is>
      </c>
      <c r="O132" s="16" t="inlineStr">
        <is>
          <t>—</t>
        </is>
      </c>
      <c r="P132" s="16" t="inlineStr">
        <is>
          <t>Bedford Av (L)</t>
        </is>
      </c>
      <c r="Q132" s="16" t="inlineStr">
        <is>
          <t>74 puestos esta temporada, 22 nuevos. Sirve para picar liviano y llegar con hambre a Peter Luger: porciones chicas de muchos puestos en vez de un plato.</t>
        </is>
      </c>
      <c r="R132" s="16" t="inlineStr">
        <is>
          <t>Marsha P. Johnson State Park, Kent Ave, Brooklyn</t>
        </is>
      </c>
      <c r="S132" s="16" t="inlineStr">
        <is>
          <t>—</t>
        </is>
      </c>
      <c r="T132" s="18" t="inlineStr">
        <is>
          <t>Abrir ↗</t>
        </is>
      </c>
      <c r="U132" s="21" t="inlineStr">
        <is>
          <t>otros</t>
        </is>
      </c>
      <c r="V132" s="20" t="inlineStr"/>
    </row>
    <row r="133" ht="46" customHeight="1">
      <c r="A133" s="9" t="inlineStr">
        <is>
          <t>Time Out Market</t>
        </is>
      </c>
      <c r="B133" s="10" t="inlineStr">
        <is>
          <t>Mercado y food hall</t>
        </is>
      </c>
      <c r="C133" s="11" t="inlineStr">
        <is>
          <t>Comida</t>
        </is>
      </c>
      <c r="D133" s="11" t="inlineStr">
        <is>
          <t>DUMBO</t>
        </is>
      </c>
      <c r="E133" s="11" t="inlineStr">
        <is>
          <t>Brooklyn</t>
        </is>
      </c>
      <c r="F133" s="12" t="n">
        <v>1</v>
      </c>
      <c r="G133" s="12" t="n">
        <v>1</v>
      </c>
      <c r="H133" s="13">
        <f>IF(AND(F133=2,G133=2),"AMBOS",IF(AND(F133=2,G133&lt;2),"solo JP",IF(AND(F133&lt;2,G133=2),"solo Thais","-")))</f>
        <v/>
      </c>
      <c r="I133" s="14" t="n">
        <v>25</v>
      </c>
      <c r="J133" s="15" t="n">
        <v>1.25</v>
      </c>
      <c r="K133" s="13" t="inlineStr">
        <is>
          <t>SÍ</t>
        </is>
      </c>
      <c r="L133" s="16" t="inlineStr">
        <is>
          <t>—</t>
        </is>
      </c>
      <c r="M133" s="11" t="inlineStr">
        <is>
          <t>—</t>
        </is>
      </c>
      <c r="N133" s="16" t="inlineStr">
        <is>
          <t>—</t>
        </is>
      </c>
      <c r="O133" s="16" t="inlineStr">
        <is>
          <t>—</t>
        </is>
      </c>
      <c r="P133" s="16" t="inlineStr">
        <is>
          <t>York St (F), High St (A,C)</t>
        </is>
      </c>
      <c r="Q133" s="16" t="inlineStr">
        <is>
          <t>Food hall curado con terraza que da al Brooklyn Bridge. Es turistico y esta bien: la terraza al atardecer justifica la parada.</t>
        </is>
      </c>
      <c r="R133" s="16" t="inlineStr">
        <is>
          <t>55 Water St, Brooklyn</t>
        </is>
      </c>
      <c r="S133" s="16" t="inlineStr">
        <is>
          <t>—</t>
        </is>
      </c>
      <c r="T133" s="18" t="inlineStr">
        <is>
          <t>Abrir ↗</t>
        </is>
      </c>
      <c r="U133" s="19" t="inlineStr">
        <is>
          <t>lista google</t>
        </is>
      </c>
      <c r="V133" s="20" t="inlineStr"/>
    </row>
    <row r="134" ht="46" customHeight="1">
      <c r="A134" s="9" t="inlineStr">
        <is>
          <t>Zabar's</t>
        </is>
      </c>
      <c r="B134" s="10" t="inlineStr">
        <is>
          <t>Mercado y food hall</t>
        </is>
      </c>
      <c r="C134" s="11" t="inlineStr">
        <is>
          <t>Comida</t>
        </is>
      </c>
      <c r="D134" s="11" t="inlineStr">
        <is>
          <t>Upper West Side</t>
        </is>
      </c>
      <c r="E134" s="11" t="inlineStr">
        <is>
          <t>Manhattan</t>
        </is>
      </c>
      <c r="F134" s="12" t="n">
        <v>1</v>
      </c>
      <c r="G134" s="12" t="n">
        <v>1</v>
      </c>
      <c r="H134" s="13">
        <f>IF(AND(F134=2,G134=2),"AMBOS",IF(AND(F134=2,G134&lt;2),"solo JP",IF(AND(F134&lt;2,G134=2),"solo Thais","-")))</f>
        <v/>
      </c>
      <c r="I134" s="14" t="n">
        <v>15</v>
      </c>
      <c r="J134" s="15" t="n">
        <v>0.75</v>
      </c>
      <c r="K134" s="13" t="inlineStr">
        <is>
          <t>no</t>
        </is>
      </c>
      <c r="L134" s="16" t="inlineStr">
        <is>
          <t>—</t>
        </is>
      </c>
      <c r="M134" s="11" t="inlineStr">
        <is>
          <t>—</t>
        </is>
      </c>
      <c r="N134" s="16" t="inlineStr">
        <is>
          <t>—</t>
        </is>
      </c>
      <c r="O134" s="16" t="inlineStr">
        <is>
          <t>—</t>
        </is>
      </c>
      <c r="P134" s="16" t="inlineStr">
        <is>
          <t>79 St (1)</t>
        </is>
      </c>
      <c r="Q134" s="16" t="inlineStr">
        <is>
          <t>La institución del Upper West Side desde 1934: quesos, ahumados y un café arriba. A pasos de The Beacon.</t>
        </is>
      </c>
      <c r="R134" s="16" t="inlineStr">
        <is>
          <t>2245 Broadway</t>
        </is>
      </c>
      <c r="S134" s="16" t="inlineStr">
        <is>
          <t>—</t>
        </is>
      </c>
      <c r="T134" s="18" t="inlineStr">
        <is>
          <t>Abrir ↗</t>
        </is>
      </c>
      <c r="U134" s="19" t="inlineStr">
        <is>
          <t>lista google</t>
        </is>
      </c>
      <c r="V134" s="20" t="inlineStr"/>
    </row>
    <row r="135" ht="46" customHeight="1">
      <c r="A135" s="9" t="inlineStr">
        <is>
          <t>Amy's Bread</t>
        </is>
      </c>
      <c r="B135" s="10" t="inlineStr">
        <is>
          <t>Panadería y bagels</t>
        </is>
      </c>
      <c r="C135" s="11" t="inlineStr">
        <is>
          <t>Comida</t>
        </is>
      </c>
      <c r="D135" s="11" t="inlineStr">
        <is>
          <t>Hell's Kitchen</t>
        </is>
      </c>
      <c r="E135" s="11" t="inlineStr">
        <is>
          <t>Manhattan</t>
        </is>
      </c>
      <c r="F135" s="12" t="n">
        <v>1</v>
      </c>
      <c r="G135" s="12" t="n">
        <v>1</v>
      </c>
      <c r="H135" s="13">
        <f>IF(AND(F135=2,G135=2),"AMBOS",IF(AND(F135=2,G135&lt;2),"solo JP",IF(AND(F135&lt;2,G135=2),"solo Thais","-")))</f>
        <v/>
      </c>
      <c r="I135" s="14" t="n">
        <v>8</v>
      </c>
      <c r="J135" s="15" t="n">
        <v>0.3</v>
      </c>
      <c r="K135" s="13" t="inlineStr">
        <is>
          <t>no</t>
        </is>
      </c>
      <c r="L135" s="16" t="inlineStr">
        <is>
          <t>—</t>
        </is>
      </c>
      <c r="M135" s="11" t="inlineStr">
        <is>
          <t>—</t>
        </is>
      </c>
      <c r="N135" s="16" t="inlineStr">
        <is>
          <t>—</t>
        </is>
      </c>
      <c r="O135" s="16" t="inlineStr">
        <is>
          <t>—</t>
        </is>
      </c>
      <c r="P135" s="16" t="inlineStr">
        <is>
          <t>50 St (C,E)</t>
        </is>
      </c>
      <c r="Q135" s="16" t="inlineStr">
        <is>
          <t>Panaderia de barrio desde 1992, antes de que el pan artesanal fuera moda. A cuadras del Ink48.</t>
        </is>
      </c>
      <c r="R135" s="16" t="inlineStr">
        <is>
          <t>672 9th Ave</t>
        </is>
      </c>
      <c r="S135" s="16" t="inlineStr">
        <is>
          <t>—</t>
        </is>
      </c>
      <c r="T135" s="18" t="inlineStr">
        <is>
          <t>Abrir ↗</t>
        </is>
      </c>
      <c r="U135" s="21" t="inlineStr">
        <is>
          <t>otros</t>
        </is>
      </c>
      <c r="V135" s="20" t="inlineStr"/>
    </row>
    <row r="136" ht="46" customHeight="1">
      <c r="A136" s="9" t="inlineStr">
        <is>
          <t>Bo's Bagels</t>
        </is>
      </c>
      <c r="B136" s="10" t="inlineStr">
        <is>
          <t>Panadería y bagels</t>
        </is>
      </c>
      <c r="C136" s="11" t="inlineStr">
        <is>
          <t>Comida</t>
        </is>
      </c>
      <c r="D136" s="11" t="inlineStr">
        <is>
          <t>Harlem</t>
        </is>
      </c>
      <c r="E136" s="11" t="inlineStr">
        <is>
          <t>Manhattan</t>
        </is>
      </c>
      <c r="F136" s="12" t="n">
        <v>2</v>
      </c>
      <c r="G136" s="12" t="n">
        <v>2</v>
      </c>
      <c r="H136" s="13">
        <f>IF(AND(F136=2,G136=2),"AMBOS",IF(AND(F136=2,G136&lt;2),"solo JP",IF(AND(F136&lt;2,G136=2),"solo Thais","-")))</f>
        <v/>
      </c>
      <c r="I136" s="14" t="n">
        <v>8</v>
      </c>
      <c r="J136" s="15" t="n">
        <v>0.5</v>
      </c>
      <c r="K136" s="13" t="inlineStr">
        <is>
          <t>no</t>
        </is>
      </c>
      <c r="L136" s="16" t="inlineStr">
        <is>
          <t>—</t>
        </is>
      </c>
      <c r="M136" s="11" t="inlineStr">
        <is>
          <t>—</t>
        </is>
      </c>
      <c r="N136" s="16" t="inlineStr">
        <is>
          <t>—</t>
        </is>
      </c>
      <c r="O136" s="16" t="inlineStr">
        <is>
          <t>—</t>
        </is>
      </c>
      <c r="P136" s="16" t="inlineStr">
        <is>
          <t>116 St (B,C)</t>
        </is>
      </c>
      <c r="Q136" s="16" t="inlineStr">
        <is>
          <t>El unico bagel shop dedicado de Harlem: mas chicos y densos que el estandar, con za'atar y pumpernickel-arandano.</t>
        </is>
      </c>
      <c r="R136" s="16" t="inlineStr">
        <is>
          <t>235 W 116th St</t>
        </is>
      </c>
      <c r="S136" s="17" t="inlineStr">
        <is>
          <t>Día 1 · sáb 29/8</t>
        </is>
      </c>
      <c r="T136" s="18" t="inlineStr">
        <is>
          <t>Abrir ↗</t>
        </is>
      </c>
      <c r="U136" s="19" t="inlineStr">
        <is>
          <t>lista google</t>
        </is>
      </c>
      <c r="V136" s="20" t="inlineStr">
        <is>
          <t>SÍ</t>
        </is>
      </c>
    </row>
    <row r="137" ht="46" customHeight="1">
      <c r="A137" s="9" t="inlineStr">
        <is>
          <t>Dominique Ansel Bakery</t>
        </is>
      </c>
      <c r="B137" s="10" t="inlineStr">
        <is>
          <t>Panadería y bagels</t>
        </is>
      </c>
      <c r="C137" s="11" t="inlineStr">
        <is>
          <t>Comida</t>
        </is>
      </c>
      <c r="D137" s="11" t="inlineStr">
        <is>
          <t>SoHo</t>
        </is>
      </c>
      <c r="E137" s="11" t="inlineStr">
        <is>
          <t>Manhattan</t>
        </is>
      </c>
      <c r="F137" s="12" t="n">
        <v>1</v>
      </c>
      <c r="G137" s="12" t="n">
        <v>1</v>
      </c>
      <c r="H137" s="13">
        <f>IF(AND(F137=2,G137=2),"AMBOS",IF(AND(F137=2,G137&lt;2),"solo JP",IF(AND(F137&lt;2,G137=2),"solo Thais","-")))</f>
        <v/>
      </c>
      <c r="I137" s="14" t="n">
        <v>15</v>
      </c>
      <c r="J137" s="15" t="n">
        <v>0.5</v>
      </c>
      <c r="K137" s="13" t="inlineStr">
        <is>
          <t>SÍ</t>
        </is>
      </c>
      <c r="L137" s="16" t="inlineStr">
        <is>
          <t>—</t>
        </is>
      </c>
      <c r="M137" s="11" t="inlineStr">
        <is>
          <t>—</t>
        </is>
      </c>
      <c r="N137" s="16" t="inlineStr">
        <is>
          <t>—</t>
        </is>
      </c>
      <c r="O137" s="16" t="inlineStr">
        <is>
          <t>—</t>
        </is>
      </c>
      <c r="P137" s="16" t="inlineStr">
        <is>
          <t>Spring St (C,E)</t>
        </is>
      </c>
      <c r="Q137" s="16" t="inlineStr">
        <is>
          <t>El obrador donde se inventó el cronut. Ir temprano o se agota lo bueno.</t>
        </is>
      </c>
      <c r="R137" s="16" t="inlineStr">
        <is>
          <t>189 Spring St</t>
        </is>
      </c>
      <c r="S137" s="16" t="inlineStr">
        <is>
          <t>—</t>
        </is>
      </c>
      <c r="T137" s="18" t="inlineStr">
        <is>
          <t>Abrir ↗</t>
        </is>
      </c>
      <c r="U137" s="19" t="inlineStr">
        <is>
          <t>lista google</t>
        </is>
      </c>
      <c r="V137" s="20" t="inlineStr"/>
    </row>
    <row r="138" ht="46" customHeight="1">
      <c r="A138" s="9" t="inlineStr">
        <is>
          <t>La Cabra Bakery</t>
        </is>
      </c>
      <c r="B138" s="10" t="inlineStr">
        <is>
          <t>Panadería y bagels</t>
        </is>
      </c>
      <c r="C138" s="11" t="inlineStr">
        <is>
          <t>Comida</t>
        </is>
      </c>
      <c r="D138" s="11" t="inlineStr">
        <is>
          <t>East Village</t>
        </is>
      </c>
      <c r="E138" s="11" t="inlineStr">
        <is>
          <t>Manhattan</t>
        </is>
      </c>
      <c r="F138" s="12" t="n">
        <v>1</v>
      </c>
      <c r="G138" s="12" t="n">
        <v>1</v>
      </c>
      <c r="H138" s="13">
        <f>IF(AND(F138=2,G138=2),"AMBOS",IF(AND(F138=2,G138&lt;2),"solo JP",IF(AND(F138&lt;2,G138=2),"solo Thais","-")))</f>
        <v/>
      </c>
      <c r="I138" s="14" t="n">
        <v>12</v>
      </c>
      <c r="J138" s="15" t="n">
        <v>0.5</v>
      </c>
      <c r="K138" s="13" t="inlineStr">
        <is>
          <t>no</t>
        </is>
      </c>
      <c r="L138" s="16" t="inlineStr">
        <is>
          <t>—</t>
        </is>
      </c>
      <c r="M138" s="11" t="inlineStr">
        <is>
          <t>—</t>
        </is>
      </c>
      <c r="N138" s="16" t="inlineStr">
        <is>
          <t>—</t>
        </is>
      </c>
      <c r="O138" s="16" t="inlineStr">
        <is>
          <t>—</t>
        </is>
      </c>
      <c r="P138" s="16" t="inlineStr">
        <is>
          <t>Astor Pl (6)</t>
        </is>
      </c>
      <c r="Q138" s="16" t="inlineStr">
        <is>
          <t>Panadería danesa: el cardamom bun y el laminado son de otro nivel.</t>
        </is>
      </c>
      <c r="R138" s="16" t="inlineStr">
        <is>
          <t>152 2nd Ave</t>
        </is>
      </c>
      <c r="S138" s="16" t="inlineStr">
        <is>
          <t>—</t>
        </is>
      </c>
      <c r="T138" s="18" t="inlineStr">
        <is>
          <t>Abrir ↗</t>
        </is>
      </c>
      <c r="U138" s="19" t="inlineStr">
        <is>
          <t>lista google</t>
        </is>
      </c>
      <c r="V138" s="20" t="inlineStr"/>
    </row>
    <row r="139" ht="46" customHeight="1">
      <c r="A139" s="9" t="inlineStr">
        <is>
          <t>Pop's Bagels Nolita</t>
        </is>
      </c>
      <c r="B139" s="10" t="inlineStr">
        <is>
          <t>Panadería y bagels</t>
        </is>
      </c>
      <c r="C139" s="11" t="inlineStr">
        <is>
          <t>Comida</t>
        </is>
      </c>
      <c r="D139" s="11" t="inlineStr">
        <is>
          <t>Nolita</t>
        </is>
      </c>
      <c r="E139" s="11" t="inlineStr">
        <is>
          <t>Manhattan</t>
        </is>
      </c>
      <c r="F139" s="12" t="n">
        <v>1</v>
      </c>
      <c r="G139" s="12" t="n">
        <v>1</v>
      </c>
      <c r="H139" s="13">
        <f>IF(AND(F139=2,G139=2),"AMBOS",IF(AND(F139=2,G139&lt;2),"solo JP",IF(AND(F139&lt;2,G139=2),"solo Thais","-")))</f>
        <v/>
      </c>
      <c r="I139" s="14" t="n">
        <v>10</v>
      </c>
      <c r="J139" s="15" t="n">
        <v>0.4</v>
      </c>
      <c r="K139" s="13" t="inlineStr">
        <is>
          <t>no</t>
        </is>
      </c>
      <c r="L139" s="16" t="inlineStr">
        <is>
          <t>—</t>
        </is>
      </c>
      <c r="M139" s="11" t="inlineStr">
        <is>
          <t>—</t>
        </is>
      </c>
      <c r="N139" s="16" t="inlineStr">
        <is>
          <t>—</t>
        </is>
      </c>
      <c r="O139" s="16" t="inlineStr">
        <is>
          <t>—</t>
        </is>
      </c>
      <c r="P139" s="16" t="inlineStr">
        <is>
          <t>Spring St (6)</t>
        </is>
      </c>
      <c r="Q139" s="16" t="inlineStr">
        <is>
          <t>La camada nueva del bagel neoyorquino: masa más chica y densa, hecha por tandas.</t>
        </is>
      </c>
      <c r="R139" s="16" t="inlineStr"/>
      <c r="S139" s="16" t="inlineStr">
        <is>
          <t>—</t>
        </is>
      </c>
      <c r="T139" s="18" t="inlineStr">
        <is>
          <t>Abrir ↗</t>
        </is>
      </c>
      <c r="U139" s="19" t="inlineStr">
        <is>
          <t>lista google</t>
        </is>
      </c>
      <c r="V139" s="20" t="inlineStr"/>
    </row>
    <row r="140" ht="46" customHeight="1">
      <c r="A140" s="9" t="inlineStr">
        <is>
          <t>Rudy's Pastry Shop</t>
        </is>
      </c>
      <c r="B140" s="10" t="inlineStr">
        <is>
          <t>Panadería y bagels</t>
        </is>
      </c>
      <c r="C140" s="11" t="inlineStr">
        <is>
          <t>Comida</t>
        </is>
      </c>
      <c r="D140" s="11" t="inlineStr">
        <is>
          <t>Ridgewood</t>
        </is>
      </c>
      <c r="E140" s="11" t="inlineStr">
        <is>
          <t>Queens</t>
        </is>
      </c>
      <c r="F140" s="12" t="n">
        <v>0</v>
      </c>
      <c r="G140" s="12" t="n">
        <v>0</v>
      </c>
      <c r="H140" s="13">
        <f>IF(AND(F140=2,G140=2),"AMBOS",IF(AND(F140=2,G140&lt;2),"solo JP",IF(AND(F140&lt;2,G140=2),"solo Thais","-")))</f>
        <v/>
      </c>
      <c r="I140" s="14" t="n">
        <v>6</v>
      </c>
      <c r="J140" s="15" t="n">
        <v>0.5</v>
      </c>
      <c r="K140" s="13" t="inlineStr">
        <is>
          <t>no</t>
        </is>
      </c>
      <c r="L140" s="16" t="inlineStr">
        <is>
          <t>—</t>
        </is>
      </c>
      <c r="M140" s="11" t="inlineStr">
        <is>
          <t>—</t>
        </is>
      </c>
      <c r="N140" s="16" t="inlineStr">
        <is>
          <t>—</t>
        </is>
      </c>
      <c r="O140" s="16" t="inlineStr">
        <is>
          <t>—</t>
        </is>
      </c>
      <c r="P140" s="16" t="inlineStr">
        <is>
          <t>Seneca Av (M)</t>
        </is>
      </c>
      <c r="Q140" s="16" t="inlineStr">
        <is>
          <t>Abierta en 1934, la panaderia mas vieja de Queens. Black &amp; white cookies a ~$4 y reposteria alemana que ya casi no existe.</t>
        </is>
      </c>
      <c r="R140" s="16" t="inlineStr">
        <is>
          <t>905 Seneca Ave, Ridgewood</t>
        </is>
      </c>
      <c r="S140" s="16" t="inlineStr">
        <is>
          <t>—</t>
        </is>
      </c>
      <c r="T140" s="18" t="inlineStr">
        <is>
          <t>Abrir ↗</t>
        </is>
      </c>
      <c r="U140" s="21" t="inlineStr">
        <is>
          <t>otros</t>
        </is>
      </c>
      <c r="V140" s="20" t="inlineStr"/>
    </row>
    <row r="141" ht="46" customHeight="1">
      <c r="A141" s="9" t="inlineStr">
        <is>
          <t>Vesuvio Bakery</t>
        </is>
      </c>
      <c r="B141" s="10" t="inlineStr">
        <is>
          <t>Panadería y bagels</t>
        </is>
      </c>
      <c r="C141" s="11" t="inlineStr">
        <is>
          <t>Comida</t>
        </is>
      </c>
      <c r="D141" s="11" t="inlineStr">
        <is>
          <t>SoHo</t>
        </is>
      </c>
      <c r="E141" s="11" t="inlineStr">
        <is>
          <t>Manhattan</t>
        </is>
      </c>
      <c r="F141" s="12" t="n">
        <v>1</v>
      </c>
      <c r="G141" s="12" t="n">
        <v>1</v>
      </c>
      <c r="H141" s="13">
        <f>IF(AND(F141=2,G141=2),"AMBOS",IF(AND(F141=2,G141&lt;2),"solo JP",IF(AND(F141&lt;2,G141=2),"solo Thais","-")))</f>
        <v/>
      </c>
      <c r="I141" s="14" t="n">
        <v>8</v>
      </c>
      <c r="J141" s="15" t="n">
        <v>0.3</v>
      </c>
      <c r="K141" s="13" t="inlineStr">
        <is>
          <t>no</t>
        </is>
      </c>
      <c r="L141" s="16" t="inlineStr">
        <is>
          <t>—</t>
        </is>
      </c>
      <c r="M141" s="11" t="inlineStr">
        <is>
          <t>—</t>
        </is>
      </c>
      <c r="N141" s="16" t="inlineStr">
        <is>
          <t>—</t>
        </is>
      </c>
      <c r="O141" s="16" t="inlineStr">
        <is>
          <t>—</t>
        </is>
      </c>
      <c r="P141" s="16" t="inlineStr">
        <is>
          <t>Prince St (N,R,W)</t>
        </is>
      </c>
      <c r="Q141" s="16" t="inlineStr">
        <is>
          <t>La fachada verde mas fotografiada del SoHo, panaderia desde 1920.</t>
        </is>
      </c>
      <c r="R141" s="16" t="inlineStr">
        <is>
          <t>160 Prince St</t>
        </is>
      </c>
      <c r="S141" s="16" t="inlineStr">
        <is>
          <t>—</t>
        </is>
      </c>
      <c r="T141" s="18" t="inlineStr">
        <is>
          <t>Abrir ↗</t>
        </is>
      </c>
      <c r="U141" s="21" t="inlineStr">
        <is>
          <t>otros</t>
        </is>
      </c>
      <c r="V141" s="20" t="inlineStr"/>
    </row>
    <row r="142" ht="46" customHeight="1">
      <c r="A142" s="9" t="inlineStr">
        <is>
          <t>Bleecker Street Pizza</t>
        </is>
      </c>
      <c r="B142" s="10" t="inlineStr">
        <is>
          <t>Pizzería</t>
        </is>
      </c>
      <c r="C142" s="11" t="inlineStr">
        <is>
          <t>Comida</t>
        </is>
      </c>
      <c r="D142" s="11" t="inlineStr">
        <is>
          <t>West Village</t>
        </is>
      </c>
      <c r="E142" s="11" t="inlineStr">
        <is>
          <t>Manhattan</t>
        </is>
      </c>
      <c r="F142" s="12" t="n">
        <v>1</v>
      </c>
      <c r="G142" s="12" t="n">
        <v>1</v>
      </c>
      <c r="H142" s="13">
        <f>IF(AND(F142=2,G142=2),"AMBOS",IF(AND(F142=2,G142&lt;2),"solo JP",IF(AND(F142&lt;2,G142=2),"solo Thais","-")))</f>
        <v/>
      </c>
      <c r="I142" s="14" t="n">
        <v>8</v>
      </c>
      <c r="J142" s="15" t="n">
        <v>0.4</v>
      </c>
      <c r="K142" s="13" t="inlineStr">
        <is>
          <t>no</t>
        </is>
      </c>
      <c r="L142" s="16" t="inlineStr">
        <is>
          <t>—</t>
        </is>
      </c>
      <c r="M142" s="11" t="inlineStr">
        <is>
          <t>—</t>
        </is>
      </c>
      <c r="N142" s="16" t="inlineStr">
        <is>
          <t>—</t>
        </is>
      </c>
      <c r="O142" s="16" t="inlineStr">
        <is>
          <t>—</t>
        </is>
      </c>
      <c r="P142" s="16" t="inlineStr">
        <is>
          <t>Christopher St-Sheridan Sq (1)</t>
        </is>
      </c>
      <c r="Q142" s="16" t="inlineStr">
        <is>
          <t>Slice de barrio con fila constante: la Nonna Maria (vodka sauce) es la que la puso en el mapa.</t>
        </is>
      </c>
      <c r="R142" s="16" t="inlineStr">
        <is>
          <t>69 7th Ave S</t>
        </is>
      </c>
      <c r="S142" s="16" t="inlineStr">
        <is>
          <t>—</t>
        </is>
      </c>
      <c r="T142" s="18" t="inlineStr">
        <is>
          <t>Abrir ↗</t>
        </is>
      </c>
      <c r="U142" s="19" t="inlineStr">
        <is>
          <t>lista google</t>
        </is>
      </c>
      <c r="V142" s="20" t="inlineStr"/>
    </row>
    <row r="143" ht="46" customHeight="1">
      <c r="A143" s="9" t="inlineStr">
        <is>
          <t>Emily (West Village)</t>
        </is>
      </c>
      <c r="B143" s="10" t="inlineStr">
        <is>
          <t>Pizzería</t>
        </is>
      </c>
      <c r="C143" s="11" t="inlineStr">
        <is>
          <t>Comida</t>
        </is>
      </c>
      <c r="D143" s="11" t="inlineStr">
        <is>
          <t>West Village</t>
        </is>
      </c>
      <c r="E143" s="11" t="inlineStr">
        <is>
          <t>Manhattan</t>
        </is>
      </c>
      <c r="F143" s="12" t="n">
        <v>1</v>
      </c>
      <c r="G143" s="12" t="n">
        <v>1</v>
      </c>
      <c r="H143" s="13">
        <f>IF(AND(F143=2,G143=2),"AMBOS",IF(AND(F143=2,G143&lt;2),"solo JP",IF(AND(F143&lt;2,G143=2),"solo Thais","-")))</f>
        <v/>
      </c>
      <c r="I143" s="14" t="n">
        <v>35</v>
      </c>
      <c r="J143" s="15" t="n">
        <v>1.2</v>
      </c>
      <c r="K143" s="13" t="inlineStr">
        <is>
          <t>no</t>
        </is>
      </c>
      <c r="L143" s="16" t="inlineStr">
        <is>
          <t>—</t>
        </is>
      </c>
      <c r="M143" s="11" t="inlineStr">
        <is>
          <t>—</t>
        </is>
      </c>
      <c r="N143" s="16" t="inlineStr">
        <is>
          <t>—</t>
        </is>
      </c>
      <c r="O143" s="16" t="inlineStr">
        <is>
          <t>—</t>
        </is>
      </c>
      <c r="P143" s="16" t="inlineStr">
        <is>
          <t>Houston St (1), W 4 St (A,C,E,B,D,F,M)</t>
        </is>
      </c>
      <c r="Q143" s="16" t="inlineStr">
        <is>
          <t>La Colony: pizza con pepperoni, miel caliente y mozzarella ahumada que aparece en todas las listas de la mejor de la ciudad. Tambien hacen la hamburguesa Emmy, que se pide aparte y se agota.</t>
        </is>
      </c>
      <c r="R143" s="16" t="inlineStr">
        <is>
          <t>35 Downing St</t>
        </is>
      </c>
      <c r="S143" s="16" t="inlineStr">
        <is>
          <t>—</t>
        </is>
      </c>
      <c r="T143" s="18" t="inlineStr">
        <is>
          <t>Abrir ↗</t>
        </is>
      </c>
      <c r="U143" s="21" t="inlineStr">
        <is>
          <t>otros</t>
        </is>
      </c>
      <c r="V143" s="20" t="inlineStr"/>
    </row>
    <row r="144" ht="46" customHeight="1">
      <c r="A144" s="9" t="inlineStr">
        <is>
          <t>Joe's Pizza (Carmine St)</t>
        </is>
      </c>
      <c r="B144" s="10" t="inlineStr">
        <is>
          <t>Pizzería</t>
        </is>
      </c>
      <c r="C144" s="11" t="inlineStr">
        <is>
          <t>Comida</t>
        </is>
      </c>
      <c r="D144" s="11" t="inlineStr">
        <is>
          <t>Greenwich Village</t>
        </is>
      </c>
      <c r="E144" s="11" t="inlineStr">
        <is>
          <t>Manhattan</t>
        </is>
      </c>
      <c r="F144" s="12" t="n">
        <v>1</v>
      </c>
      <c r="G144" s="12" t="n">
        <v>1</v>
      </c>
      <c r="H144" s="13">
        <f>IF(AND(F144=2,G144=2),"AMBOS",IF(AND(F144=2,G144&lt;2),"solo JP",IF(AND(F144&lt;2,G144=2),"solo Thais","-")))</f>
        <v/>
      </c>
      <c r="I144" s="14" t="n">
        <v>10</v>
      </c>
      <c r="J144" s="15" t="n">
        <v>0.3</v>
      </c>
      <c r="K144" s="13" t="inlineStr">
        <is>
          <t>no</t>
        </is>
      </c>
      <c r="L144" s="16" t="inlineStr">
        <is>
          <t>—</t>
        </is>
      </c>
      <c r="M144" s="11" t="inlineStr">
        <is>
          <t>—</t>
        </is>
      </c>
      <c r="N144" s="16" t="inlineStr">
        <is>
          <t>—</t>
        </is>
      </c>
      <c r="O144" s="16" t="inlineStr">
        <is>
          <t>—</t>
        </is>
      </c>
      <c r="P144" s="16" t="inlineStr">
        <is>
          <t>W 4 St (A,C,E,B,D,F,M)</t>
        </is>
      </c>
      <c r="Q144" s="16" t="inlineStr">
        <is>
          <t>desde 1975, la porción de muzzarella clásica de Nueva York. No hay nada más rápido que sea igual de bueno tan cerca del club.</t>
        </is>
      </c>
      <c r="R144" s="16" t="inlineStr">
        <is>
          <t>7 Carmine St</t>
        </is>
      </c>
      <c r="S144" s="16" t="inlineStr">
        <is>
          <t>—</t>
        </is>
      </c>
      <c r="T144" s="18" t="inlineStr">
        <is>
          <t>Abrir ↗</t>
        </is>
      </c>
      <c r="U144" s="21" t="inlineStr">
        <is>
          <t>otros</t>
        </is>
      </c>
      <c r="V144" s="20" t="inlineStr"/>
    </row>
    <row r="145" ht="46" customHeight="1">
      <c r="A145" s="9" t="inlineStr">
        <is>
          <t>John's of Times Square</t>
        </is>
      </c>
      <c r="B145" s="10" t="inlineStr">
        <is>
          <t>Pizzería</t>
        </is>
      </c>
      <c r="C145" s="11" t="inlineStr">
        <is>
          <t>Comida</t>
        </is>
      </c>
      <c r="D145" s="11" t="inlineStr">
        <is>
          <t>Theater District</t>
        </is>
      </c>
      <c r="E145" s="11" t="inlineStr">
        <is>
          <t>Manhattan</t>
        </is>
      </c>
      <c r="F145" s="12" t="n">
        <v>1</v>
      </c>
      <c r="G145" s="12" t="n">
        <v>1</v>
      </c>
      <c r="H145" s="13">
        <f>IF(AND(F145=2,G145=2),"AMBOS",IF(AND(F145=2,G145&lt;2),"solo JP",IF(AND(F145&lt;2,G145=2),"solo Thais","-")))</f>
        <v/>
      </c>
      <c r="I145" s="14" t="n">
        <v>25</v>
      </c>
      <c r="J145" s="15" t="n">
        <v>1</v>
      </c>
      <c r="K145" s="13" t="inlineStr">
        <is>
          <t>SÍ</t>
        </is>
      </c>
      <c r="L145" s="16" t="inlineStr">
        <is>
          <t>—</t>
        </is>
      </c>
      <c r="M145" s="11" t="inlineStr">
        <is>
          <t>—</t>
        </is>
      </c>
      <c r="N145" s="16" t="inlineStr">
        <is>
          <t>—</t>
        </is>
      </c>
      <c r="O145" s="16" t="inlineStr">
        <is>
          <t>—</t>
        </is>
      </c>
      <c r="P145" s="16" t="inlineStr">
        <is>
          <t>42 St-Port Authority (A,C,E)</t>
        </is>
      </c>
      <c r="Q145" s="16" t="inlineStr">
        <is>
          <t>Pizzería de horno a leña DENTRO de una iglesia reconvertida, con los vitrales intactos. Sin porciones: pizza entera.</t>
        </is>
      </c>
      <c r="R145" s="16" t="inlineStr">
        <is>
          <t>260 W 44th St</t>
        </is>
      </c>
      <c r="S145" s="16" t="inlineStr">
        <is>
          <t>—</t>
        </is>
      </c>
      <c r="T145" s="18" t="inlineStr">
        <is>
          <t>Abrir ↗</t>
        </is>
      </c>
      <c r="U145" s="19" t="inlineStr">
        <is>
          <t>lista google</t>
        </is>
      </c>
      <c r="V145" s="20" t="inlineStr"/>
    </row>
    <row r="146" ht="46" customHeight="1">
      <c r="A146" s="9" t="inlineStr">
        <is>
          <t>Juliana's Pizza</t>
        </is>
      </c>
      <c r="B146" s="10" t="inlineStr">
        <is>
          <t>Pizzería</t>
        </is>
      </c>
      <c r="C146" s="11" t="inlineStr">
        <is>
          <t>Comida</t>
        </is>
      </c>
      <c r="D146" s="11" t="inlineStr">
        <is>
          <t>DUMBO</t>
        </is>
      </c>
      <c r="E146" s="11" t="inlineStr">
        <is>
          <t>Brooklyn</t>
        </is>
      </c>
      <c r="F146" s="12" t="n">
        <v>1</v>
      </c>
      <c r="G146" s="12" t="n">
        <v>1</v>
      </c>
      <c r="H146" s="13">
        <f>IF(AND(F146=2,G146=2),"AMBOS",IF(AND(F146=2,G146&lt;2),"solo JP",IF(AND(F146&lt;2,G146=2),"solo Thais","-")))</f>
        <v/>
      </c>
      <c r="I146" s="14" t="n">
        <v>25</v>
      </c>
      <c r="J146" s="15" t="n">
        <v>1</v>
      </c>
      <c r="K146" s="13" t="inlineStr">
        <is>
          <t>no</t>
        </is>
      </c>
      <c r="L146" s="16" t="inlineStr">
        <is>
          <t>—</t>
        </is>
      </c>
      <c r="M146" s="11" t="inlineStr">
        <is>
          <t>—</t>
        </is>
      </c>
      <c r="N146" s="16" t="inlineStr">
        <is>
          <t>—</t>
        </is>
      </c>
      <c r="O146" s="16" t="inlineStr">
        <is>
          <t>—</t>
        </is>
      </c>
      <c r="P146" s="16" t="inlineStr">
        <is>
          <t>High St (A,C), York St (F)</t>
        </is>
      </c>
      <c r="Q146" s="16" t="inlineStr">
        <is>
          <t>es la pizzería de Patsy Grimaldi, que vendió su nombre y volvió a abrir al lado en 2012. Horno de carbón. La Margherita clásica, o la "No. 1" con mozzarella de búfala.</t>
        </is>
      </c>
      <c r="R146" s="16" t="inlineStr">
        <is>
          <t>19 Old Fulton St, Brooklyn</t>
        </is>
      </c>
      <c r="S146" s="16" t="inlineStr">
        <is>
          <t>—</t>
        </is>
      </c>
      <c r="T146" s="18" t="inlineStr">
        <is>
          <t>Abrir ↗</t>
        </is>
      </c>
      <c r="U146" s="21" t="inlineStr">
        <is>
          <t>otros</t>
        </is>
      </c>
      <c r="V146" s="20" t="inlineStr"/>
    </row>
    <row r="147" ht="46" customHeight="1">
      <c r="A147" s="9" t="inlineStr">
        <is>
          <t>L&amp;B Spumoni Gardens</t>
        </is>
      </c>
      <c r="B147" s="10" t="inlineStr">
        <is>
          <t>Pizzería</t>
        </is>
      </c>
      <c r="C147" s="11" t="inlineStr">
        <is>
          <t>Comida</t>
        </is>
      </c>
      <c r="D147" s="11" t="inlineStr">
        <is>
          <t>Gravesend</t>
        </is>
      </c>
      <c r="E147" s="11" t="inlineStr">
        <is>
          <t>Brooklyn</t>
        </is>
      </c>
      <c r="F147" s="12" t="n">
        <v>2</v>
      </c>
      <c r="G147" s="12" t="n">
        <v>2</v>
      </c>
      <c r="H147" s="13">
        <f>IF(AND(F147=2,G147=2),"AMBOS",IF(AND(F147=2,G147&lt;2),"solo JP",IF(AND(F147&lt;2,G147=2),"solo Thais","-")))</f>
        <v/>
      </c>
      <c r="I147" s="14" t="n">
        <v>15</v>
      </c>
      <c r="J147" s="15" t="n">
        <v>1.25</v>
      </c>
      <c r="K147" s="13" t="inlineStr">
        <is>
          <t>no</t>
        </is>
      </c>
      <c r="L147" s="16" t="inlineStr">
        <is>
          <t>—</t>
        </is>
      </c>
      <c r="M147" s="11" t="inlineStr">
        <is>
          <t>—</t>
        </is>
      </c>
      <c r="N147" s="16" t="inlineStr">
        <is>
          <t>—</t>
        </is>
      </c>
      <c r="O147" s="16" t="inlineStr">
        <is>
          <t>—</t>
        </is>
      </c>
      <c r="P147" s="16" t="inlineStr">
        <is>
          <t>Avenue X (F)</t>
        </is>
      </c>
      <c r="Q147" s="16" t="inlineStr">
        <is>
          <t>La square slice siciliana con la salsa ARRIBA del queso; es su invento y sigue siendo la mejor. Y el spumoni de postre. Vale el viaje hasta el sur de Brooklyn.</t>
        </is>
      </c>
      <c r="R147" s="16" t="inlineStr">
        <is>
          <t>2725 86th St, Brooklyn</t>
        </is>
      </c>
      <c r="S147" s="16" t="inlineStr">
        <is>
          <t>—</t>
        </is>
      </c>
      <c r="T147" s="18" t="inlineStr">
        <is>
          <t>Abrir ↗</t>
        </is>
      </c>
      <c r="U147" s="19" t="inlineStr">
        <is>
          <t>lista google</t>
        </is>
      </c>
      <c r="V147" s="20" t="inlineStr"/>
    </row>
    <row r="148" ht="46" customHeight="1">
      <c r="A148" s="9" t="inlineStr">
        <is>
          <t>Lucali</t>
        </is>
      </c>
      <c r="B148" s="10" t="inlineStr">
        <is>
          <t>Pizzería</t>
        </is>
      </c>
      <c r="C148" s="11" t="inlineStr">
        <is>
          <t>Comida</t>
        </is>
      </c>
      <c r="D148" s="11" t="inlineStr">
        <is>
          <t>Carroll Gardens</t>
        </is>
      </c>
      <c r="E148" s="11" t="inlineStr">
        <is>
          <t>Brooklyn</t>
        </is>
      </c>
      <c r="F148" s="12" t="n">
        <v>1</v>
      </c>
      <c r="G148" s="12" t="n">
        <v>1</v>
      </c>
      <c r="H148" s="13">
        <f>IF(AND(F148=2,G148=2),"AMBOS",IF(AND(F148=2,G148&lt;2),"solo JP",IF(AND(F148&lt;2,G148=2),"solo Thais","-")))</f>
        <v/>
      </c>
      <c r="I148" s="14" t="n">
        <v>30</v>
      </c>
      <c r="J148" s="15" t="n">
        <v>2</v>
      </c>
      <c r="K148" s="13" t="inlineStr">
        <is>
          <t>no</t>
        </is>
      </c>
      <c r="L148" s="16" t="inlineStr">
        <is>
          <t>—</t>
        </is>
      </c>
      <c r="M148" s="11" t="inlineStr">
        <is>
          <t>—</t>
        </is>
      </c>
      <c r="N148" s="16" t="inlineStr">
        <is>
          <t>—</t>
        </is>
      </c>
      <c r="O148" s="16" t="inlineStr">
        <is>
          <t>—</t>
        </is>
      </c>
      <c r="P148" s="16" t="inlineStr">
        <is>
          <t>Carroll St (F,G)</t>
        </is>
      </c>
      <c r="Q148" s="16" t="inlineStr">
        <is>
          <t>Considerada por muchos la mejor pizza de NYC. SIN reservas: hay que ir a anotarse cuando abren y volver despues. Solo si tienen paciencia.</t>
        </is>
      </c>
      <c r="R148" s="16" t="inlineStr">
        <is>
          <t>575 Henry St, Brooklyn</t>
        </is>
      </c>
      <c r="S148" s="16" t="inlineStr">
        <is>
          <t>—</t>
        </is>
      </c>
      <c r="T148" s="18" t="inlineStr">
        <is>
          <t>Abrir ↗</t>
        </is>
      </c>
      <c r="U148" s="21" t="inlineStr">
        <is>
          <t>otros</t>
        </is>
      </c>
      <c r="V148" s="20" t="inlineStr"/>
    </row>
    <row r="149" ht="46" customHeight="1">
      <c r="A149" s="9" t="inlineStr">
        <is>
          <t>Mano's Pizzeria</t>
        </is>
      </c>
      <c r="B149" s="10" t="inlineStr">
        <is>
          <t>Pizzería</t>
        </is>
      </c>
      <c r="C149" s="11" t="inlineStr">
        <is>
          <t>Comida</t>
        </is>
      </c>
      <c r="D149" s="11" t="inlineStr">
        <is>
          <t>Ridgewood</t>
        </is>
      </c>
      <c r="E149" s="11" t="inlineStr">
        <is>
          <t>Queens</t>
        </is>
      </c>
      <c r="F149" s="12" t="n">
        <v>0</v>
      </c>
      <c r="G149" s="12" t="n">
        <v>0</v>
      </c>
      <c r="H149" s="13">
        <f>IF(AND(F149=2,G149=2),"AMBOS",IF(AND(F149=2,G149&lt;2),"solo JP",IF(AND(F149&lt;2,G149=2),"solo Thais","-")))</f>
        <v/>
      </c>
      <c r="I149" s="14" t="n">
        <v>5</v>
      </c>
      <c r="J149" s="15" t="n">
        <v>0.5</v>
      </c>
      <c r="K149" s="13" t="inlineStr">
        <is>
          <t>no</t>
        </is>
      </c>
      <c r="L149" s="16" t="inlineStr">
        <is>
          <t>—</t>
        </is>
      </c>
      <c r="M149" s="11" t="inlineStr">
        <is>
          <t>—</t>
        </is>
      </c>
      <c r="N149" s="16" t="inlineStr">
        <is>
          <t>—</t>
        </is>
      </c>
      <c r="O149" s="16" t="inlineStr">
        <is>
          <t>—</t>
        </is>
      </c>
      <c r="P149" s="16" t="inlineStr">
        <is>
          <t>Forest Av (M)</t>
        </is>
      </c>
      <c r="Q149" s="16" t="inlineStr">
        <is>
          <t>La porcion plegable clasica de NY por cuatro dolares. Esto es lo que la gente come de verdad, no la cola de una hora en Prince Street.</t>
        </is>
      </c>
      <c r="R149" s="16" t="inlineStr">
        <is>
          <t>6202 Forest Ave, Ridgewood</t>
        </is>
      </c>
      <c r="S149" s="16" t="inlineStr">
        <is>
          <t>—</t>
        </is>
      </c>
      <c r="T149" s="18" t="inlineStr">
        <is>
          <t>Abrir ↗</t>
        </is>
      </c>
      <c r="U149" s="21" t="inlineStr">
        <is>
          <t>otros</t>
        </is>
      </c>
      <c r="V149" s="20" t="inlineStr"/>
    </row>
    <row r="150" ht="46" customHeight="1">
      <c r="A150" s="9" t="inlineStr">
        <is>
          <t>Totonno's</t>
        </is>
      </c>
      <c r="B150" s="10" t="inlineStr">
        <is>
          <t>Pizzería</t>
        </is>
      </c>
      <c r="C150" s="11" t="inlineStr">
        <is>
          <t>Comida</t>
        </is>
      </c>
      <c r="D150" s="11" t="inlineStr">
        <is>
          <t>Coney Island</t>
        </is>
      </c>
      <c r="E150" s="11" t="inlineStr">
        <is>
          <t>Brooklyn</t>
        </is>
      </c>
      <c r="F150" s="12" t="n">
        <v>2</v>
      </c>
      <c r="G150" s="12" t="n">
        <v>2</v>
      </c>
      <c r="H150" s="13">
        <f>IF(AND(F150=2,G150=2),"AMBOS",IF(AND(F150=2,G150&lt;2),"solo JP",IF(AND(F150&lt;2,G150=2),"solo Thais","-")))</f>
        <v/>
      </c>
      <c r="I150" s="14" t="n">
        <v>18</v>
      </c>
      <c r="J150" s="15" t="n">
        <v>1</v>
      </c>
      <c r="K150" s="13" t="inlineStr">
        <is>
          <t>no</t>
        </is>
      </c>
      <c r="L150" s="16" t="inlineStr">
        <is>
          <t>—</t>
        </is>
      </c>
      <c r="M150" s="11" t="inlineStr">
        <is>
          <t>—</t>
        </is>
      </c>
      <c r="N150" s="16" t="inlineStr">
        <is>
          <t>—</t>
        </is>
      </c>
      <c r="O150" s="16" t="inlineStr">
        <is>
          <t>—</t>
        </is>
      </c>
      <c r="P150" s="16" t="inlineStr">
        <is>
          <t>Coney Island-Stillwell Av (D,F,N,Q)</t>
        </is>
      </c>
      <c r="Q150" s="16" t="inlineStr">
        <is>
          <t>Horno de carbon desde 1924, cuarta generacion. Se combina con caminar el boardwalk de Coney Island.</t>
        </is>
      </c>
      <c r="R150" s="16" t="inlineStr">
        <is>
          <t>1524 Neptune Ave, Brooklyn</t>
        </is>
      </c>
      <c r="S150" s="16" t="inlineStr">
        <is>
          <t>—</t>
        </is>
      </c>
      <c r="T150" s="18" t="inlineStr">
        <is>
          <t>Abrir ↗</t>
        </is>
      </c>
      <c r="U150" s="21" t="inlineStr">
        <is>
          <t>otros</t>
        </is>
      </c>
      <c r="V150" s="20" t="inlineStr"/>
    </row>
    <row r="151" ht="46" customHeight="1">
      <c r="A151" s="9" t="inlineStr">
        <is>
          <t>Beast &amp; Butterflies Times Square</t>
        </is>
      </c>
      <c r="B151" s="10" t="inlineStr">
        <is>
          <t>Restaurante americano</t>
        </is>
      </c>
      <c r="C151" s="11" t="inlineStr">
        <is>
          <t>Comida</t>
        </is>
      </c>
      <c r="D151" s="11" t="inlineStr">
        <is>
          <t>Times Square</t>
        </is>
      </c>
      <c r="E151" s="11" t="inlineStr">
        <is>
          <t>Manhattan</t>
        </is>
      </c>
      <c r="F151" s="12" t="n">
        <v>1</v>
      </c>
      <c r="G151" s="12" t="n">
        <v>1</v>
      </c>
      <c r="H151" s="13">
        <f>IF(AND(F151=2,G151=2),"AMBOS",IF(AND(F151=2,G151&lt;2),"solo JP",IF(AND(F151&lt;2,G151=2),"solo Thais","-")))</f>
        <v/>
      </c>
      <c r="I151" s="14" t="n">
        <v>35</v>
      </c>
      <c r="J151" s="15" t="n">
        <v>1.25</v>
      </c>
      <c r="K151" s="13" t="inlineStr">
        <is>
          <t>no</t>
        </is>
      </c>
      <c r="L151" s="16" t="inlineStr">
        <is>
          <t>—</t>
        </is>
      </c>
      <c r="M151" s="11" t="inlineStr">
        <is>
          <t>—</t>
        </is>
      </c>
      <c r="N151" s="16" t="inlineStr">
        <is>
          <t>—</t>
        </is>
      </c>
      <c r="O151" s="16" t="inlineStr">
        <is>
          <t>—</t>
        </is>
      </c>
      <c r="P151" s="16" t="inlineStr">
        <is>
          <t>42 St-Port Authority (A,C,E)</t>
        </is>
      </c>
      <c r="Q151" s="16" t="inlineStr">
        <is>
          <t>Comedor del M Social: una alternativa sentada y tranquila en pleno Times Square.</t>
        </is>
      </c>
      <c r="R151" s="16" t="inlineStr"/>
      <c r="S151" s="16" t="inlineStr">
        <is>
          <t>—</t>
        </is>
      </c>
      <c r="T151" s="18" t="inlineStr">
        <is>
          <t>Abrir ↗</t>
        </is>
      </c>
      <c r="U151" s="19" t="inlineStr">
        <is>
          <t>lista google</t>
        </is>
      </c>
      <c r="V151" s="20" t="inlineStr"/>
    </row>
    <row r="152" ht="46" customHeight="1">
      <c r="A152" s="9" t="inlineStr">
        <is>
          <t>Grand Brasserie</t>
        </is>
      </c>
      <c r="B152" s="10" t="inlineStr">
        <is>
          <t>Restaurante americano</t>
        </is>
      </c>
      <c r="C152" s="11" t="inlineStr">
        <is>
          <t>Comida</t>
        </is>
      </c>
      <c r="D152" s="11" t="inlineStr">
        <is>
          <t>Midtown East</t>
        </is>
      </c>
      <c r="E152" s="11" t="inlineStr">
        <is>
          <t>Manhattan</t>
        </is>
      </c>
      <c r="F152" s="12" t="n">
        <v>1</v>
      </c>
      <c r="G152" s="12" t="n">
        <v>1</v>
      </c>
      <c r="H152" s="13">
        <f>IF(AND(F152=2,G152=2),"AMBOS",IF(AND(F152=2,G152&lt;2),"solo JP",IF(AND(F152&lt;2,G152=2),"solo Thais","-")))</f>
        <v/>
      </c>
      <c r="I152" s="14" t="n">
        <v>55</v>
      </c>
      <c r="J152" s="15" t="n">
        <v>1.2</v>
      </c>
      <c r="K152" s="13" t="inlineStr">
        <is>
          <t>no</t>
        </is>
      </c>
      <c r="L152" s="16" t="inlineStr">
        <is>
          <t>—</t>
        </is>
      </c>
      <c r="M152" s="11" t="inlineStr">
        <is>
          <t>—</t>
        </is>
      </c>
      <c r="N152" s="16" t="inlineStr">
        <is>
          <t>—</t>
        </is>
      </c>
      <c r="O152" s="16" t="inlineStr">
        <is>
          <t>—</t>
        </is>
      </c>
      <c r="P152" s="16" t="inlineStr">
        <is>
          <t>Grand Central-42 St (4,5,6,7,S)</t>
        </is>
      </c>
      <c r="Q152" s="16" t="inlineStr">
        <is>
          <t>brasserie grande dentro de Vanderbilt Hall, la sala de mármol de Grand Central. El valor acá no es la cocina: es que abre 19 horas por día y está a 40 metros del ancla del viernes.</t>
        </is>
      </c>
      <c r="R152" s="16" t="inlineStr">
        <is>
          <t>89 E 42nd St</t>
        </is>
      </c>
      <c r="S152" s="16" t="inlineStr">
        <is>
          <t>—</t>
        </is>
      </c>
      <c r="T152" s="18" t="inlineStr">
        <is>
          <t>Abrir ↗</t>
        </is>
      </c>
      <c r="U152" s="21" t="inlineStr">
        <is>
          <t>otros</t>
        </is>
      </c>
      <c r="V152" s="20" t="inlineStr"/>
    </row>
    <row r="153" ht="46" customHeight="1">
      <c r="A153" s="9" t="inlineStr">
        <is>
          <t>Sylvia's</t>
        </is>
      </c>
      <c r="B153" s="10" t="inlineStr">
        <is>
          <t>Restaurante americano</t>
        </is>
      </c>
      <c r="C153" s="11" t="inlineStr">
        <is>
          <t>Comida</t>
        </is>
      </c>
      <c r="D153" s="11" t="inlineStr">
        <is>
          <t>Harlem</t>
        </is>
      </c>
      <c r="E153" s="11" t="inlineStr">
        <is>
          <t>Manhattan</t>
        </is>
      </c>
      <c r="F153" s="12" t="n">
        <v>1</v>
      </c>
      <c r="G153" s="12" t="n">
        <v>1</v>
      </c>
      <c r="H153" s="13">
        <f>IF(AND(F153=2,G153=2),"AMBOS",IF(AND(F153=2,G153&lt;2),"solo JP",IF(AND(F153&lt;2,G153=2),"solo Thais","-")))</f>
        <v/>
      </c>
      <c r="I153" s="14" t="n">
        <v>30</v>
      </c>
      <c r="J153" s="15" t="n">
        <v>1.2</v>
      </c>
      <c r="K153" s="13" t="inlineStr">
        <is>
          <t>no</t>
        </is>
      </c>
      <c r="L153" s="16" t="inlineStr">
        <is>
          <t>—</t>
        </is>
      </c>
      <c r="M153" s="11" t="inlineStr">
        <is>
          <t>—</t>
        </is>
      </c>
      <c r="N153" s="16" t="inlineStr">
        <is>
          <t>—</t>
        </is>
      </c>
      <c r="O153" s="16" t="inlineStr">
        <is>
          <t>—</t>
        </is>
      </c>
      <c r="P153" s="16" t="inlineStr">
        <is>
          <t>125 St (2,3)</t>
        </is>
      </c>
      <c r="Q153" s="16" t="inlineStr">
        <is>
          <t>Soul food desde 1962, la mesa donde comieron todos los que pasaron por Harlem.</t>
        </is>
      </c>
      <c r="R153" s="16" t="inlineStr">
        <is>
          <t>328 Malcolm X Blvd</t>
        </is>
      </c>
      <c r="S153" s="16" t="inlineStr">
        <is>
          <t>—</t>
        </is>
      </c>
      <c r="T153" s="18" t="inlineStr">
        <is>
          <t>Abrir ↗</t>
        </is>
      </c>
      <c r="U153" s="21" t="inlineStr">
        <is>
          <t>otros</t>
        </is>
      </c>
      <c r="V153" s="20" t="inlineStr"/>
    </row>
    <row r="154" ht="46" customHeight="1">
      <c r="A154" s="9" t="inlineStr">
        <is>
          <t>Central Park Boathouse</t>
        </is>
      </c>
      <c r="B154" s="10" t="inlineStr">
        <is>
          <t>Restaurante con vista</t>
        </is>
      </c>
      <c r="C154" s="11" t="inlineStr">
        <is>
          <t>Comida</t>
        </is>
      </c>
      <c r="D154" s="11" t="inlineStr">
        <is>
          <t>Central Park</t>
        </is>
      </c>
      <c r="E154" s="11" t="inlineStr">
        <is>
          <t>Manhattan</t>
        </is>
      </c>
      <c r="F154" s="12" t="n">
        <v>1</v>
      </c>
      <c r="G154" s="12" t="n">
        <v>1</v>
      </c>
      <c r="H154" s="13">
        <f>IF(AND(F154=2,G154=2),"AMBOS",IF(AND(F154=2,G154&lt;2),"solo JP",IF(AND(F154&lt;2,G154=2),"solo Thais","-")))</f>
        <v/>
      </c>
      <c r="I154" s="14" t="n">
        <v>45</v>
      </c>
      <c r="J154" s="15" t="n">
        <v>1.25</v>
      </c>
      <c r="K154" s="13" t="inlineStr">
        <is>
          <t>SÍ</t>
        </is>
      </c>
      <c r="L154" s="16" t="inlineStr">
        <is>
          <t>—</t>
        </is>
      </c>
      <c r="M154" s="11" t="inlineStr">
        <is>
          <t>—</t>
        </is>
      </c>
      <c r="N154" s="16" t="inlineStr">
        <is>
          <t>—</t>
        </is>
      </c>
      <c r="O154" s="16" t="inlineStr">
        <is>
          <t>—</t>
        </is>
      </c>
      <c r="P154" s="16" t="inlineStr">
        <is>
          <t>72 St (B,C)</t>
        </is>
      </c>
      <c r="Q154" s="16" t="inlineStr">
        <is>
          <t>Almuerzo sobre el lago, con los botes de remo pasando. Es LA postal del parque, y se come bien.</t>
        </is>
      </c>
      <c r="R154" s="16" t="inlineStr">
        <is>
          <t>E 72nd St &amp; Park Dr N</t>
        </is>
      </c>
      <c r="S154" s="16" t="inlineStr">
        <is>
          <t>—</t>
        </is>
      </c>
      <c r="T154" s="18" t="inlineStr">
        <is>
          <t>Abrir ↗</t>
        </is>
      </c>
      <c r="U154" s="19" t="inlineStr">
        <is>
          <t>lista google</t>
        </is>
      </c>
      <c r="V154" s="20" t="inlineStr"/>
    </row>
    <row r="155" ht="46" customHeight="1">
      <c r="A155" s="9" t="inlineStr">
        <is>
          <t>Manhatta</t>
        </is>
      </c>
      <c r="B155" s="10" t="inlineStr">
        <is>
          <t>Restaurante con vista</t>
        </is>
      </c>
      <c r="C155" s="11" t="inlineStr">
        <is>
          <t>Comida</t>
        </is>
      </c>
      <c r="D155" s="11" t="inlineStr">
        <is>
          <t>Financial District</t>
        </is>
      </c>
      <c r="E155" s="11" t="inlineStr">
        <is>
          <t>Manhattan</t>
        </is>
      </c>
      <c r="F155" s="12" t="n">
        <v>1</v>
      </c>
      <c r="G155" s="12" t="n">
        <v>1</v>
      </c>
      <c r="H155" s="13">
        <f>IF(AND(F155=2,G155=2),"AMBOS",IF(AND(F155=2,G155&lt;2),"solo JP",IF(AND(F155&lt;2,G155=2),"solo Thais","-")))</f>
        <v/>
      </c>
      <c r="I155" s="14" t="n">
        <v>90</v>
      </c>
      <c r="J155" s="15" t="n">
        <v>1.75</v>
      </c>
      <c r="K155" s="13" t="inlineStr">
        <is>
          <t>SÍ</t>
        </is>
      </c>
      <c r="L155" s="16" t="inlineStr">
        <is>
          <t>—</t>
        </is>
      </c>
      <c r="M155" s="11" t="inlineStr">
        <is>
          <t>—</t>
        </is>
      </c>
      <c r="N155" s="16" t="inlineStr">
        <is>
          <t>—</t>
        </is>
      </c>
      <c r="O155" s="16" t="inlineStr">
        <is>
          <t>—</t>
        </is>
      </c>
      <c r="P155" s="16" t="inlineStr">
        <is>
          <t>Wall St (2,3)</t>
        </is>
      </c>
      <c r="Q155" s="16" t="inlineStr">
        <is>
          <t>El restaurante de Danny Meyer en el piso 60: la vista de un observatorio pago, sentado y con vino.</t>
        </is>
      </c>
      <c r="R155" s="16" t="inlineStr">
        <is>
          <t>28 Liberty St, piso 60</t>
        </is>
      </c>
      <c r="S155" s="16" t="inlineStr">
        <is>
          <t>—</t>
        </is>
      </c>
      <c r="T155" s="18" t="inlineStr">
        <is>
          <t>Abrir ↗</t>
        </is>
      </c>
      <c r="U155" s="19" t="inlineStr">
        <is>
          <t>lista google</t>
        </is>
      </c>
      <c r="V155" s="20" t="inlineStr"/>
    </row>
    <row r="156" ht="46" customHeight="1">
      <c r="A156" s="9" t="inlineStr">
        <is>
          <t>Africa Kine</t>
        </is>
      </c>
      <c r="B156" s="10" t="inlineStr">
        <is>
          <t>Restaurante étnico</t>
        </is>
      </c>
      <c r="C156" s="11" t="inlineStr">
        <is>
          <t>Comida</t>
        </is>
      </c>
      <c r="D156" s="11" t="inlineStr">
        <is>
          <t>Harlem</t>
        </is>
      </c>
      <c r="E156" s="11" t="inlineStr">
        <is>
          <t>Manhattan</t>
        </is>
      </c>
      <c r="F156" s="12" t="n">
        <v>1</v>
      </c>
      <c r="G156" s="12" t="n">
        <v>1</v>
      </c>
      <c r="H156" s="13">
        <f>IF(AND(F156=2,G156=2),"AMBOS",IF(AND(F156=2,G156&lt;2),"solo JP",IF(AND(F156&lt;2,G156=2),"solo Thais","-")))</f>
        <v/>
      </c>
      <c r="I156" s="14" t="n">
        <v>25</v>
      </c>
      <c r="J156" s="15" t="n">
        <v>1</v>
      </c>
      <c r="K156" s="13" t="inlineStr">
        <is>
          <t>no</t>
        </is>
      </c>
      <c r="L156" s="16" t="inlineStr">
        <is>
          <t>—</t>
        </is>
      </c>
      <c r="M156" s="11" t="inlineStr">
        <is>
          <t>—</t>
        </is>
      </c>
      <c r="N156" s="16" t="inlineStr">
        <is>
          <t>—</t>
        </is>
      </c>
      <c r="O156" s="16" t="inlineStr">
        <is>
          <t>—</t>
        </is>
      </c>
      <c r="P156" s="16" t="inlineStr">
        <is>
          <t>116 St (2,3)</t>
        </is>
      </c>
      <c r="Q156" s="16" t="inlineStr">
        <is>
          <t>el senegalés más veterano de Nueva York, el ancla del Little Senegal de Harlem. Pedí thiéboudienne (arroz con pescado, plato nacional) o yassa de pollo con cebolla, limón y aceitunas. Es otra cocina, no una variante del soul food de Sylvia's.</t>
        </is>
      </c>
      <c r="R156" s="16" t="inlineStr">
        <is>
          <t>2267 Adam Clayton Powell Jr Blvd</t>
        </is>
      </c>
      <c r="S156" s="16" t="inlineStr">
        <is>
          <t>—</t>
        </is>
      </c>
      <c r="T156" s="18" t="inlineStr">
        <is>
          <t>Abrir ↗</t>
        </is>
      </c>
      <c r="U156" s="21" t="inlineStr">
        <is>
          <t>otros</t>
        </is>
      </c>
      <c r="V156" s="20" t="inlineStr"/>
    </row>
    <row r="157" ht="46" customHeight="1">
      <c r="A157" s="9" t="inlineStr">
        <is>
          <t>Carmine's 44th Street</t>
        </is>
      </c>
      <c r="B157" s="10" t="inlineStr">
        <is>
          <t>Restaurante étnico</t>
        </is>
      </c>
      <c r="C157" s="11" t="inlineStr">
        <is>
          <t>Comida</t>
        </is>
      </c>
      <c r="D157" s="11" t="inlineStr">
        <is>
          <t>Theater District</t>
        </is>
      </c>
      <c r="E157" s="11" t="inlineStr">
        <is>
          <t>Manhattan</t>
        </is>
      </c>
      <c r="F157" s="12" t="n">
        <v>1</v>
      </c>
      <c r="G157" s="12" t="n">
        <v>1</v>
      </c>
      <c r="H157" s="13">
        <f>IF(AND(F157=2,G157=2),"AMBOS",IF(AND(F157=2,G157&lt;2),"solo JP",IF(AND(F157&lt;2,G157=2),"solo Thais","-")))</f>
        <v/>
      </c>
      <c r="I157" s="14" t="n">
        <v>45</v>
      </c>
      <c r="J157" s="15" t="n">
        <v>1.5</v>
      </c>
      <c r="K157" s="13" t="inlineStr">
        <is>
          <t>SÍ</t>
        </is>
      </c>
      <c r="L157" s="16" t="inlineStr">
        <is>
          <t>—</t>
        </is>
      </c>
      <c r="M157" s="11" t="inlineStr">
        <is>
          <t>—</t>
        </is>
      </c>
      <c r="N157" s="16" t="inlineStr">
        <is>
          <t>—</t>
        </is>
      </c>
      <c r="O157" s="16" t="inlineStr">
        <is>
          <t>—</t>
        </is>
      </c>
      <c r="P157" s="16" t="inlineStr">
        <is>
          <t>42 St-Times Sq</t>
        </is>
      </c>
      <c r="Q157" s="16" t="inlineStr">
        <is>
          <t>Italiano familiar de platos para compartir, pensado para antes del teatro. Reservar.</t>
        </is>
      </c>
      <c r="R157" s="16" t="inlineStr">
        <is>
          <t>200 W 44th St</t>
        </is>
      </c>
      <c r="S157" s="16" t="inlineStr">
        <is>
          <t>—</t>
        </is>
      </c>
      <c r="T157" s="18" t="inlineStr">
        <is>
          <t>Abrir ↗</t>
        </is>
      </c>
      <c r="U157" s="19" t="inlineStr">
        <is>
          <t>lista google</t>
        </is>
      </c>
      <c r="V157" s="20" t="inlineStr"/>
    </row>
    <row r="158" ht="46" customHeight="1">
      <c r="A158" s="9" t="inlineStr">
        <is>
          <t>Deluxe Green Bo</t>
        </is>
      </c>
      <c r="B158" s="10" t="inlineStr">
        <is>
          <t>Restaurante étnico</t>
        </is>
      </c>
      <c r="C158" s="11" t="inlineStr">
        <is>
          <t>Comida</t>
        </is>
      </c>
      <c r="D158" s="11" t="inlineStr">
        <is>
          <t>Chinatown</t>
        </is>
      </c>
      <c r="E158" s="11" t="inlineStr">
        <is>
          <t>Manhattan</t>
        </is>
      </c>
      <c r="F158" s="12" t="n">
        <v>1</v>
      </c>
      <c r="G158" s="12" t="n">
        <v>1</v>
      </c>
      <c r="H158" s="13">
        <f>IF(AND(F158=2,G158=2),"AMBOS",IF(AND(F158=2,G158&lt;2),"solo JP",IF(AND(F158&lt;2,G158=2),"solo Thais","-")))</f>
        <v/>
      </c>
      <c r="I158" s="14" t="n">
        <v>20</v>
      </c>
      <c r="J158" s="15" t="n">
        <v>1</v>
      </c>
      <c r="K158" s="13" t="inlineStr">
        <is>
          <t>no</t>
        </is>
      </c>
      <c r="L158" s="16" t="inlineStr">
        <is>
          <t>—</t>
        </is>
      </c>
      <c r="M158" s="11" t="inlineStr">
        <is>
          <t>—</t>
        </is>
      </c>
      <c r="N158" s="16" t="inlineStr">
        <is>
          <t>—</t>
        </is>
      </c>
      <c r="O158" s="16" t="inlineStr">
        <is>
          <t>—</t>
        </is>
      </c>
      <c r="P158" s="16" t="inlineStr">
        <is>
          <t>Canal St (6,N,Q,R,W,J,Z)</t>
        </is>
      </c>
      <c r="Q158" s="16" t="inlineStr">
        <is>
          <t>Shanghainés viejo de Chinatown: los soup dumplings y el pork chop rice cake.</t>
        </is>
      </c>
      <c r="R158" s="16" t="inlineStr">
        <is>
          <t>66 Bayard St</t>
        </is>
      </c>
      <c r="S158" s="16" t="inlineStr">
        <is>
          <t>—</t>
        </is>
      </c>
      <c r="T158" s="18" t="inlineStr">
        <is>
          <t>Abrir ↗</t>
        </is>
      </c>
      <c r="U158" s="19" t="inlineStr">
        <is>
          <t>lista google</t>
        </is>
      </c>
      <c r="V158" s="20" t="inlineStr"/>
    </row>
    <row r="159" ht="46" customHeight="1">
      <c r="A159" s="9" t="inlineStr">
        <is>
          <t>He Nan Mian Guan</t>
        </is>
      </c>
      <c r="B159" s="10" t="inlineStr">
        <is>
          <t>Restaurante étnico</t>
        </is>
      </c>
      <c r="C159" s="11" t="inlineStr">
        <is>
          <t>Comida</t>
        </is>
      </c>
      <c r="D159" s="11" t="inlineStr">
        <is>
          <t>Flushing</t>
        </is>
      </c>
      <c r="E159" s="11" t="inlineStr">
        <is>
          <t>Queens</t>
        </is>
      </c>
      <c r="F159" s="12" t="n">
        <v>0</v>
      </c>
      <c r="G159" s="12" t="n">
        <v>0</v>
      </c>
      <c r="H159" s="13">
        <f>IF(AND(F159=2,G159=2),"AMBOS",IF(AND(F159=2,G159&lt;2),"solo JP",IF(AND(F159&lt;2,G159=2),"solo Thais","-")))</f>
        <v/>
      </c>
      <c r="I159" s="14" t="n">
        <v>12</v>
      </c>
      <c r="J159" s="15" t="n">
        <v>1</v>
      </c>
      <c r="K159" s="13" t="inlineStr">
        <is>
          <t>no</t>
        </is>
      </c>
      <c r="L159" s="16" t="inlineStr">
        <is>
          <t>—</t>
        </is>
      </c>
      <c r="M159" s="11" t="inlineStr">
        <is>
          <t>—</t>
        </is>
      </c>
      <c r="N159" s="16" t="inlineStr">
        <is>
          <t>—</t>
        </is>
      </c>
      <c r="O159" s="16" t="inlineStr">
        <is>
          <t>—</t>
        </is>
      </c>
      <c r="P159" s="16" t="inlineStr">
        <is>
          <t>Main St (7)</t>
        </is>
      </c>
      <c r="Q159" s="16" t="inlineStr">
        <is>
          <t>Fideos estirados a mano y rou jia mo (el 'hamburguesa' china de cerdo desmenuzado). Abre a las 6:30 de la manana.</t>
        </is>
      </c>
      <c r="R159" s="16" t="inlineStr">
        <is>
          <t>136-31 41st Ave, Flushing</t>
        </is>
      </c>
      <c r="S159" s="16" t="inlineStr">
        <is>
          <t>—</t>
        </is>
      </c>
      <c r="T159" s="18" t="inlineStr">
        <is>
          <t>Abrir ↗</t>
        </is>
      </c>
      <c r="U159" s="21" t="inlineStr">
        <is>
          <t>otros</t>
        </is>
      </c>
      <c r="V159" s="20" t="inlineStr"/>
    </row>
    <row r="160" ht="46" customHeight="1">
      <c r="A160" s="9" t="inlineStr">
        <is>
          <t>Hue House</t>
        </is>
      </c>
      <c r="B160" s="10" t="inlineStr">
        <is>
          <t>Restaurante étnico</t>
        </is>
      </c>
      <c r="C160" s="11" t="inlineStr">
        <is>
          <t>Comida</t>
        </is>
      </c>
      <c r="D160" s="11" t="inlineStr">
        <is>
          <t>Manhattan</t>
        </is>
      </c>
      <c r="E160" s="11" t="inlineStr">
        <is>
          <t>Manhattan</t>
        </is>
      </c>
      <c r="F160" s="12" t="n">
        <v>1</v>
      </c>
      <c r="G160" s="12" t="n">
        <v>1</v>
      </c>
      <c r="H160" s="13">
        <f>IF(AND(F160=2,G160=2),"AMBOS",IF(AND(F160=2,G160&lt;2),"solo JP",IF(AND(F160&lt;2,G160=2),"solo Thais","-")))</f>
        <v/>
      </c>
      <c r="I160" s="14" t="n">
        <v>45</v>
      </c>
      <c r="J160" s="15" t="n">
        <v>1.25</v>
      </c>
      <c r="K160" s="13" t="inlineStr">
        <is>
          <t>no</t>
        </is>
      </c>
      <c r="L160" s="16" t="inlineStr">
        <is>
          <t>—</t>
        </is>
      </c>
      <c r="M160" s="11" t="inlineStr">
        <is>
          <t>—</t>
        </is>
      </c>
      <c r="N160" s="16" t="inlineStr">
        <is>
          <t>—</t>
        </is>
      </c>
      <c r="O160" s="16" t="inlineStr">
        <is>
          <t>—</t>
        </is>
      </c>
      <c r="P160" s="16" t="inlineStr">
        <is>
          <t>-</t>
        </is>
      </c>
      <c r="Q160" s="16" t="inlineStr">
        <is>
          <t>Taiwanés moderno, cocina de isla sin concesiones al paladar turístico.</t>
        </is>
      </c>
      <c r="R160" s="16" t="inlineStr"/>
      <c r="S160" s="16" t="inlineStr">
        <is>
          <t>—</t>
        </is>
      </c>
      <c r="T160" s="18" t="inlineStr">
        <is>
          <t>Abrir ↗</t>
        </is>
      </c>
      <c r="U160" s="19" t="inlineStr">
        <is>
          <t>lista google</t>
        </is>
      </c>
      <c r="V160" s="20" t="inlineStr"/>
    </row>
    <row r="161" ht="46" customHeight="1">
      <c r="A161" s="9" t="inlineStr">
        <is>
          <t>Jalapeno King</t>
        </is>
      </c>
      <c r="B161" s="10" t="inlineStr">
        <is>
          <t>Restaurante étnico</t>
        </is>
      </c>
      <c r="C161" s="11" t="inlineStr">
        <is>
          <t>Comida</t>
        </is>
      </c>
      <c r="D161" s="11" t="inlineStr">
        <is>
          <t>Sunset Park</t>
        </is>
      </c>
      <c r="E161" s="11" t="inlineStr">
        <is>
          <t>Brooklyn</t>
        </is>
      </c>
      <c r="F161" s="12" t="n">
        <v>0</v>
      </c>
      <c r="G161" s="12" t="n">
        <v>0</v>
      </c>
      <c r="H161" s="13">
        <f>IF(AND(F161=2,G161=2),"AMBOS",IF(AND(F161=2,G161&lt;2),"solo JP",IF(AND(F161&lt;2,G161=2),"solo Thais","-")))</f>
        <v/>
      </c>
      <c r="I161" s="14" t="n">
        <v>14</v>
      </c>
      <c r="J161" s="15" t="n">
        <v>1</v>
      </c>
      <c r="K161" s="13" t="inlineStr">
        <is>
          <t>no</t>
        </is>
      </c>
      <c r="L161" s="16" t="inlineStr">
        <is>
          <t>—</t>
        </is>
      </c>
      <c r="M161" s="11" t="inlineStr">
        <is>
          <t>—</t>
        </is>
      </c>
      <c r="N161" s="16" t="inlineStr">
        <is>
          <t>—</t>
        </is>
      </c>
      <c r="O161" s="16" t="inlineStr">
        <is>
          <t>—</t>
        </is>
      </c>
      <c r="P161" s="16" t="inlineStr">
        <is>
          <t>45 St (R)</t>
        </is>
      </c>
      <c r="Q161" s="16" t="inlineStr">
        <is>
          <t>Tortillas hechas en casa. La torta de bistec y las picaditas de carne. Mexicano poblano de barrio, sin traduccion al ingles.</t>
        </is>
      </c>
      <c r="R161" s="16" t="inlineStr">
        <is>
          <t>5th Ave entre 22nd y 23rd St, Brooklyn</t>
        </is>
      </c>
      <c r="S161" s="16" t="inlineStr">
        <is>
          <t>—</t>
        </is>
      </c>
      <c r="T161" s="18" t="inlineStr">
        <is>
          <t>Abrir ↗</t>
        </is>
      </c>
      <c r="U161" s="21" t="inlineStr">
        <is>
          <t>otros</t>
        </is>
      </c>
      <c r="V161" s="20" t="inlineStr"/>
    </row>
    <row r="162" ht="46" customHeight="1">
      <c r="A162" s="9" t="inlineStr">
        <is>
          <t>Joe's Shanghai (Chinatown)</t>
        </is>
      </c>
      <c r="B162" s="10" t="inlineStr">
        <is>
          <t>Restaurante étnico</t>
        </is>
      </c>
      <c r="C162" s="11" t="inlineStr">
        <is>
          <t>Comida</t>
        </is>
      </c>
      <c r="D162" s="11" t="inlineStr">
        <is>
          <t>Chinatown</t>
        </is>
      </c>
      <c r="E162" s="11" t="inlineStr">
        <is>
          <t>Manhattan</t>
        </is>
      </c>
      <c r="F162" s="12" t="n">
        <v>1</v>
      </c>
      <c r="G162" s="12" t="n">
        <v>1</v>
      </c>
      <c r="H162" s="13">
        <f>IF(AND(F162=2,G162=2),"AMBOS",IF(AND(F162=2,G162&lt;2),"solo JP",IF(AND(F162&lt;2,G162=2),"solo Thais","-")))</f>
        <v/>
      </c>
      <c r="I162" s="14" t="n">
        <v>28</v>
      </c>
      <c r="J162" s="15" t="n">
        <v>1</v>
      </c>
      <c r="K162" s="13" t="inlineStr">
        <is>
          <t>no</t>
        </is>
      </c>
      <c r="L162" s="16" t="inlineStr">
        <is>
          <t>—</t>
        </is>
      </c>
      <c r="M162" s="11" t="inlineStr">
        <is>
          <t>—</t>
        </is>
      </c>
      <c r="N162" s="16" t="inlineStr">
        <is>
          <t>—</t>
        </is>
      </c>
      <c r="O162" s="16" t="inlineStr">
        <is>
          <t>—</t>
        </is>
      </c>
      <c r="P162" s="16" t="inlineStr">
        <is>
          <t>Canal St (J,N,Q,R,W,6), Grand St (B,D)</t>
        </is>
      </c>
      <c r="Q162" s="16" t="inlineStr">
        <is>
          <t>Los soup dumplings que pusieron el xiao long bao en el mapa de Nueva York en 1995. Mesas compartidas, cero decoracion, cola en la puerta. Esta a dos cuadras de donde almuerzan el domingo 30.</t>
        </is>
      </c>
      <c r="R162" s="16" t="inlineStr">
        <is>
          <t>46 Bowery</t>
        </is>
      </c>
      <c r="S162" s="16" t="inlineStr">
        <is>
          <t>—</t>
        </is>
      </c>
      <c r="T162" s="18" t="inlineStr">
        <is>
          <t>Abrir ↗</t>
        </is>
      </c>
      <c r="U162" s="21" t="inlineStr">
        <is>
          <t>otros</t>
        </is>
      </c>
      <c r="V162" s="20" t="inlineStr"/>
    </row>
    <row r="163" ht="46" customHeight="1">
      <c r="A163" s="9" t="inlineStr">
        <is>
          <t>Karczma</t>
        </is>
      </c>
      <c r="B163" s="10" t="inlineStr">
        <is>
          <t>Restaurante étnico</t>
        </is>
      </c>
      <c r="C163" s="11" t="inlineStr">
        <is>
          <t>Comida</t>
        </is>
      </c>
      <c r="D163" s="11" t="inlineStr">
        <is>
          <t>Greenpoint</t>
        </is>
      </c>
      <c r="E163" s="11" t="inlineStr">
        <is>
          <t>Brooklyn</t>
        </is>
      </c>
      <c r="F163" s="12" t="n">
        <v>0</v>
      </c>
      <c r="G163" s="12" t="n">
        <v>0</v>
      </c>
      <c r="H163" s="13">
        <f>IF(AND(F163=2,G163=2),"AMBOS",IF(AND(F163=2,G163&lt;2),"solo JP",IF(AND(F163&lt;2,G163=2),"solo Thais","-")))</f>
        <v/>
      </c>
      <c r="I163" s="14" t="n">
        <v>25</v>
      </c>
      <c r="J163" s="15" t="n">
        <v>1.5</v>
      </c>
      <c r="K163" s="13" t="inlineStr">
        <is>
          <t>no</t>
        </is>
      </c>
      <c r="L163" s="16" t="inlineStr">
        <is>
          <t>—</t>
        </is>
      </c>
      <c r="M163" s="11" t="inlineStr">
        <is>
          <t>—</t>
        </is>
      </c>
      <c r="N163" s="16" t="inlineStr">
        <is>
          <t>—</t>
        </is>
      </c>
      <c r="O163" s="16" t="inlineStr">
        <is>
          <t>—</t>
        </is>
      </c>
      <c r="P163" s="16" t="inlineStr">
        <is>
          <t>Greenpoint Av (G)</t>
        </is>
      </c>
      <c r="Q163" s="16" t="inlineStr">
        <is>
          <t>Bigos, golabki, panqueques de papa, y un plato de manteca de cerdo con pan de centeno y pepinos que es puro siglo XIX. Meseras de traje regional, y no es para turistas.</t>
        </is>
      </c>
      <c r="R163" s="16" t="inlineStr">
        <is>
          <t>136 Greenpoint Ave, Brooklyn</t>
        </is>
      </c>
      <c r="S163" s="16" t="inlineStr">
        <is>
          <t>—</t>
        </is>
      </c>
      <c r="T163" s="18" t="inlineStr">
        <is>
          <t>Abrir ↗</t>
        </is>
      </c>
      <c r="U163" s="21" t="inlineStr">
        <is>
          <t>otros</t>
        </is>
      </c>
      <c r="V163" s="20" t="inlineStr"/>
    </row>
    <row r="164" ht="46" customHeight="1">
      <c r="A164" s="9" t="inlineStr">
        <is>
          <t>Lhasa Fast Food</t>
        </is>
      </c>
      <c r="B164" s="10" t="inlineStr">
        <is>
          <t>Restaurante étnico</t>
        </is>
      </c>
      <c r="C164" s="11" t="inlineStr">
        <is>
          <t>Comida</t>
        </is>
      </c>
      <c r="D164" s="11" t="inlineStr">
        <is>
          <t>Jackson Heights</t>
        </is>
      </c>
      <c r="E164" s="11" t="inlineStr">
        <is>
          <t>Queens</t>
        </is>
      </c>
      <c r="F164" s="12" t="n">
        <v>0</v>
      </c>
      <c r="G164" s="12" t="n">
        <v>0</v>
      </c>
      <c r="H164" s="13">
        <f>IF(AND(F164=2,G164=2),"AMBOS",IF(AND(F164=2,G164&lt;2),"solo JP",IF(AND(F164&lt;2,G164=2),"solo Thais","-")))</f>
        <v/>
      </c>
      <c r="I164" s="14" t="n">
        <v>14</v>
      </c>
      <c r="J164" s="15" t="n">
        <v>1</v>
      </c>
      <c r="K164" s="13" t="inlineStr">
        <is>
          <t>no</t>
        </is>
      </c>
      <c r="L164" s="16" t="inlineStr">
        <is>
          <t>—</t>
        </is>
      </c>
      <c r="M164" s="11" t="inlineStr">
        <is>
          <t>—</t>
        </is>
      </c>
      <c r="N164" s="16" t="inlineStr">
        <is>
          <t>—</t>
        </is>
      </c>
      <c r="O164" s="16" t="inlineStr">
        <is>
          <t>—</t>
        </is>
      </c>
      <c r="P164" s="16" t="inlineStr">
        <is>
          <t>74 St-Roosevelt Av (7,E,F,M,R)</t>
        </is>
      </c>
      <c r="Q164" s="16" t="inlineStr">
        <is>
          <t>Escondido al fondo de un pasillo detras de un local de celulares. Momos tibetanos y thukpa. VERIFICAR: puede figurar como 'Lhasa Tibetan Restaurant' en la misma direccion.</t>
        </is>
      </c>
      <c r="R164" s="16" t="inlineStr">
        <is>
          <t>37-50 74th St, Jackson Heights</t>
        </is>
      </c>
      <c r="S164" s="16" t="inlineStr">
        <is>
          <t>—</t>
        </is>
      </c>
      <c r="T164" s="18" t="inlineStr">
        <is>
          <t>Abrir ↗</t>
        </is>
      </c>
      <c r="U164" s="21" t="inlineStr">
        <is>
          <t>otros</t>
        </is>
      </c>
      <c r="V164" s="20" t="inlineStr"/>
    </row>
    <row r="165" ht="46" customHeight="1">
      <c r="A165" s="9" t="inlineStr">
        <is>
          <t>Lil' Frankie's</t>
        </is>
      </c>
      <c r="B165" s="10" t="inlineStr">
        <is>
          <t>Restaurante étnico</t>
        </is>
      </c>
      <c r="C165" s="11" t="inlineStr">
        <is>
          <t>Comida</t>
        </is>
      </c>
      <c r="D165" s="11" t="inlineStr">
        <is>
          <t>East Village</t>
        </is>
      </c>
      <c r="E165" s="11" t="inlineStr">
        <is>
          <t>Manhattan</t>
        </is>
      </c>
      <c r="F165" s="12" t="n">
        <v>1</v>
      </c>
      <c r="G165" s="12" t="n">
        <v>1</v>
      </c>
      <c r="H165" s="13">
        <f>IF(AND(F165=2,G165=2),"AMBOS",IF(AND(F165=2,G165&lt;2),"solo JP",IF(AND(F165&lt;2,G165=2),"solo Thais","-")))</f>
        <v/>
      </c>
      <c r="I165" s="14" t="n">
        <v>30</v>
      </c>
      <c r="J165" s="15" t="n">
        <v>1.2</v>
      </c>
      <c r="K165" s="13" t="inlineStr">
        <is>
          <t>no</t>
        </is>
      </c>
      <c r="L165" s="16" t="inlineStr">
        <is>
          <t>—</t>
        </is>
      </c>
      <c r="M165" s="11" t="inlineStr">
        <is>
          <t>—</t>
        </is>
      </c>
      <c r="N165" s="16" t="inlineStr">
        <is>
          <t>—</t>
        </is>
      </c>
      <c r="O165" s="16" t="inlineStr">
        <is>
          <t>—</t>
        </is>
      </c>
      <c r="P165" s="16" t="inlineStr">
        <is>
          <t>2 Av (F)</t>
        </is>
      </c>
      <c r="Q165" s="16" t="inlineStr">
        <is>
          <t>pizza napolitana a horno de leña y pastas a mano. La marinara (sin muzzarella) y la bianca con aceite de trufa y romero.</t>
        </is>
      </c>
      <c r="R165" s="16" t="inlineStr">
        <is>
          <t>19 First Ave</t>
        </is>
      </c>
      <c r="S165" s="16" t="inlineStr">
        <is>
          <t>—</t>
        </is>
      </c>
      <c r="T165" s="18" t="inlineStr">
        <is>
          <t>Abrir ↗</t>
        </is>
      </c>
      <c r="U165" s="21" t="inlineStr">
        <is>
          <t>otros</t>
        </is>
      </c>
      <c r="V165" s="20" t="inlineStr"/>
    </row>
    <row r="166" ht="46" customHeight="1">
      <c r="A166" s="9" t="inlineStr">
        <is>
          <t>Malecon</t>
        </is>
      </c>
      <c r="B166" s="10" t="inlineStr">
        <is>
          <t>Restaurante étnico</t>
        </is>
      </c>
      <c r="C166" s="11" t="inlineStr">
        <is>
          <t>Comida</t>
        </is>
      </c>
      <c r="D166" s="11" t="inlineStr">
        <is>
          <t>Washington Heights</t>
        </is>
      </c>
      <c r="E166" s="11" t="inlineStr">
        <is>
          <t>Manhattan</t>
        </is>
      </c>
      <c r="F166" s="12" t="n">
        <v>0</v>
      </c>
      <c r="G166" s="12" t="n">
        <v>0</v>
      </c>
      <c r="H166" s="13">
        <f>IF(AND(F166=2,G166=2),"AMBOS",IF(AND(F166=2,G166&lt;2),"solo JP",IF(AND(F166&lt;2,G166=2),"solo Thais","-")))</f>
        <v/>
      </c>
      <c r="I166" s="14" t="n">
        <v>25</v>
      </c>
      <c r="J166" s="15" t="n">
        <v>1.25</v>
      </c>
      <c r="K166" s="13" t="inlineStr">
        <is>
          <t>no</t>
        </is>
      </c>
      <c r="L166" s="16" t="inlineStr">
        <is>
          <t>—</t>
        </is>
      </c>
      <c r="M166" s="11" t="inlineStr">
        <is>
          <t>—</t>
        </is>
      </c>
      <c r="N166" s="16" t="inlineStr">
        <is>
          <t>—</t>
        </is>
      </c>
      <c r="O166" s="16" t="inlineStr">
        <is>
          <t>—</t>
        </is>
      </c>
      <c r="P166" s="16" t="inlineStr">
        <is>
          <t>175 St (A), 181 St (1)</t>
        </is>
      </c>
      <c r="Q166" s="16" t="inlineStr">
        <is>
          <t>Mofongo con chicharron y longaniza, y parrillada de mariscos. Dominicano de verdad, con musica latina los fines de semana.</t>
        </is>
      </c>
      <c r="R166" s="16" t="inlineStr">
        <is>
          <t>4141 Broadway</t>
        </is>
      </c>
      <c r="S166" s="16" t="inlineStr">
        <is>
          <t>—</t>
        </is>
      </c>
      <c r="T166" s="18" t="inlineStr">
        <is>
          <t>Abrir ↗</t>
        </is>
      </c>
      <c r="U166" s="21" t="inlineStr">
        <is>
          <t>otros</t>
        </is>
      </c>
      <c r="V166" s="20" t="inlineStr"/>
    </row>
    <row r="167" ht="46" customHeight="1">
      <c r="A167" s="9" t="inlineStr">
        <is>
          <t>Nepali Bhanchha Ghar</t>
        </is>
      </c>
      <c r="B167" s="10" t="inlineStr">
        <is>
          <t>Restaurante étnico</t>
        </is>
      </c>
      <c r="C167" s="11" t="inlineStr">
        <is>
          <t>Comida</t>
        </is>
      </c>
      <c r="D167" s="11" t="inlineStr">
        <is>
          <t>Jackson Heights</t>
        </is>
      </c>
      <c r="E167" s="11" t="inlineStr">
        <is>
          <t>Queens</t>
        </is>
      </c>
      <c r="F167" s="12" t="n">
        <v>0</v>
      </c>
      <c r="G167" s="12" t="n">
        <v>0</v>
      </c>
      <c r="H167" s="13">
        <f>IF(AND(F167=2,G167=2),"AMBOS",IF(AND(F167=2,G167&lt;2),"solo JP",IF(AND(F167&lt;2,G167=2),"solo Thais","-")))</f>
        <v/>
      </c>
      <c r="I167" s="14" t="n">
        <v>18</v>
      </c>
      <c r="J167" s="15" t="n">
        <v>1.25</v>
      </c>
      <c r="K167" s="13" t="inlineStr">
        <is>
          <t>no</t>
        </is>
      </c>
      <c r="L167" s="16" t="inlineStr">
        <is>
          <t>—</t>
        </is>
      </c>
      <c r="M167" s="11" t="inlineStr">
        <is>
          <t>—</t>
        </is>
      </c>
      <c r="N167" s="16" t="inlineStr">
        <is>
          <t>—</t>
        </is>
      </c>
      <c r="O167" s="16" t="inlineStr">
        <is>
          <t>—</t>
        </is>
      </c>
      <c r="P167" s="16" t="inlineStr">
        <is>
          <t>74 St-Roosevelt Av (7,E,F,M,R)</t>
        </is>
      </c>
      <c r="Q167" s="16" t="inlineStr">
        <is>
          <t>Jhol momo: dumplings de carne flotando en salsa de sesamo y tomate. Y sel roti. El mejor nepali de la ciudad segun la prensa gastronomica local.</t>
        </is>
      </c>
      <c r="R167" s="16" t="inlineStr">
        <is>
          <t>74-06 37th Rd, Jackson Heights</t>
        </is>
      </c>
      <c r="S167" s="16" t="inlineStr">
        <is>
          <t>—</t>
        </is>
      </c>
      <c r="T167" s="18" t="inlineStr">
        <is>
          <t>Abrir ↗</t>
        </is>
      </c>
      <c r="U167" s="21" t="inlineStr">
        <is>
          <t>otros</t>
        </is>
      </c>
      <c r="V167" s="20" t="inlineStr"/>
    </row>
    <row r="168" ht="46" customHeight="1">
      <c r="A168" s="9" t="inlineStr">
        <is>
          <t>New Nurlan Uyghur</t>
        </is>
      </c>
      <c r="B168" s="10" t="inlineStr">
        <is>
          <t>Restaurante étnico</t>
        </is>
      </c>
      <c r="C168" s="11" t="inlineStr">
        <is>
          <t>Comida</t>
        </is>
      </c>
      <c r="D168" s="11" t="inlineStr">
        <is>
          <t>Flushing</t>
        </is>
      </c>
      <c r="E168" s="11" t="inlineStr">
        <is>
          <t>Queens</t>
        </is>
      </c>
      <c r="F168" s="12" t="n">
        <v>0</v>
      </c>
      <c r="G168" s="12" t="n">
        <v>0</v>
      </c>
      <c r="H168" s="13">
        <f>IF(AND(F168=2,G168=2),"AMBOS",IF(AND(F168=2,G168&lt;2),"solo JP",IF(AND(F168&lt;2,G168=2),"solo Thais","-")))</f>
        <v/>
      </c>
      <c r="I168" s="14" t="n">
        <v>22</v>
      </c>
      <c r="J168" s="15" t="n">
        <v>1.25</v>
      </c>
      <c r="K168" s="13" t="inlineStr">
        <is>
          <t>no</t>
        </is>
      </c>
      <c r="L168" s="16" t="inlineStr">
        <is>
          <t>—</t>
        </is>
      </c>
      <c r="M168" s="11" t="inlineStr">
        <is>
          <t>—</t>
        </is>
      </c>
      <c r="N168" s="16" t="inlineStr">
        <is>
          <t>—</t>
        </is>
      </c>
      <c r="O168" s="16" t="inlineStr">
        <is>
          <t>—</t>
        </is>
      </c>
      <c r="P168" s="16" t="inlineStr">
        <is>
          <t>Main St (7)</t>
        </is>
      </c>
      <c r="Q168" s="16" t="inlineStr">
        <is>
          <t>Cocina uigur, no china han: brochetas de cordero especiadas y dumplings de calabaza de masa finisima. Esta en el subsuelo de un hotel y no lo encuentra nadie.</t>
        </is>
      </c>
      <c r="R168" s="16" t="inlineStr">
        <is>
          <t>135-51 39th Ave, Flushing (subsuelo)</t>
        </is>
      </c>
      <c r="S168" s="16" t="inlineStr">
        <is>
          <t>—</t>
        </is>
      </c>
      <c r="T168" s="18" t="inlineStr">
        <is>
          <t>Abrir ↗</t>
        </is>
      </c>
      <c r="U168" s="21" t="inlineStr">
        <is>
          <t>otros</t>
        </is>
      </c>
      <c r="V168" s="20" t="inlineStr"/>
    </row>
    <row r="169" ht="46" customHeight="1">
      <c r="A169" s="9" t="inlineStr">
        <is>
          <t>Nom Wah Tea Parlor</t>
        </is>
      </c>
      <c r="B169" s="10" t="inlineStr">
        <is>
          <t>Restaurante étnico</t>
        </is>
      </c>
      <c r="C169" s="11" t="inlineStr">
        <is>
          <t>Comida</t>
        </is>
      </c>
      <c r="D169" s="11" t="inlineStr">
        <is>
          <t>Chinatown</t>
        </is>
      </c>
      <c r="E169" s="11" t="inlineStr">
        <is>
          <t>Manhattan</t>
        </is>
      </c>
      <c r="F169" s="12" t="n">
        <v>1</v>
      </c>
      <c r="G169" s="12" t="n">
        <v>1</v>
      </c>
      <c r="H169" s="13">
        <f>IF(AND(F169=2,G169=2),"AMBOS",IF(AND(F169=2,G169&lt;2),"solo JP",IF(AND(F169&lt;2,G169=2),"solo Thais","-")))</f>
        <v/>
      </c>
      <c r="I169" s="14" t="n">
        <v>20</v>
      </c>
      <c r="J169" s="15" t="n">
        <v>1</v>
      </c>
      <c r="K169" s="13" t="inlineStr">
        <is>
          <t>no</t>
        </is>
      </c>
      <c r="L169" s="16" t="inlineStr">
        <is>
          <t>—</t>
        </is>
      </c>
      <c r="M169" s="11" t="inlineStr">
        <is>
          <t>—</t>
        </is>
      </c>
      <c r="N169" s="16" t="inlineStr">
        <is>
          <t>—</t>
        </is>
      </c>
      <c r="O169" s="16" t="inlineStr">
        <is>
          <t>—</t>
        </is>
      </c>
      <c r="P169" s="16" t="inlineStr">
        <is>
          <t>Canal St (J,N,Q,R,W,6)</t>
        </is>
      </c>
      <c r="Q169" s="16" t="inlineStr">
        <is>
          <t>1920, en la cuadra torcida de Doyers. El dim sum mas viejo de Nueva York, con los boxes rojos originales.</t>
        </is>
      </c>
      <c r="R169" s="16" t="inlineStr">
        <is>
          <t>13 Doyers St</t>
        </is>
      </c>
      <c r="S169" s="16" t="inlineStr">
        <is>
          <t>—</t>
        </is>
      </c>
      <c r="T169" s="18" t="inlineStr">
        <is>
          <t>Abrir ↗</t>
        </is>
      </c>
      <c r="U169" s="21" t="inlineStr">
        <is>
          <t>otros</t>
        </is>
      </c>
      <c r="V169" s="20" t="inlineStr"/>
    </row>
    <row r="170" ht="46" customHeight="1">
      <c r="A170" s="9" t="inlineStr">
        <is>
          <t>Pierozek</t>
        </is>
      </c>
      <c r="B170" s="10" t="inlineStr">
        <is>
          <t>Restaurante étnico</t>
        </is>
      </c>
      <c r="C170" s="11" t="inlineStr">
        <is>
          <t>Comida</t>
        </is>
      </c>
      <c r="D170" s="11" t="inlineStr">
        <is>
          <t>Greenpoint</t>
        </is>
      </c>
      <c r="E170" s="11" t="inlineStr">
        <is>
          <t>Brooklyn</t>
        </is>
      </c>
      <c r="F170" s="12" t="n">
        <v>0</v>
      </c>
      <c r="G170" s="12" t="n">
        <v>0</v>
      </c>
      <c r="H170" s="13">
        <f>IF(AND(F170=2,G170=2),"AMBOS",IF(AND(F170=2,G170&lt;2),"solo JP",IF(AND(F170&lt;2,G170=2),"solo Thais","-")))</f>
        <v/>
      </c>
      <c r="I170" s="14" t="n">
        <v>18</v>
      </c>
      <c r="J170" s="15" t="n">
        <v>1</v>
      </c>
      <c r="K170" s="13" t="inlineStr">
        <is>
          <t>no</t>
        </is>
      </c>
      <c r="L170" s="16" t="inlineStr">
        <is>
          <t>—</t>
        </is>
      </c>
      <c r="M170" s="11" t="inlineStr">
        <is>
          <t>—</t>
        </is>
      </c>
      <c r="N170" s="16" t="inlineStr">
        <is>
          <t>—</t>
        </is>
      </c>
      <c r="O170" s="16" t="inlineStr">
        <is>
          <t>—</t>
        </is>
      </c>
      <c r="P170" s="16" t="inlineStr">
        <is>
          <t>Nassau Av (G)</t>
        </is>
      </c>
      <c r="Q170" s="16" t="inlineStr">
        <is>
          <t>Bib Gourmand Michelin: el unico restaurante polaco de Estados Unidos reconocido por la guia. Pierogi ruskie y tatarskie.</t>
        </is>
      </c>
      <c r="R170" s="16" t="inlineStr">
        <is>
          <t>833 Manhattan Ave, Brooklyn</t>
        </is>
      </c>
      <c r="S170" s="16" t="inlineStr">
        <is>
          <t>—</t>
        </is>
      </c>
      <c r="T170" s="18" t="inlineStr">
        <is>
          <t>Abrir ↗</t>
        </is>
      </c>
      <c r="U170" s="21" t="inlineStr">
        <is>
          <t>otros</t>
        </is>
      </c>
      <c r="V170" s="20" t="inlineStr"/>
    </row>
    <row r="171" ht="46" customHeight="1">
      <c r="A171" s="9" t="inlineStr">
        <is>
          <t>Pies 'n' Thighs</t>
        </is>
      </c>
      <c r="B171" s="10" t="inlineStr">
        <is>
          <t>Restaurante étnico</t>
        </is>
      </c>
      <c r="C171" s="11" t="inlineStr">
        <is>
          <t>Comida</t>
        </is>
      </c>
      <c r="D171" s="11" t="inlineStr">
        <is>
          <t>Williamsburg</t>
        </is>
      </c>
      <c r="E171" s="11" t="inlineStr">
        <is>
          <t>Brooklyn</t>
        </is>
      </c>
      <c r="F171" s="12" t="n">
        <v>1</v>
      </c>
      <c r="G171" s="12" t="n">
        <v>1</v>
      </c>
      <c r="H171" s="13">
        <f>IF(AND(F171=2,G171=2),"AMBOS",IF(AND(F171=2,G171&lt;2),"solo JP",IF(AND(F171&lt;2,G171=2),"solo Thais","-")))</f>
        <v/>
      </c>
      <c r="I171" s="14" t="n">
        <v>25</v>
      </c>
      <c r="J171" s="15" t="n">
        <v>1</v>
      </c>
      <c r="K171" s="13" t="inlineStr">
        <is>
          <t>no</t>
        </is>
      </c>
      <c r="L171" s="16" t="inlineStr">
        <is>
          <t>—</t>
        </is>
      </c>
      <c r="M171" s="11" t="inlineStr">
        <is>
          <t>—</t>
        </is>
      </c>
      <c r="N171" s="16" t="inlineStr">
        <is>
          <t>—</t>
        </is>
      </c>
      <c r="O171" s="16" t="inlineStr">
        <is>
          <t>—</t>
        </is>
      </c>
      <c r="P171" s="16" t="inlineStr">
        <is>
          <t>Marcy Av (J,M,Z)</t>
        </is>
      </c>
      <c r="Q171" s="16" t="inlineStr">
        <is>
          <t>Pollo frito sureño y pies, al pie del puente de Williamsburg. Cerca de Peter Luger.</t>
        </is>
      </c>
      <c r="R171" s="16" t="inlineStr">
        <is>
          <t>166 S 4th St</t>
        </is>
      </c>
      <c r="S171" s="16" t="inlineStr">
        <is>
          <t>—</t>
        </is>
      </c>
      <c r="T171" s="18" t="inlineStr">
        <is>
          <t>Abrir ↗</t>
        </is>
      </c>
      <c r="U171" s="19" t="inlineStr">
        <is>
          <t>lista google</t>
        </is>
      </c>
      <c r="V171" s="20" t="inlineStr"/>
    </row>
    <row r="172" ht="46" customHeight="1">
      <c r="A172" s="9" t="inlineStr">
        <is>
          <t>Sakagura</t>
        </is>
      </c>
      <c r="B172" s="10" t="inlineStr">
        <is>
          <t>Restaurante étnico</t>
        </is>
      </c>
      <c r="C172" s="11" t="inlineStr">
        <is>
          <t>Comida</t>
        </is>
      </c>
      <c r="D172" s="11" t="inlineStr">
        <is>
          <t>Midtown East</t>
        </is>
      </c>
      <c r="E172" s="11" t="inlineStr">
        <is>
          <t>Manhattan</t>
        </is>
      </c>
      <c r="F172" s="12" t="n">
        <v>1</v>
      </c>
      <c r="G172" s="12" t="n">
        <v>1</v>
      </c>
      <c r="H172" s="13">
        <f>IF(AND(F172=2,G172=2),"AMBOS",IF(AND(F172=2,G172&lt;2),"solo JP",IF(AND(F172&lt;2,G172=2),"solo Thais","-")))</f>
        <v/>
      </c>
      <c r="I172" s="14" t="n">
        <v>60</v>
      </c>
      <c r="J172" s="15" t="n">
        <v>1.5</v>
      </c>
      <c r="K172" s="13" t="inlineStr">
        <is>
          <t>no</t>
        </is>
      </c>
      <c r="L172" s="16" t="inlineStr">
        <is>
          <t>—</t>
        </is>
      </c>
      <c r="M172" s="11" t="inlineStr">
        <is>
          <t>—</t>
        </is>
      </c>
      <c r="N172" s="16" t="inlineStr">
        <is>
          <t>—</t>
        </is>
      </c>
      <c r="O172" s="16" t="inlineStr">
        <is>
          <t>—</t>
        </is>
      </c>
      <c r="P172" s="16" t="inlineStr">
        <is>
          <t>Grand Central-42 St (4,5,6,7,S)</t>
        </is>
      </c>
      <c r="Q172" s="16" t="inlineStr">
        <is>
          <t>Izakaya escondido en el SÓTANO de un edificio de oficinas: se entra por el lobby y se baja. 200 sakes.</t>
        </is>
      </c>
      <c r="R172" s="16" t="inlineStr">
        <is>
          <t>211 E 43rd St (sótano)</t>
        </is>
      </c>
      <c r="S172" s="16" t="inlineStr">
        <is>
          <t>—</t>
        </is>
      </c>
      <c r="T172" s="18" t="inlineStr">
        <is>
          <t>Abrir ↗</t>
        </is>
      </c>
      <c r="U172" s="19" t="inlineStr">
        <is>
          <t>lista google</t>
        </is>
      </c>
      <c r="V172" s="20" t="inlineStr"/>
    </row>
    <row r="173" ht="46" customHeight="1">
      <c r="A173" s="9" t="inlineStr">
        <is>
          <t>Tacos El Bronco</t>
        </is>
      </c>
      <c r="B173" s="10" t="inlineStr">
        <is>
          <t>Restaurante étnico</t>
        </is>
      </c>
      <c r="C173" s="11" t="inlineStr">
        <is>
          <t>Comida</t>
        </is>
      </c>
      <c r="D173" s="11" t="inlineStr">
        <is>
          <t>Sunset Park</t>
        </is>
      </c>
      <c r="E173" s="11" t="inlineStr">
        <is>
          <t>Brooklyn</t>
        </is>
      </c>
      <c r="F173" s="12" t="n">
        <v>0</v>
      </c>
      <c r="G173" s="12" t="n">
        <v>0</v>
      </c>
      <c r="H173" s="13">
        <f>IF(AND(F173=2,G173=2),"AMBOS",IF(AND(F173=2,G173&lt;2),"solo JP",IF(AND(F173&lt;2,G173=2),"solo Thais","-")))</f>
        <v/>
      </c>
      <c r="I173" s="14" t="n">
        <v>12</v>
      </c>
      <c r="J173" s="15" t="n">
        <v>0.75</v>
      </c>
      <c r="K173" s="13" t="inlineStr">
        <is>
          <t>no</t>
        </is>
      </c>
      <c r="L173" s="16" t="inlineStr">
        <is>
          <t>—</t>
        </is>
      </c>
      <c r="M173" s="11" t="inlineStr">
        <is>
          <t>—</t>
        </is>
      </c>
      <c r="N173" s="16" t="inlineStr">
        <is>
          <t>—</t>
        </is>
      </c>
      <c r="O173" s="16" t="inlineStr">
        <is>
          <t>—</t>
        </is>
      </c>
      <c r="P173" s="16" t="inlineStr">
        <is>
          <t>45 St (R)</t>
        </is>
      </c>
      <c r="Q173" s="16" t="inlineStr">
        <is>
          <t>Paso de food truck a local. Lengua, al pastor, cabeza, cueritos. Es el taco de barrio, no el de menu bilingue.</t>
        </is>
      </c>
      <c r="R173" s="16" t="inlineStr">
        <is>
          <t>4324 4th Ave, Brooklyn</t>
        </is>
      </c>
      <c r="S173" s="16" t="inlineStr">
        <is>
          <t>—</t>
        </is>
      </c>
      <c r="T173" s="18" t="inlineStr">
        <is>
          <t>Abrir ↗</t>
        </is>
      </c>
      <c r="U173" s="21" t="inlineStr">
        <is>
          <t>otros</t>
        </is>
      </c>
      <c r="V173" s="20" t="inlineStr"/>
    </row>
    <row r="174" ht="46" customHeight="1">
      <c r="A174" s="9" t="inlineStr">
        <is>
          <t>Tanoreen</t>
        </is>
      </c>
      <c r="B174" s="10" t="inlineStr">
        <is>
          <t>Restaurante étnico</t>
        </is>
      </c>
      <c r="C174" s="11" t="inlineStr">
        <is>
          <t>Comida</t>
        </is>
      </c>
      <c r="D174" s="11" t="inlineStr">
        <is>
          <t>Bay Ridge</t>
        </is>
      </c>
      <c r="E174" s="11" t="inlineStr">
        <is>
          <t>Brooklyn</t>
        </is>
      </c>
      <c r="F174" s="12" t="n">
        <v>2</v>
      </c>
      <c r="G174" s="12" t="n">
        <v>2</v>
      </c>
      <c r="H174" s="13">
        <f>IF(AND(F174=2,G174=2),"AMBOS",IF(AND(F174=2,G174&lt;2),"solo JP",IF(AND(F174&lt;2,G174=2),"solo Thais","-")))</f>
        <v/>
      </c>
      <c r="I174" s="14" t="n">
        <v>35</v>
      </c>
      <c r="J174" s="15" t="n">
        <v>1.5</v>
      </c>
      <c r="K174" s="13" t="inlineStr">
        <is>
          <t>no</t>
        </is>
      </c>
      <c r="L174" s="16" t="inlineStr">
        <is>
          <t>—</t>
        </is>
      </c>
      <c r="M174" s="11" t="inlineStr">
        <is>
          <t>—</t>
        </is>
      </c>
      <c r="N174" s="16" t="inlineStr">
        <is>
          <t>—</t>
        </is>
      </c>
      <c r="O174" s="16" t="inlineStr">
        <is>
          <t>—</t>
        </is>
      </c>
      <c r="P174" s="16" t="inlineStr">
        <is>
          <t>86 St (R)</t>
        </is>
      </c>
      <c r="Q174" s="16" t="inlineStr">
        <is>
          <t>Palestino, en el Michelin Guide. Coliflor frita con tahini y halloumi frito. La chef Rawia Bishara es una institucion.</t>
        </is>
      </c>
      <c r="R174" s="16" t="inlineStr">
        <is>
          <t>7523 3rd Ave, Brooklyn</t>
        </is>
      </c>
      <c r="S174" s="16" t="inlineStr">
        <is>
          <t>—</t>
        </is>
      </c>
      <c r="T174" s="18" t="inlineStr">
        <is>
          <t>Abrir ↗</t>
        </is>
      </c>
      <c r="U174" s="19" t="inlineStr">
        <is>
          <t>lista google</t>
        </is>
      </c>
      <c r="V174" s="20" t="inlineStr"/>
    </row>
    <row r="175" ht="46" customHeight="1">
      <c r="A175" s="9" t="inlineStr">
        <is>
          <t>Taverna Kyclades</t>
        </is>
      </c>
      <c r="B175" s="10" t="inlineStr">
        <is>
          <t>Restaurante étnico</t>
        </is>
      </c>
      <c r="C175" s="11" t="inlineStr">
        <is>
          <t>Comida</t>
        </is>
      </c>
      <c r="D175" s="11" t="inlineStr">
        <is>
          <t>Astoria</t>
        </is>
      </c>
      <c r="E175" s="11" t="inlineStr">
        <is>
          <t>Queens</t>
        </is>
      </c>
      <c r="F175" s="12" t="n">
        <v>0</v>
      </c>
      <c r="G175" s="12" t="n">
        <v>0</v>
      </c>
      <c r="H175" s="13">
        <f>IF(AND(F175=2,G175=2),"AMBOS",IF(AND(F175=2,G175&lt;2),"solo JP",IF(AND(F175&lt;2,G175=2),"solo Thais","-")))</f>
        <v/>
      </c>
      <c r="I175" s="14" t="n">
        <v>40</v>
      </c>
      <c r="J175" s="15" t="n">
        <v>1.5</v>
      </c>
      <c r="K175" s="13" t="inlineStr">
        <is>
          <t>no</t>
        </is>
      </c>
      <c r="L175" s="16" t="inlineStr">
        <is>
          <t>—</t>
        </is>
      </c>
      <c r="M175" s="11" t="inlineStr">
        <is>
          <t>—</t>
        </is>
      </c>
      <c r="N175" s="16" t="inlineStr">
        <is>
          <t>—</t>
        </is>
      </c>
      <c r="O175" s="16" t="inlineStr">
        <is>
          <t>—</t>
        </is>
      </c>
      <c r="P175" s="16" t="inlineStr">
        <is>
          <t>30 Av (N,W)</t>
        </is>
      </c>
      <c r="Q175" s="16" t="inlineStr">
        <is>
          <t>Pescado griego a la parrilla, entero, con limon. La referencia del barrio desde hace decadas y en el Michelin Guide. No toman reserva: hay cola.</t>
        </is>
      </c>
      <c r="R175" s="16" t="inlineStr">
        <is>
          <t>33-07 Ditmars Blvd, Astoria</t>
        </is>
      </c>
      <c r="S175" s="16" t="inlineStr">
        <is>
          <t>—</t>
        </is>
      </c>
      <c r="T175" s="18" t="inlineStr">
        <is>
          <t>Abrir ↗</t>
        </is>
      </c>
      <c r="U175" s="21" t="inlineStr">
        <is>
          <t>otros</t>
        </is>
      </c>
      <c r="V175" s="20" t="inlineStr"/>
    </row>
    <row r="176" ht="46" customHeight="1">
      <c r="A176" s="9" t="inlineStr">
        <is>
          <t>Trattoria Tra Di Noi</t>
        </is>
      </c>
      <c r="B176" s="10" t="inlineStr">
        <is>
          <t>Restaurante étnico</t>
        </is>
      </c>
      <c r="C176" s="11" t="inlineStr">
        <is>
          <t>Comida</t>
        </is>
      </c>
      <c r="D176" s="11" t="inlineStr">
        <is>
          <t>Belmont</t>
        </is>
      </c>
      <c r="E176" s="11" t="inlineStr">
        <is>
          <t>Bronx</t>
        </is>
      </c>
      <c r="F176" s="12" t="n">
        <v>1</v>
      </c>
      <c r="G176" s="12" t="n">
        <v>1</v>
      </c>
      <c r="H176" s="13">
        <f>IF(AND(F176=2,G176=2),"AMBOS",IF(AND(F176=2,G176&lt;2),"solo JP",IF(AND(F176&lt;2,G176=2),"solo Thais","-")))</f>
        <v/>
      </c>
      <c r="I176" s="14" t="n">
        <v>65</v>
      </c>
      <c r="J176" s="15" t="n">
        <v>1.5</v>
      </c>
      <c r="K176" s="13" t="inlineStr">
        <is>
          <t>no</t>
        </is>
      </c>
      <c r="L176" s="16" t="inlineStr">
        <is>
          <t>—</t>
        </is>
      </c>
      <c r="M176" s="11" t="inlineStr">
        <is>
          <t>—</t>
        </is>
      </c>
      <c r="N176" s="16" t="inlineStr">
        <is>
          <t>—</t>
        </is>
      </c>
      <c r="O176" s="16" t="inlineStr">
        <is>
          <t>—</t>
        </is>
      </c>
      <c r="P176" s="16" t="inlineStr">
        <is>
          <t>Fordham Rd (B,D)</t>
        </is>
      </c>
      <c r="Q176" s="16" t="inlineStr">
        <is>
          <t>es el que eligen los que viven ahí, no los que bajan del bus turístico. Diez mesas, cocina de Marco Coletta (nacido en Abruzzo, 50 años de oficio). El menú del día lo cantan los mozos; el pez espada es el plato que destaca Infatuation. Venden la salsa por pinta.</t>
        </is>
      </c>
      <c r="R176" s="16" t="inlineStr">
        <is>
          <t>622 E 187th St, Bronx</t>
        </is>
      </c>
      <c r="S176" s="16" t="inlineStr">
        <is>
          <t>—</t>
        </is>
      </c>
      <c r="T176" s="18" t="inlineStr">
        <is>
          <t>Abrir ↗</t>
        </is>
      </c>
      <c r="U176" s="21" t="inlineStr">
        <is>
          <t>otros</t>
        </is>
      </c>
      <c r="V176" s="20" t="inlineStr"/>
    </row>
    <row r="177" ht="46" customHeight="1">
      <c r="A177" s="9" t="inlineStr">
        <is>
          <t>Uncle Lou</t>
        </is>
      </c>
      <c r="B177" s="10" t="inlineStr">
        <is>
          <t>Restaurante étnico</t>
        </is>
      </c>
      <c r="C177" s="11" t="inlineStr">
        <is>
          <t>Comida</t>
        </is>
      </c>
      <c r="D177" s="11" t="inlineStr">
        <is>
          <t>Chinatown</t>
        </is>
      </c>
      <c r="E177" s="11" t="inlineStr">
        <is>
          <t>Manhattan</t>
        </is>
      </c>
      <c r="F177" s="12" t="n">
        <v>1</v>
      </c>
      <c r="G177" s="12" t="n">
        <v>1</v>
      </c>
      <c r="H177" s="13">
        <f>IF(AND(F177=2,G177=2),"AMBOS",IF(AND(F177=2,G177&lt;2),"solo JP",IF(AND(F177&lt;2,G177=2),"solo Thais","-")))</f>
        <v/>
      </c>
      <c r="I177" s="14" t="n">
        <v>37</v>
      </c>
      <c r="J177" s="15" t="n">
        <v>1</v>
      </c>
      <c r="K177" s="13" t="inlineStr">
        <is>
          <t>no</t>
        </is>
      </c>
      <c r="L177" s="16" t="inlineStr">
        <is>
          <t>—</t>
        </is>
      </c>
      <c r="M177" s="11" t="inlineStr">
        <is>
          <t>—</t>
        </is>
      </c>
      <c r="N177" s="16" t="inlineStr">
        <is>
          <t>—</t>
        </is>
      </c>
      <c r="O177" s="16" t="inlineStr">
        <is>
          <t>—</t>
        </is>
      </c>
      <c r="P177" s="16" t="inlineStr">
        <is>
          <t>Canal St (J,N,Q,R,W,6)</t>
        </is>
      </c>
      <c r="Q177" s="16" t="inlineStr">
        <is>
          <t>cantonés de Louis Wong, Critic's Pick del NYT. El pollo al ajo de piel crocante es por lo que va la gente; también wonton, siu mai y chow mei fun con vieiras y sepia frita. Mesas redondas con lazy susan y tres generaciones de familias chinas comiendo.</t>
        </is>
      </c>
      <c r="R177" s="16" t="inlineStr">
        <is>
          <t>73 Mulberry St</t>
        </is>
      </c>
      <c r="S177" s="16" t="inlineStr">
        <is>
          <t>—</t>
        </is>
      </c>
      <c r="T177" s="18" t="inlineStr">
        <is>
          <t>Abrir ↗</t>
        </is>
      </c>
      <c r="U177" s="21" t="inlineStr">
        <is>
          <t>otros</t>
        </is>
      </c>
      <c r="V177" s="20" t="inlineStr"/>
    </row>
    <row r="178" ht="46" customHeight="1">
      <c r="A178" s="9" t="inlineStr">
        <is>
          <t>Peter Luger Steak House</t>
        </is>
      </c>
      <c r="B178" s="10" t="inlineStr">
        <is>
          <t>Steakhouse clásico</t>
        </is>
      </c>
      <c r="C178" s="11" t="inlineStr">
        <is>
          <t>Comida</t>
        </is>
      </c>
      <c r="D178" s="11" t="inlineStr">
        <is>
          <t>Williamsburg</t>
        </is>
      </c>
      <c r="E178" s="11" t="inlineStr">
        <is>
          <t>Brooklyn</t>
        </is>
      </c>
      <c r="F178" s="12" t="n">
        <v>2</v>
      </c>
      <c r="G178" s="12" t="n">
        <v>2</v>
      </c>
      <c r="H178" s="13">
        <f>IF(AND(F178=2,G178=2),"AMBOS",IF(AND(F178=2,G178&lt;2),"solo JP",IF(AND(F178&lt;2,G178=2),"solo Thais","-")))</f>
        <v/>
      </c>
      <c r="I178" s="14" t="n">
        <v>110</v>
      </c>
      <c r="J178" s="15" t="n">
        <v>1.75</v>
      </c>
      <c r="K178" s="13" t="inlineStr">
        <is>
          <t>SÍ</t>
        </is>
      </c>
      <c r="L178" s="16" t="inlineStr">
        <is>
          <t>—</t>
        </is>
      </c>
      <c r="M178" s="11" t="inlineStr">
        <is>
          <t>—</t>
        </is>
      </c>
      <c r="N178" s="16" t="inlineStr">
        <is>
          <t>—</t>
        </is>
      </c>
      <c r="O178" s="16" t="inlineStr">
        <is>
          <t>Resy - reservar YA: los sabados se agotan con semanas</t>
        </is>
      </c>
      <c r="P178" s="16" t="inlineStr">
        <is>
          <t>Marcy Av (J,Z)</t>
        </is>
      </c>
      <c r="Q178" s="16" t="inlineStr">
        <is>
          <t>El steakhouse de 1887 con la carne dry-aged en el sotano: sigue siendo EL porterhouse contra el que se mide todo lo demas. Sala alemana, ruidosa, sin vueltas.</t>
        </is>
      </c>
      <c r="R178" s="16" t="inlineStr">
        <is>
          <t>178 Broadway, Brooklyn</t>
        </is>
      </c>
      <c r="S178" s="17" t="inlineStr">
        <is>
          <t>Día 8 · sáb 5/9</t>
        </is>
      </c>
      <c r="T178" s="18" t="inlineStr">
        <is>
          <t>Abrir ↗</t>
        </is>
      </c>
      <c r="U178" s="19" t="inlineStr">
        <is>
          <t>lista google</t>
        </is>
      </c>
      <c r="V178" s="20" t="inlineStr">
        <is>
          <t>SÍ</t>
        </is>
      </c>
    </row>
    <row r="179" ht="46" customHeight="1">
      <c r="A179" s="9" t="inlineStr">
        <is>
          <t>Bar Bayeux</t>
        </is>
      </c>
      <c r="B179" s="10" t="inlineStr">
        <is>
          <t>Bar con música</t>
        </is>
      </c>
      <c r="C179" s="11" t="inlineStr">
        <is>
          <t>Música</t>
        </is>
      </c>
      <c r="D179" s="11" t="inlineStr">
        <is>
          <t>Prospect Lefferts Gardens</t>
        </is>
      </c>
      <c r="E179" s="11" t="inlineStr">
        <is>
          <t>Brooklyn</t>
        </is>
      </c>
      <c r="F179" s="12" t="n">
        <v>1</v>
      </c>
      <c r="G179" s="12" t="n">
        <v>1</v>
      </c>
      <c r="H179" s="13">
        <f>IF(AND(F179=2,G179=2),"AMBOS",IF(AND(F179=2,G179&lt;2),"solo JP",IF(AND(F179&lt;2,G179=2),"solo Thais","-")))</f>
        <v/>
      </c>
      <c r="I179" s="14" t="n">
        <v>0</v>
      </c>
      <c r="J179" s="15" t="n">
        <v>2</v>
      </c>
      <c r="K179" s="13" t="inlineStr">
        <is>
          <t>no</t>
        </is>
      </c>
      <c r="L179" s="16" t="inlineStr">
        <is>
          <t>—</t>
        </is>
      </c>
      <c r="M179" s="11" t="inlineStr">
        <is>
          <t>—</t>
        </is>
      </c>
      <c r="N179" s="16" t="inlineStr">
        <is>
          <t>—</t>
        </is>
      </c>
      <c r="O179" s="16" t="inlineStr">
        <is>
          <t>—</t>
        </is>
      </c>
      <c r="P179" s="16" t="inlineStr">
        <is>
          <t>Sterling St (2,5)</t>
        </is>
      </c>
      <c r="Q179" s="16" t="inlineStr">
        <is>
          <t>Wine bar de barrio con jazz de verdad y sin entrada. El mas barato de la lista.</t>
        </is>
      </c>
      <c r="R179" s="16" t="inlineStr">
        <is>
          <t>1066 Nostrand Ave, Brooklyn</t>
        </is>
      </c>
      <c r="S179" s="16" t="inlineStr">
        <is>
          <t>—</t>
        </is>
      </c>
      <c r="T179" s="18" t="inlineStr">
        <is>
          <t>Abrir ↗</t>
        </is>
      </c>
      <c r="U179" s="19" t="inlineStr">
        <is>
          <t>lista google</t>
        </is>
      </c>
      <c r="V179" s="20" t="inlineStr"/>
    </row>
    <row r="180" ht="46" customHeight="1">
      <c r="A180" s="9" t="inlineStr">
        <is>
          <t>Bar LunAtico</t>
        </is>
      </c>
      <c r="B180" s="10" t="inlineStr">
        <is>
          <t>Bar con música</t>
        </is>
      </c>
      <c r="C180" s="11" t="inlineStr">
        <is>
          <t>Música</t>
        </is>
      </c>
      <c r="D180" s="11" t="inlineStr">
        <is>
          <t>Bedford-Stuyvesant</t>
        </is>
      </c>
      <c r="E180" s="11" t="inlineStr">
        <is>
          <t>Brooklyn</t>
        </is>
      </c>
      <c r="F180" s="12" t="n">
        <v>1</v>
      </c>
      <c r="G180" s="12" t="n">
        <v>1</v>
      </c>
      <c r="H180" s="13">
        <f>IF(AND(F180=2,G180=2),"AMBOS",IF(AND(F180=2,G180&lt;2),"solo JP",IF(AND(F180&lt;2,G180=2),"solo Thais","-")))</f>
        <v/>
      </c>
      <c r="I180" s="14" t="n">
        <v>10</v>
      </c>
      <c r="J180" s="15" t="n">
        <v>2.5</v>
      </c>
      <c r="K180" s="13" t="inlineStr">
        <is>
          <t>no</t>
        </is>
      </c>
      <c r="L180" s="16" t="inlineStr">
        <is>
          <t>—</t>
        </is>
      </c>
      <c r="M180" s="11" t="inlineStr">
        <is>
          <t>—</t>
        </is>
      </c>
      <c r="N180" s="16" t="inlineStr">
        <is>
          <t>—</t>
        </is>
      </c>
      <c r="O180" s="16" t="inlineStr">
        <is>
          <t>—</t>
        </is>
      </c>
      <c r="P180" s="16" t="inlineStr">
        <is>
          <t>Halsey St (J), Kingston-Throop (C)</t>
        </is>
      </c>
      <c r="Q180" s="16" t="inlineStr">
        <is>
          <t>Bar de barrio de musicos, no de publico. Dos sets todas las noches (21:00 y 22:15), cocina y cocteleria completas. Es la mejor relacion musica/precio de la ciudad. LLEVAR EFECTIVO.</t>
        </is>
      </c>
      <c r="R180" s="16" t="inlineStr">
        <is>
          <t>486 Halsey St, Brooklyn</t>
        </is>
      </c>
      <c r="S180" s="16" t="inlineStr">
        <is>
          <t>—</t>
        </is>
      </c>
      <c r="T180" s="18" t="inlineStr">
        <is>
          <t>Abrir ↗</t>
        </is>
      </c>
      <c r="U180" s="19" t="inlineStr">
        <is>
          <t>lista google</t>
        </is>
      </c>
      <c r="V180" s="20" t="inlineStr"/>
    </row>
    <row r="181" ht="46" customHeight="1">
      <c r="A181" s="9" t="inlineStr">
        <is>
          <t>Cafe Wha?</t>
        </is>
      </c>
      <c r="B181" s="10" t="inlineStr">
        <is>
          <t>Bar con música</t>
        </is>
      </c>
      <c r="C181" s="11" t="inlineStr">
        <is>
          <t>Música</t>
        </is>
      </c>
      <c r="D181" s="11" t="inlineStr">
        <is>
          <t>Greenwich Village</t>
        </is>
      </c>
      <c r="E181" s="11" t="inlineStr">
        <is>
          <t>Manhattan</t>
        </is>
      </c>
      <c r="F181" s="12" t="n">
        <v>2</v>
      </c>
      <c r="G181" s="12" t="n">
        <v>2</v>
      </c>
      <c r="H181" s="13">
        <f>IF(AND(F181=2,G181=2),"AMBOS",IF(AND(F181=2,G181&lt;2),"solo JP",IF(AND(F181&lt;2,G181=2),"solo Thais","-")))</f>
        <v/>
      </c>
      <c r="I181" s="14" t="n">
        <v>20</v>
      </c>
      <c r="J181" s="15" t="n">
        <v>1.5</v>
      </c>
      <c r="K181" s="13" t="inlineStr">
        <is>
          <t>SÍ</t>
        </is>
      </c>
      <c r="L181" s="16" t="inlineStr">
        <is>
          <t>—</t>
        </is>
      </c>
      <c r="M181" s="11" t="inlineStr">
        <is>
          <t>—</t>
        </is>
      </c>
      <c r="N181" s="16" t="inlineStr">
        <is>
          <t>—</t>
        </is>
      </c>
      <c r="O181" s="16" t="inlineStr">
        <is>
          <t>Eventbrite - la reserva NO garantiza admision: TODOS presentes 23:30 o liberan la mesa</t>
        </is>
      </c>
      <c r="P181" s="16" t="inlineStr">
        <is>
          <t>W 4 St (A,C,E,B,D,F,M), Christopher St (1)</t>
        </is>
      </c>
      <c r="Q181" s="16" t="inlineStr">
        <is>
          <t>El sotano del Village donde debutaron Dylan, Hendrix, Springsteen y Bill Cosby. La house band de fin de semana es una maquina de soul y funk. Sigue siendo un club de barrio, no un museo.</t>
        </is>
      </c>
      <c r="R181" s="16" t="inlineStr">
        <is>
          <t>115 MacDougal St</t>
        </is>
      </c>
      <c r="S181" s="17" t="inlineStr">
        <is>
          <t>Día 8 · sáb 5/9</t>
        </is>
      </c>
      <c r="T181" s="18" t="inlineStr">
        <is>
          <t>Abrir ↗</t>
        </is>
      </c>
      <c r="U181" s="19" t="inlineStr">
        <is>
          <t>lista google</t>
        </is>
      </c>
      <c r="V181" s="20" t="inlineStr">
        <is>
          <t>SÍ</t>
        </is>
      </c>
    </row>
    <row r="182" ht="46" customHeight="1">
      <c r="A182" s="9" t="inlineStr">
        <is>
          <t>Rudy's Bar &amp; Grill</t>
        </is>
      </c>
      <c r="B182" s="10" t="inlineStr">
        <is>
          <t>Bar con música</t>
        </is>
      </c>
      <c r="C182" s="11" t="inlineStr">
        <is>
          <t>Música</t>
        </is>
      </c>
      <c r="D182" s="11" t="inlineStr">
        <is>
          <t>Hell's Kitchen</t>
        </is>
      </c>
      <c r="E182" s="11" t="inlineStr">
        <is>
          <t>Manhattan</t>
        </is>
      </c>
      <c r="F182" s="12" t="n">
        <v>1</v>
      </c>
      <c r="G182" s="12" t="n">
        <v>1</v>
      </c>
      <c r="H182" s="13">
        <f>IF(AND(F182=2,G182=2),"AMBOS",IF(AND(F182=2,G182&lt;2),"solo JP",IF(AND(F182&lt;2,G182=2),"solo Thais","-")))</f>
        <v/>
      </c>
      <c r="I182" s="14" t="n">
        <v>10</v>
      </c>
      <c r="J182" s="15" t="n">
        <v>1</v>
      </c>
      <c r="K182" s="13" t="inlineStr">
        <is>
          <t>no</t>
        </is>
      </c>
      <c r="L182" s="16" t="inlineStr">
        <is>
          <t>—</t>
        </is>
      </c>
      <c r="M182" s="11" t="inlineStr">
        <is>
          <t>—</t>
        </is>
      </c>
      <c r="N182" s="16" t="inlineStr">
        <is>
          <t>—</t>
        </is>
      </c>
      <c r="O182" s="16" t="inlineStr">
        <is>
          <t>—</t>
        </is>
      </c>
      <c r="P182" s="16" t="inlineStr">
        <is>
          <t>50 St (C,E)</t>
        </is>
      </c>
      <c r="Q182" s="16" t="inlineStr">
        <is>
          <t>Dive bar de 1933 con el cerdo gigante en la puerta: cerveza barata y HOT DOGS GRATIS con la consumición.</t>
        </is>
      </c>
      <c r="R182" s="16" t="inlineStr">
        <is>
          <t>627 9th Ave</t>
        </is>
      </c>
      <c r="S182" s="16" t="inlineStr">
        <is>
          <t>—</t>
        </is>
      </c>
      <c r="T182" s="18" t="inlineStr">
        <is>
          <t>Abrir ↗</t>
        </is>
      </c>
      <c r="U182" s="19" t="inlineStr">
        <is>
          <t>lista google</t>
        </is>
      </c>
      <c r="V182" s="20" t="inlineStr"/>
    </row>
    <row r="183" ht="46" customHeight="1">
      <c r="A183" s="9" t="inlineStr">
        <is>
          <t>Bill's Place</t>
        </is>
      </c>
      <c r="B183" s="10" t="inlineStr">
        <is>
          <t>Club de jazz</t>
        </is>
      </c>
      <c r="C183" s="11" t="inlineStr">
        <is>
          <t>Música</t>
        </is>
      </c>
      <c r="D183" s="11" t="inlineStr">
        <is>
          <t>Harlem</t>
        </is>
      </c>
      <c r="E183" s="11" t="inlineStr">
        <is>
          <t>Manhattan</t>
        </is>
      </c>
      <c r="F183" s="12" t="n">
        <v>2</v>
      </c>
      <c r="G183" s="12" t="n">
        <v>2</v>
      </c>
      <c r="H183" s="13">
        <f>IF(AND(F183=2,G183=2),"AMBOS",IF(AND(F183=2,G183&lt;2),"solo JP",IF(AND(F183&lt;2,G183=2),"solo Thais","-")))</f>
        <v/>
      </c>
      <c r="I183" s="14" t="n">
        <v>35</v>
      </c>
      <c r="J183" s="15" t="n">
        <v>1.75</v>
      </c>
      <c r="K183" s="13" t="inlineStr">
        <is>
          <t>no</t>
        </is>
      </c>
      <c r="L183" s="16" t="inlineStr">
        <is>
          <t>—</t>
        </is>
      </c>
      <c r="M183" s="11" t="inlineStr">
        <is>
          <t>—</t>
        </is>
      </c>
      <c r="N183" s="16" t="inlineStr">
        <is>
          <t>—</t>
        </is>
      </c>
      <c r="O183" s="16" t="inlineStr">
        <is>
          <t>OBLIGATORIA - sala diminuta, comprar el set en billsplaceharlem.com</t>
        </is>
      </c>
      <c r="P183" s="16" t="inlineStr">
        <is>
          <t>135 St (2,3)</t>
        </is>
      </c>
      <c r="Q183" s="16" t="inlineStr">
        <is>
          <t>Speakeasy real en el living de un brownstone de la calle 133 — la cuadra que en los anos 20 era Swing Street. Bill Saxton y los Harlem All-Stars tocan VIERNES Y SABADO a las 19:00 y 21:30, a tres metros del publico. Reemplaza a Showman's, que cerro definitivamente en 2026.</t>
        </is>
      </c>
      <c r="R183" s="16" t="inlineStr">
        <is>
          <t>148 W 133rd St</t>
        </is>
      </c>
      <c r="S183" s="16" t="inlineStr">
        <is>
          <t>—</t>
        </is>
      </c>
      <c r="T183" s="18" t="inlineStr">
        <is>
          <t>Abrir ↗</t>
        </is>
      </c>
      <c r="U183" s="21" t="inlineStr">
        <is>
          <t>otros</t>
        </is>
      </c>
      <c r="V183" s="20" t="inlineStr"/>
    </row>
    <row r="184" ht="46" customHeight="1">
      <c r="A184" s="9" t="inlineStr">
        <is>
          <t>Birdland</t>
        </is>
      </c>
      <c r="B184" s="10" t="inlineStr">
        <is>
          <t>Club de jazz</t>
        </is>
      </c>
      <c r="C184" s="11" t="inlineStr">
        <is>
          <t>Música</t>
        </is>
      </c>
      <c r="D184" s="11" t="inlineStr">
        <is>
          <t>Midtown</t>
        </is>
      </c>
      <c r="E184" s="11" t="inlineStr">
        <is>
          <t>Manhattan</t>
        </is>
      </c>
      <c r="F184" s="12" t="n">
        <v>2</v>
      </c>
      <c r="G184" s="12" t="n">
        <v>2</v>
      </c>
      <c r="H184" s="13">
        <f>IF(AND(F184=2,G184=2),"AMBOS",IF(AND(F184=2,G184&lt;2),"solo JP",IF(AND(F184&lt;2,G184=2),"solo Thais","-")))</f>
        <v/>
      </c>
      <c r="I184" s="14" t="n">
        <v>45</v>
      </c>
      <c r="J184" s="15" t="n">
        <v>2</v>
      </c>
      <c r="K184" s="13" t="inlineStr">
        <is>
          <t>no</t>
        </is>
      </c>
      <c r="L184" s="16" t="inlineStr">
        <is>
          <t>—</t>
        </is>
      </c>
      <c r="M184" s="11" t="inlineStr">
        <is>
          <t>—</t>
        </is>
      </c>
      <c r="N184" s="16" t="inlineStr">
        <is>
          <t>—</t>
        </is>
      </c>
      <c r="O184" s="16" t="inlineStr">
        <is>
          <t>TicketWeb - unico vendedor autorizado</t>
        </is>
      </c>
      <c r="P184" s="16" t="inlineStr">
        <is>
          <t>42 St-Port Authority (A,C,E)</t>
        </is>
      </c>
      <c r="Q184" s="16" t="inlineStr">
        <is>
          <t>Menos intimo que el Vanguard, mas programacion. Los LUNES: Vince Giordano &amp; the Nighthawks, jazz de los anos 20-30 con instrumentos de epoca. Justo el lunes 31, que es el dia que Broadway esta oscuro.</t>
        </is>
      </c>
      <c r="R184" s="16" t="inlineStr">
        <is>
          <t>315 W 44th St</t>
        </is>
      </c>
      <c r="S184" s="17" t="inlineStr">
        <is>
          <t>Día 1 · sáb 29/8, Día 3 · lun 31/8</t>
        </is>
      </c>
      <c r="T184" s="18" t="inlineStr">
        <is>
          <t>Abrir ↗</t>
        </is>
      </c>
      <c r="U184" s="19" t="inlineStr">
        <is>
          <t>lista google</t>
        </is>
      </c>
      <c r="V184" s="20" t="inlineStr">
        <is>
          <t>SÍ</t>
        </is>
      </c>
    </row>
    <row r="185" ht="46" customHeight="1">
      <c r="A185" s="9" t="inlineStr">
        <is>
          <t>Blue Note</t>
        </is>
      </c>
      <c r="B185" s="10" t="inlineStr">
        <is>
          <t>Club de jazz</t>
        </is>
      </c>
      <c r="C185" s="11" t="inlineStr">
        <is>
          <t>Música</t>
        </is>
      </c>
      <c r="D185" s="11" t="inlineStr">
        <is>
          <t>Greenwich Village</t>
        </is>
      </c>
      <c r="E185" s="11" t="inlineStr">
        <is>
          <t>Manhattan</t>
        </is>
      </c>
      <c r="F185" s="12" t="n">
        <v>1</v>
      </c>
      <c r="G185" s="12" t="n">
        <v>0</v>
      </c>
      <c r="H185" s="13">
        <f>IF(AND(F185=2,G185=2),"AMBOS",IF(AND(F185=2,G185&lt;2),"solo JP",IF(AND(F185&lt;2,G185=2),"solo Thais","-")))</f>
        <v/>
      </c>
      <c r="I185" s="14" t="n">
        <v>45</v>
      </c>
      <c r="J185" s="15" t="n">
        <v>2</v>
      </c>
      <c r="K185" s="13" t="inlineStr">
        <is>
          <t>SÍ</t>
        </is>
      </c>
      <c r="L185" s="16" t="inlineStr">
        <is>
          <t>—</t>
        </is>
      </c>
      <c r="M185" s="11" t="inlineStr">
        <is>
          <t>—</t>
        </is>
      </c>
      <c r="N185" s="16" t="inlineStr">
        <is>
          <t>—</t>
        </is>
      </c>
      <c r="O185" s="16" t="inlineStr">
        <is>
          <t>—</t>
        </is>
      </c>
      <c r="P185" s="16" t="inlineStr">
        <is>
          <t>W 4 St (A,B,C,D,E,F,M)</t>
        </is>
      </c>
      <c r="Q185" s="16" t="inlineStr">
        <is>
          <t>El mas grande y comercial de los clubes historicos (250 personas). 29-30 ago: MonoNeon. 4-5 sep: Chief Adjuah.</t>
        </is>
      </c>
      <c r="R185" s="16" t="inlineStr">
        <is>
          <t>131 W 3rd St</t>
        </is>
      </c>
      <c r="S185" s="16" t="inlineStr">
        <is>
          <t>—</t>
        </is>
      </c>
      <c r="T185" s="18" t="inlineStr">
        <is>
          <t>Abrir ↗</t>
        </is>
      </c>
      <c r="U185" s="19" t="inlineStr">
        <is>
          <t>lista google</t>
        </is>
      </c>
      <c r="V185" s="20" t="inlineStr"/>
    </row>
    <row r="186" ht="46" customHeight="1">
      <c r="A186" s="9" t="inlineStr">
        <is>
          <t>Dizzy's Club (Jazz at Lincoln Center)</t>
        </is>
      </c>
      <c r="B186" s="10" t="inlineStr">
        <is>
          <t>Club de jazz</t>
        </is>
      </c>
      <c r="C186" s="11" t="inlineStr">
        <is>
          <t>Música</t>
        </is>
      </c>
      <c r="D186" s="11" t="inlineStr">
        <is>
          <t>Columbus Circle</t>
        </is>
      </c>
      <c r="E186" s="11" t="inlineStr">
        <is>
          <t>Manhattan</t>
        </is>
      </c>
      <c r="F186" s="12" t="n">
        <v>2</v>
      </c>
      <c r="G186" s="12" t="n">
        <v>2</v>
      </c>
      <c r="H186" s="13">
        <f>IF(AND(F186=2,G186=2),"AMBOS",IF(AND(F186=2,G186&lt;2),"solo JP",IF(AND(F186&lt;2,G186=2),"solo Thais","-")))</f>
        <v/>
      </c>
      <c r="I186" s="14" t="n">
        <v>45</v>
      </c>
      <c r="J186" s="15" t="n">
        <v>2</v>
      </c>
      <c r="K186" s="13" t="inlineStr">
        <is>
          <t>no</t>
        </is>
      </c>
      <c r="L186" s="16" t="inlineStr">
        <is>
          <t>—</t>
        </is>
      </c>
      <c r="M186" s="11" t="inlineStr">
        <is>
          <t>—</t>
        </is>
      </c>
      <c r="N186" s="16" t="inlineStr">
        <is>
          <t>—</t>
        </is>
      </c>
      <c r="O186" s="16" t="inlineStr">
        <is>
          <t>—</t>
        </is>
      </c>
      <c r="P186" s="16" t="inlineStr">
        <is>
          <t>59 St-Columbus Circle (1,A,B,C,D)</t>
        </is>
      </c>
      <c r="Q186" s="16" t="inlineStr">
        <is>
          <t>Ventanales de piso a techo sobre Central Park detras del escenario. El truco es el set Late Night de jueves a sabado: mismo lugar, una fraccion del precio.</t>
        </is>
      </c>
      <c r="R186" s="16" t="inlineStr">
        <is>
          <t>10 Columbus Circle, piso 5</t>
        </is>
      </c>
      <c r="S186" s="17" t="inlineStr">
        <is>
          <t>Día 6 · jue 3/9</t>
        </is>
      </c>
      <c r="T186" s="18" t="inlineStr">
        <is>
          <t>Abrir ↗</t>
        </is>
      </c>
      <c r="U186" s="19" t="inlineStr">
        <is>
          <t>lista google</t>
        </is>
      </c>
      <c r="V186" s="20" t="inlineStr"/>
    </row>
    <row r="187" ht="46" customHeight="1">
      <c r="A187" s="9" t="inlineStr">
        <is>
          <t>Mezzrow</t>
        </is>
      </c>
      <c r="B187" s="10" t="inlineStr">
        <is>
          <t>Club de jazz</t>
        </is>
      </c>
      <c r="C187" s="11" t="inlineStr">
        <is>
          <t>Música</t>
        </is>
      </c>
      <c r="D187" s="11" t="inlineStr">
        <is>
          <t>West Village</t>
        </is>
      </c>
      <c r="E187" s="11" t="inlineStr">
        <is>
          <t>Manhattan</t>
        </is>
      </c>
      <c r="F187" s="12" t="n">
        <v>1</v>
      </c>
      <c r="G187" s="12" t="n">
        <v>1</v>
      </c>
      <c r="H187" s="13">
        <f>IF(AND(F187=2,G187=2),"AMBOS",IF(AND(F187=2,G187&lt;2),"solo JP",IF(AND(F187&lt;2,G187=2),"solo Thais","-")))</f>
        <v/>
      </c>
      <c r="I187" s="14" t="n">
        <v>25</v>
      </c>
      <c r="J187" s="15" t="n">
        <v>1.5</v>
      </c>
      <c r="K187" s="13" t="inlineStr">
        <is>
          <t>no</t>
        </is>
      </c>
      <c r="L187" s="16" t="inlineStr">
        <is>
          <t>—</t>
        </is>
      </c>
      <c r="M187" s="11" t="inlineStr">
        <is>
          <t>—</t>
        </is>
      </c>
      <c r="N187" s="16" t="inlineStr">
        <is>
          <t>—</t>
        </is>
      </c>
      <c r="O187" s="16" t="inlineStr">
        <is>
          <t>reservar</t>
        </is>
      </c>
      <c r="P187" s="16" t="inlineStr">
        <is>
          <t>Christopher St (1)</t>
        </is>
      </c>
      <c r="Q187" s="16" t="inlineStr">
        <is>
          <t>35 asientos, sala de escucha centrada en el piano. El mas intimo de la ciudad. Entre semana se consigue; los fines de semana se agota.</t>
        </is>
      </c>
      <c r="R187" s="16" t="inlineStr">
        <is>
          <t>163 W 10th St</t>
        </is>
      </c>
      <c r="S187" s="16" t="inlineStr">
        <is>
          <t>—</t>
        </is>
      </c>
      <c r="T187" s="18" t="inlineStr">
        <is>
          <t>Abrir ↗</t>
        </is>
      </c>
      <c r="U187" s="19" t="inlineStr">
        <is>
          <t>lista google</t>
        </is>
      </c>
      <c r="V187" s="20" t="inlineStr"/>
    </row>
    <row r="188" ht="46" customHeight="1">
      <c r="A188" s="9" t="inlineStr">
        <is>
          <t>Ornithology Jazz Club</t>
        </is>
      </c>
      <c r="B188" s="10" t="inlineStr">
        <is>
          <t>Club de jazz</t>
        </is>
      </c>
      <c r="C188" s="11" t="inlineStr">
        <is>
          <t>Música</t>
        </is>
      </c>
      <c r="D188" s="11" t="inlineStr">
        <is>
          <t>Bushwick</t>
        </is>
      </c>
      <c r="E188" s="11" t="inlineStr">
        <is>
          <t>Brooklyn</t>
        </is>
      </c>
      <c r="F188" s="12" t="n">
        <v>1</v>
      </c>
      <c r="G188" s="12" t="n">
        <v>1</v>
      </c>
      <c r="H188" s="13">
        <f>IF(AND(F188=2,G188=2),"AMBOS",IF(AND(F188=2,G188&lt;2),"solo JP",IF(AND(F188&lt;2,G188=2),"solo Thais","-")))</f>
        <v/>
      </c>
      <c r="I188" s="14" t="n">
        <v>20</v>
      </c>
      <c r="J188" s="15" t="n">
        <v>2</v>
      </c>
      <c r="K188" s="13" t="inlineStr">
        <is>
          <t>no</t>
        </is>
      </c>
      <c r="L188" s="16" t="inlineStr">
        <is>
          <t>—</t>
        </is>
      </c>
      <c r="M188" s="11" t="inlineStr">
        <is>
          <t>—</t>
        </is>
      </c>
      <c r="N188" s="16" t="inlineStr">
        <is>
          <t>—</t>
        </is>
      </c>
      <c r="O188" s="16" t="inlineStr">
        <is>
          <t>—</t>
        </is>
      </c>
      <c r="P188" s="16" t="inlineStr">
        <is>
          <t>Jefferson St (L)</t>
        </is>
      </c>
      <c r="Q188" s="16" t="inlineStr">
        <is>
          <t>75 asientos y regla estricta de sala de escucha: no se habla durante los sets. Es la alternativa joven al Vanguard.</t>
        </is>
      </c>
      <c r="R188" s="16" t="inlineStr">
        <is>
          <t>6 Suydam St, Brooklyn</t>
        </is>
      </c>
      <c r="S188" s="16" t="inlineStr">
        <is>
          <t>—</t>
        </is>
      </c>
      <c r="T188" s="18" t="inlineStr">
        <is>
          <t>Abrir ↗</t>
        </is>
      </c>
      <c r="U188" s="19" t="inlineStr">
        <is>
          <t>lista google</t>
        </is>
      </c>
      <c r="V188" s="20" t="inlineStr"/>
    </row>
    <row r="189" ht="46" customHeight="1">
      <c r="A189" s="9" t="inlineStr">
        <is>
          <t>Smalls Jazz Club</t>
        </is>
      </c>
      <c r="B189" s="10" t="inlineStr">
        <is>
          <t>Club de jazz</t>
        </is>
      </c>
      <c r="C189" s="11" t="inlineStr">
        <is>
          <t>Música</t>
        </is>
      </c>
      <c r="D189" s="11" t="inlineStr">
        <is>
          <t>West Village</t>
        </is>
      </c>
      <c r="E189" s="11" t="inlineStr">
        <is>
          <t>Manhattan</t>
        </is>
      </c>
      <c r="F189" s="12" t="n">
        <v>2</v>
      </c>
      <c r="G189" s="12" t="n">
        <v>2</v>
      </c>
      <c r="H189" s="13">
        <f>IF(AND(F189=2,G189=2),"AMBOS",IF(AND(F189=2,G189&lt;2),"solo JP",IF(AND(F189&lt;2,G189=2),"solo Thais","-")))</f>
        <v/>
      </c>
      <c r="I189" s="14" t="n">
        <v>25</v>
      </c>
      <c r="J189" s="15" t="n">
        <v>2</v>
      </c>
      <c r="K189" s="13" t="inlineStr">
        <is>
          <t>no</t>
        </is>
      </c>
      <c r="L189" s="16" t="inlineStr">
        <is>
          <t>—</t>
        </is>
      </c>
      <c r="M189" s="11" t="inlineStr">
        <is>
          <t>—</t>
        </is>
      </c>
      <c r="N189" s="16" t="inlineStr">
        <is>
          <t>—</t>
        </is>
      </c>
      <c r="O189" s="16" t="inlineStr">
        <is>
          <t>—</t>
        </is>
      </c>
      <c r="P189" s="16" t="inlineStr">
        <is>
          <t>Christopher St (1)</t>
        </is>
      </c>
      <c r="Q189" s="16" t="inlineStr">
        <is>
          <t>60 asientos, sotano. Entre semana se entra caminando. Lo mejor que tiene son las jam sessions de madrugada de jueves a sabado, desde la 1:00 AM: ahi tocan los musicos que salieron de trabajar.</t>
        </is>
      </c>
      <c r="R189" s="16" t="inlineStr">
        <is>
          <t>183 W 10th St</t>
        </is>
      </c>
      <c r="S189" s="17" t="inlineStr">
        <is>
          <t>Día 4 · mar 1/9</t>
        </is>
      </c>
      <c r="T189" s="18" t="inlineStr">
        <is>
          <t>Abrir ↗</t>
        </is>
      </c>
      <c r="U189" s="19" t="inlineStr">
        <is>
          <t>lista google</t>
        </is>
      </c>
      <c r="V189" s="20" t="inlineStr"/>
    </row>
    <row r="190" ht="46" customHeight="1">
      <c r="A190" s="9" t="inlineStr">
        <is>
          <t>Village Vanguard</t>
        </is>
      </c>
      <c r="B190" s="10" t="inlineStr">
        <is>
          <t>Club de jazz</t>
        </is>
      </c>
      <c r="C190" s="11" t="inlineStr">
        <is>
          <t>Música</t>
        </is>
      </c>
      <c r="D190" s="11" t="inlineStr">
        <is>
          <t>West Village</t>
        </is>
      </c>
      <c r="E190" s="11" t="inlineStr">
        <is>
          <t>Manhattan</t>
        </is>
      </c>
      <c r="F190" s="12" t="n">
        <v>2</v>
      </c>
      <c r="G190" s="12" t="n">
        <v>2</v>
      </c>
      <c r="H190" s="13">
        <f>IF(AND(F190=2,G190=2),"AMBOS",IF(AND(F190=2,G190&lt;2),"solo JP",IF(AND(F190&lt;2,G190=2),"solo Thais","-")))</f>
        <v/>
      </c>
      <c r="I190" s="14" t="n">
        <v>45</v>
      </c>
      <c r="J190" s="15" t="n">
        <v>2</v>
      </c>
      <c r="K190" s="13" t="inlineStr">
        <is>
          <t>no</t>
        </is>
      </c>
      <c r="L190" s="16" t="inlineStr">
        <is>
          <t>—</t>
        </is>
      </c>
      <c r="M190" s="11" t="inlineStr">
        <is>
          <t>—</t>
        </is>
      </c>
      <c r="N190" s="16" t="inlineStr">
        <is>
          <t>—</t>
        </is>
      </c>
      <c r="O190" s="16" t="inlineStr">
        <is>
          <t>HECHA: 2 entradas GA del viernes 4/9, set 22:00 (#18741454 y #18741456). El acomodo del segundo set arranca 21:30 y es por orden de llegada.</t>
        </is>
      </c>
      <c r="P190" s="16" t="inlineStr">
        <is>
          <t>14 St (1,2,3)</t>
        </is>
      </c>
      <c r="Q190" s="16" t="inlineStr">
        <is>
          <t>El club de jazz en funcionamiento continuo mas antiguo del mundo. 123 asientos, sotano triangular, acustica legendaria. DEL 1 AL 6 DE SEPTIEMBRE: John Patitucci Trio con Chris Potter y Brian Blade. Si hay una sola noche de musica en el viaje, es esta.</t>
        </is>
      </c>
      <c r="R190" s="16" t="inlineStr">
        <is>
          <t>178 7th Ave South</t>
        </is>
      </c>
      <c r="S190" s="17" t="inlineStr">
        <is>
          <t>Día 7 · vie 4/9</t>
        </is>
      </c>
      <c r="T190" s="18" t="inlineStr">
        <is>
          <t>Abrir ↗</t>
        </is>
      </c>
      <c r="U190" s="19" t="inlineStr">
        <is>
          <t>lista google</t>
        </is>
      </c>
      <c r="V190" s="20" t="inlineStr">
        <is>
          <t>SÍ</t>
        </is>
      </c>
    </row>
    <row r="191" ht="46" customHeight="1">
      <c r="A191" s="9" t="inlineStr">
        <is>
          <t>Barbes</t>
        </is>
      </c>
      <c r="B191" s="10" t="inlineStr">
        <is>
          <t>Música del mundo</t>
        </is>
      </c>
      <c r="C191" s="11" t="inlineStr">
        <is>
          <t>Música</t>
        </is>
      </c>
      <c r="D191" s="11" t="inlineStr">
        <is>
          <t>Park Slope</t>
        </is>
      </c>
      <c r="E191" s="11" t="inlineStr">
        <is>
          <t>Brooklyn</t>
        </is>
      </c>
      <c r="F191" s="12" t="n">
        <v>1</v>
      </c>
      <c r="G191" s="12" t="n">
        <v>1</v>
      </c>
      <c r="H191" s="13">
        <f>IF(AND(F191=2,G191=2),"AMBOS",IF(AND(F191=2,G191&lt;2),"solo JP",IF(AND(F191&lt;2,G191=2),"solo Thais","-")))</f>
        <v/>
      </c>
      <c r="I191" s="14" t="n">
        <v>15</v>
      </c>
      <c r="J191" s="15" t="n">
        <v>2</v>
      </c>
      <c r="K191" s="13" t="inlineStr">
        <is>
          <t>no</t>
        </is>
      </c>
      <c r="L191" s="16" t="inlineStr">
        <is>
          <t>—</t>
        </is>
      </c>
      <c r="M191" s="11" t="inlineStr">
        <is>
          <t>—</t>
        </is>
      </c>
      <c r="N191" s="16" t="inlineStr">
        <is>
          <t>—</t>
        </is>
      </c>
      <c r="O191" s="16" t="inlineStr">
        <is>
          <t>—</t>
        </is>
      </c>
      <c r="P191" s="16" t="inlineStr">
        <is>
          <t>7 Av (F,G)</t>
        </is>
      </c>
      <c r="Q191" s="16" t="inlineStr">
        <is>
          <t>No es jazz: musica latina, balcanica, brasilena y de Africa occidental. La programacion es de otro nivel y la trastienda es minuscula. Llegar temprano.</t>
        </is>
      </c>
      <c r="R191" s="16" t="inlineStr">
        <is>
          <t>376 9th St, Brooklyn</t>
        </is>
      </c>
      <c r="S191" s="16" t="inlineStr">
        <is>
          <t>—</t>
        </is>
      </c>
      <c r="T191" s="18" t="inlineStr">
        <is>
          <t>Abrir ↗</t>
        </is>
      </c>
      <c r="U191" s="19" t="inlineStr">
        <is>
          <t>lista google</t>
        </is>
      </c>
      <c r="V191" s="20" t="inlineStr"/>
    </row>
    <row r="192" ht="46" customHeight="1">
      <c r="A192" s="9" t="inlineStr">
        <is>
          <t>Nublu</t>
        </is>
      </c>
      <c r="B192" s="10" t="inlineStr">
        <is>
          <t>Venue alternativo</t>
        </is>
      </c>
      <c r="C192" s="11" t="inlineStr">
        <is>
          <t>Música</t>
        </is>
      </c>
      <c r="D192" s="11" t="inlineStr">
        <is>
          <t>East Village</t>
        </is>
      </c>
      <c r="E192" s="11" t="inlineStr">
        <is>
          <t>Manhattan</t>
        </is>
      </c>
      <c r="F192" s="12" t="n">
        <v>1</v>
      </c>
      <c r="G192" s="12" t="n">
        <v>1</v>
      </c>
      <c r="H192" s="13">
        <f>IF(AND(F192=2,G192=2),"AMBOS",IF(AND(F192=2,G192&lt;2),"solo JP",IF(AND(F192&lt;2,G192=2),"solo Thais","-")))</f>
        <v/>
      </c>
      <c r="I192" s="14" t="n">
        <v>20</v>
      </c>
      <c r="J192" s="15" t="n">
        <v>2.5</v>
      </c>
      <c r="K192" s="13" t="inlineStr">
        <is>
          <t>no</t>
        </is>
      </c>
      <c r="L192" s="16" t="inlineStr">
        <is>
          <t>—</t>
        </is>
      </c>
      <c r="M192" s="11" t="inlineStr">
        <is>
          <t>—</t>
        </is>
      </c>
      <c r="N192" s="16" t="inlineStr">
        <is>
          <t>—</t>
        </is>
      </c>
      <c r="O192" s="16" t="inlineStr">
        <is>
          <t>—</t>
        </is>
      </c>
      <c r="P192" s="16" t="inlineStr">
        <is>
          <t>1 Av (L)</t>
        </is>
      </c>
      <c r="Q192" s="16" t="inlineStr">
        <is>
          <t>Jazz experimental, afrobeat y electronica turca. Musica en vivo desde las 19:00, DJs hasta las 4:00. 'Producer Mondays' todos los lunes a las 22:00.</t>
        </is>
      </c>
      <c r="R192" s="16" t="inlineStr">
        <is>
          <t>151 Avenue C, piso 2</t>
        </is>
      </c>
      <c r="S192" s="17" t="inlineStr">
        <is>
          <t>Día 2 · dom 30/8</t>
        </is>
      </c>
      <c r="T192" s="18" t="inlineStr">
        <is>
          <t>Abrir ↗</t>
        </is>
      </c>
      <c r="U192" s="19" t="inlineStr">
        <is>
          <t>lista google</t>
        </is>
      </c>
      <c r="V192" s="20" t="inlineStr"/>
    </row>
    <row r="193" ht="46" customHeight="1">
      <c r="A193" s="9" t="inlineStr">
        <is>
          <t>FDR Four Freedoms Park</t>
        </is>
      </c>
      <c r="B193" s="10" t="inlineStr">
        <is>
          <t>Arquitectura moderna</t>
        </is>
      </c>
      <c r="C193" s="11" t="inlineStr">
        <is>
          <t>Arquitectura</t>
        </is>
      </c>
      <c r="D193" s="11" t="inlineStr">
        <is>
          <t>Roosevelt Island</t>
        </is>
      </c>
      <c r="E193" s="11" t="inlineStr">
        <is>
          <t>Manhattan</t>
        </is>
      </c>
      <c r="F193" s="12" t="n">
        <v>2</v>
      </c>
      <c r="G193" s="12" t="n">
        <v>2</v>
      </c>
      <c r="H193" s="13">
        <f>IF(AND(F193=2,G193=2),"AMBOS",IF(AND(F193=2,G193&lt;2),"solo JP",IF(AND(F193&lt;2,G193=2),"solo Thais","-")))</f>
        <v/>
      </c>
      <c r="I193" s="14" t="n">
        <v>0</v>
      </c>
      <c r="J193" s="15" t="n">
        <v>1</v>
      </c>
      <c r="K193" s="13" t="inlineStr">
        <is>
          <t>no</t>
        </is>
      </c>
      <c r="L193" s="16" t="inlineStr">
        <is>
          <t>—</t>
        </is>
      </c>
      <c r="M193" s="11" t="inlineStr">
        <is>
          <t>—</t>
        </is>
      </c>
      <c r="N193" s="16" t="inlineStr">
        <is>
          <t>—</t>
        </is>
      </c>
      <c r="O193" s="16" t="inlineStr">
        <is>
          <t>—</t>
        </is>
      </c>
      <c r="P193" s="16" t="inlineStr">
        <is>
          <t>Tramway o Roosevelt Island (F)</t>
        </is>
      </c>
      <c r="Q193" s="16" t="inlineStr">
        <is>
          <t>Ultima obra de Louis Kahn, terminada 38 anos despues de su muerte: granito, platanos y una 'sala' abierta al rio apuntando a Manhattan. Arquitectura moderna de primer orden, gratis y vacia.</t>
        </is>
      </c>
      <c r="R193" s="16" t="inlineStr">
        <is>
          <t>1 FDR Four Freedoms Park, Roosevelt Island</t>
        </is>
      </c>
      <c r="S193" s="17" t="inlineStr">
        <is>
          <t>Día 9 · dom 6/9</t>
        </is>
      </c>
      <c r="T193" s="18" t="inlineStr">
        <is>
          <t>Abrir ↗</t>
        </is>
      </c>
      <c r="U193" s="21" t="inlineStr">
        <is>
          <t>otros</t>
        </is>
      </c>
      <c r="V193" s="20" t="inlineStr"/>
    </row>
    <row r="194" ht="46" customHeight="1">
      <c r="A194" s="9" t="inlineStr">
        <is>
          <t>Haughwout Building</t>
        </is>
      </c>
      <c r="B194" s="10" t="inlineStr">
        <is>
          <t>Arquitectura moderna</t>
        </is>
      </c>
      <c r="C194" s="11" t="inlineStr">
        <is>
          <t>Arquitectura</t>
        </is>
      </c>
      <c r="D194" s="11" t="inlineStr">
        <is>
          <t>SoHo</t>
        </is>
      </c>
      <c r="E194" s="11" t="inlineStr">
        <is>
          <t>Manhattan</t>
        </is>
      </c>
      <c r="F194" s="12" t="n">
        <v>1</v>
      </c>
      <c r="G194" s="12" t="n">
        <v>1</v>
      </c>
      <c r="H194" s="13">
        <f>IF(AND(F194=2,G194=2),"AMBOS",IF(AND(F194=2,G194&lt;2),"solo JP",IF(AND(F194&lt;2,G194=2),"solo Thais","-")))</f>
        <v/>
      </c>
      <c r="I194" s="14" t="n">
        <v>0</v>
      </c>
      <c r="J194" s="15" t="n">
        <v>0.2</v>
      </c>
      <c r="K194" s="13" t="inlineStr">
        <is>
          <t>no</t>
        </is>
      </c>
      <c r="L194" s="16" t="inlineStr">
        <is>
          <t>—</t>
        </is>
      </c>
      <c r="M194" s="11" t="inlineStr">
        <is>
          <t>—</t>
        </is>
      </c>
      <c r="N194" s="16" t="inlineStr">
        <is>
          <t>—</t>
        </is>
      </c>
      <c r="O194" s="16" t="inlineStr">
        <is>
          <t>—</t>
        </is>
      </c>
      <c r="P194" s="16" t="inlineStr">
        <is>
          <t>Canal St (N,Q,R,W,6)</t>
        </is>
      </c>
      <c r="Q194" s="16" t="inlineStr">
        <is>
          <t>1857: el primer edificio del mundo con ascensor Otis. Fachada de hierro fundido que parece un palacio veneciano y casi nadie levanta la vista.</t>
        </is>
      </c>
      <c r="R194" s="16" t="inlineStr">
        <is>
          <t>488 Broadway</t>
        </is>
      </c>
      <c r="S194" s="16" t="inlineStr">
        <is>
          <t>—</t>
        </is>
      </c>
      <c r="T194" s="18" t="inlineStr">
        <is>
          <t>Abrir ↗</t>
        </is>
      </c>
      <c r="U194" s="21" t="inlineStr">
        <is>
          <t>otros</t>
        </is>
      </c>
      <c r="V194" s="20" t="inlineStr"/>
    </row>
    <row r="195" ht="46" customHeight="1">
      <c r="A195" s="9" t="inlineStr">
        <is>
          <t>Hudson Yards</t>
        </is>
      </c>
      <c r="B195" s="10" t="inlineStr">
        <is>
          <t>Arquitectura moderna</t>
        </is>
      </c>
      <c r="C195" s="11" t="inlineStr">
        <is>
          <t>Arquitectura</t>
        </is>
      </c>
      <c r="D195" s="11" t="inlineStr">
        <is>
          <t>Hudson Yards</t>
        </is>
      </c>
      <c r="E195" s="11" t="inlineStr">
        <is>
          <t>Manhattan</t>
        </is>
      </c>
      <c r="F195" s="12" t="n">
        <v>2</v>
      </c>
      <c r="G195" s="12" t="n">
        <v>1</v>
      </c>
      <c r="H195" s="13">
        <f>IF(AND(F195=2,G195=2),"AMBOS",IF(AND(F195=2,G195&lt;2),"solo JP",IF(AND(F195&lt;2,G195=2),"solo Thais","-")))</f>
        <v/>
      </c>
      <c r="I195" s="14" t="n">
        <v>0</v>
      </c>
      <c r="J195" s="15" t="n">
        <v>0.75</v>
      </c>
      <c r="K195" s="13" t="inlineStr">
        <is>
          <t>SÍ</t>
        </is>
      </c>
      <c r="L195" s="16" t="inlineStr">
        <is>
          <t>—</t>
        </is>
      </c>
      <c r="M195" s="11" t="inlineStr">
        <is>
          <t>—</t>
        </is>
      </c>
      <c r="N195" s="16" t="inlineStr">
        <is>
          <t>—</t>
        </is>
      </c>
      <c r="O195" s="16" t="inlineStr">
        <is>
          <t>—</t>
        </is>
      </c>
      <c r="P195" s="16" t="inlineStr">
        <is>
          <t>34 St-Hudson Yards (7)</t>
        </is>
      </c>
      <c r="Q195" s="16" t="inlineStr">
        <is>
          <t>El complejo entero: el Vessel, The Shed y el mall. Es el arranque natural del High Line.</t>
        </is>
      </c>
      <c r="R195" s="16" t="inlineStr">
        <is>
          <t>20 Hudson Yards</t>
        </is>
      </c>
      <c r="S195" s="17" t="inlineStr">
        <is>
          <t>Día 5 · mié 2/9</t>
        </is>
      </c>
      <c r="T195" s="18" t="inlineStr">
        <is>
          <t>Abrir ↗</t>
        </is>
      </c>
      <c r="U195" s="19" t="inlineStr">
        <is>
          <t>lista google</t>
        </is>
      </c>
      <c r="V195" s="20" t="inlineStr"/>
    </row>
    <row r="196" ht="46" customHeight="1">
      <c r="A196" s="9" t="inlineStr">
        <is>
          <t>Lever House</t>
        </is>
      </c>
      <c r="B196" s="10" t="inlineStr">
        <is>
          <t>Arquitectura moderna</t>
        </is>
      </c>
      <c r="C196" s="11" t="inlineStr">
        <is>
          <t>Arquitectura</t>
        </is>
      </c>
      <c r="D196" s="11" t="inlineStr">
        <is>
          <t>Midtown East</t>
        </is>
      </c>
      <c r="E196" s="11" t="inlineStr">
        <is>
          <t>Manhattan</t>
        </is>
      </c>
      <c r="F196" s="12" t="n">
        <v>1</v>
      </c>
      <c r="G196" s="12" t="n">
        <v>1</v>
      </c>
      <c r="H196" s="13">
        <f>IF(AND(F196=2,G196=2),"AMBOS",IF(AND(F196=2,G196&lt;2),"solo JP",IF(AND(F196&lt;2,G196=2),"solo Thais","-")))</f>
        <v/>
      </c>
      <c r="I196" s="14" t="n">
        <v>0</v>
      </c>
      <c r="J196" s="15" t="n">
        <v>0.2</v>
      </c>
      <c r="K196" s="13" t="inlineStr">
        <is>
          <t>no</t>
        </is>
      </c>
      <c r="L196" s="16" t="inlineStr">
        <is>
          <t>—</t>
        </is>
      </c>
      <c r="M196" s="11" t="inlineStr">
        <is>
          <t>—</t>
        </is>
      </c>
      <c r="N196" s="16" t="inlineStr">
        <is>
          <t>—</t>
        </is>
      </c>
      <c r="O196" s="16" t="inlineStr">
        <is>
          <t>—</t>
        </is>
      </c>
      <c r="P196" s="16" t="inlineStr">
        <is>
          <t>51 St (6)</t>
        </is>
      </c>
      <c r="Q196" s="16" t="inlineStr">
        <is>
          <t>1952: el primer rascacielos de muro cortina de vidrio de Park Avenue. Cambio como se construye una ciudad.</t>
        </is>
      </c>
      <c r="R196" s="16" t="inlineStr">
        <is>
          <t>390 Park Ave</t>
        </is>
      </c>
      <c r="S196" s="16" t="inlineStr">
        <is>
          <t>—</t>
        </is>
      </c>
      <c r="T196" s="18" t="inlineStr">
        <is>
          <t>Abrir ↗</t>
        </is>
      </c>
      <c r="U196" s="21" t="inlineStr">
        <is>
          <t>otros</t>
        </is>
      </c>
      <c r="V196" s="20" t="inlineStr"/>
    </row>
    <row r="197" ht="46" customHeight="1">
      <c r="A197" s="9" t="inlineStr">
        <is>
          <t>Lincoln Center (campus y plaza)</t>
        </is>
      </c>
      <c r="B197" s="10" t="inlineStr">
        <is>
          <t>Arquitectura moderna</t>
        </is>
      </c>
      <c r="C197" s="11" t="inlineStr">
        <is>
          <t>Arquitectura</t>
        </is>
      </c>
      <c r="D197" s="11" t="inlineStr">
        <is>
          <t>Upper West Side</t>
        </is>
      </c>
      <c r="E197" s="11" t="inlineStr">
        <is>
          <t>Manhattan</t>
        </is>
      </c>
      <c r="F197" s="12" t="n">
        <v>2</v>
      </c>
      <c r="G197" s="12" t="n">
        <v>2</v>
      </c>
      <c r="H197" s="13">
        <f>IF(AND(F197=2,G197=2),"AMBOS",IF(AND(F197=2,G197&lt;2),"solo JP",IF(AND(F197&lt;2,G197=2),"solo Thais","-")))</f>
        <v/>
      </c>
      <c r="I197" s="14" t="n">
        <v>0</v>
      </c>
      <c r="J197" s="15" t="n">
        <v>0.5</v>
      </c>
      <c r="K197" s="13" t="inlineStr">
        <is>
          <t>SÍ</t>
        </is>
      </c>
      <c r="L197" s="16" t="inlineStr">
        <is>
          <t>—</t>
        </is>
      </c>
      <c r="M197" s="11" t="inlineStr">
        <is>
          <t>—</t>
        </is>
      </c>
      <c r="N197" s="16" t="inlineStr">
        <is>
          <t>—</t>
        </is>
      </c>
      <c r="O197" s="16" t="inlineStr">
        <is>
          <t>—</t>
        </is>
      </c>
      <c r="P197" s="16" t="inlineStr">
        <is>
          <t>66 St-Lincoln Center (1)</t>
        </is>
      </c>
      <c r="Q197" s="16" t="inlineStr">
        <is>
          <t>La plaza de Revson iluminada de noche, los chandeliers del Met Opera a traves del vidrio y el espejo de agua con el Henry Moore. De noche, vacia, es puro cine. A 10 cuadras de The Beacon.</t>
        </is>
      </c>
      <c r="R197" s="16" t="inlineStr">
        <is>
          <t>Columbus Ave entre 62 y 66</t>
        </is>
      </c>
      <c r="S197" s="17" t="inlineStr">
        <is>
          <t>Día 6 · jue 3/9</t>
        </is>
      </c>
      <c r="T197" s="18" t="inlineStr">
        <is>
          <t>Abrir ↗</t>
        </is>
      </c>
      <c r="U197" s="19" t="inlineStr">
        <is>
          <t>lista google</t>
        </is>
      </c>
      <c r="V197" s="20" t="inlineStr"/>
    </row>
    <row r="198" ht="46" customHeight="1">
      <c r="A198" s="9" t="inlineStr">
        <is>
          <t>Little Island</t>
        </is>
      </c>
      <c r="B198" s="10" t="inlineStr">
        <is>
          <t>Arquitectura moderna</t>
        </is>
      </c>
      <c r="C198" s="11" t="inlineStr">
        <is>
          <t>Arquitectura</t>
        </is>
      </c>
      <c r="D198" s="11" t="inlineStr">
        <is>
          <t>Meatpacking</t>
        </is>
      </c>
      <c r="E198" s="11" t="inlineStr">
        <is>
          <t>Manhattan</t>
        </is>
      </c>
      <c r="F198" s="12" t="n">
        <v>2</v>
      </c>
      <c r="G198" s="12" t="n">
        <v>1</v>
      </c>
      <c r="H198" s="13">
        <f>IF(AND(F198=2,G198=2),"AMBOS",IF(AND(F198=2,G198&lt;2),"solo JP",IF(AND(F198&lt;2,G198=2),"solo Thais","-")))</f>
        <v/>
      </c>
      <c r="I198" s="14" t="n">
        <v>0</v>
      </c>
      <c r="J198" s="15" t="n">
        <v>1</v>
      </c>
      <c r="K198" s="13" t="inlineStr">
        <is>
          <t>SÍ</t>
        </is>
      </c>
      <c r="L198" s="16" t="inlineStr">
        <is>
          <t>—</t>
        </is>
      </c>
      <c r="M198" s="11" t="inlineStr">
        <is>
          <t>—</t>
        </is>
      </c>
      <c r="N198" s="16" t="inlineStr">
        <is>
          <t>—</t>
        </is>
      </c>
      <c r="O198" s="16" t="inlineStr">
        <is>
          <t>—</t>
        </is>
      </c>
      <c r="P198" s="16" t="inlineStr">
        <is>
          <t>14 St (A,C,E), 8 Av (L)</t>
        </is>
      </c>
      <c r="Q198" s="16" t="inlineStr">
        <is>
          <t>Parque flotante de Heatherwick sobre 132 'macetas' de hormigon de distinta altura. Gratis; en temporada alta puede pedir entrada con horario para la tarde-noche. Pegado al extremo sur del High Line.</t>
        </is>
      </c>
      <c r="R198" s="16" t="inlineStr">
        <is>
          <t>Pier 55, Hudson River Park, W 13th St</t>
        </is>
      </c>
      <c r="S198" s="17" t="inlineStr">
        <is>
          <t>Día 5 · mié 2/9, Día 7 · vie 4/9</t>
        </is>
      </c>
      <c r="T198" s="18" t="inlineStr">
        <is>
          <t>Abrir ↗</t>
        </is>
      </c>
      <c r="U198" s="21" t="inlineStr">
        <is>
          <t>otros</t>
        </is>
      </c>
      <c r="V198" s="20" t="inlineStr"/>
    </row>
    <row r="199" ht="46" customHeight="1">
      <c r="A199" s="9" t="inlineStr">
        <is>
          <t>Oculus / WTC Transportation Hub</t>
        </is>
      </c>
      <c r="B199" s="10" t="inlineStr">
        <is>
          <t>Arquitectura moderna</t>
        </is>
      </c>
      <c r="C199" s="11" t="inlineStr">
        <is>
          <t>Arquitectura</t>
        </is>
      </c>
      <c r="D199" s="11" t="inlineStr">
        <is>
          <t>Financial District</t>
        </is>
      </c>
      <c r="E199" s="11" t="inlineStr">
        <is>
          <t>Manhattan</t>
        </is>
      </c>
      <c r="F199" s="12" t="n">
        <v>2</v>
      </c>
      <c r="G199" s="12" t="n">
        <v>0</v>
      </c>
      <c r="H199" s="13">
        <f>IF(AND(F199=2,G199=2),"AMBOS",IF(AND(F199=2,G199&lt;2),"solo JP",IF(AND(F199&lt;2,G199=2),"solo Thais","-")))</f>
        <v/>
      </c>
      <c r="I199" s="14" t="n">
        <v>0</v>
      </c>
      <c r="J199" s="15" t="n">
        <v>0.35</v>
      </c>
      <c r="K199" s="13" t="inlineStr">
        <is>
          <t>SÍ</t>
        </is>
      </c>
      <c r="L199" s="16" t="inlineStr">
        <is>
          <t>—</t>
        </is>
      </c>
      <c r="M199" s="11" t="inlineStr">
        <is>
          <t>—</t>
        </is>
      </c>
      <c r="N199" s="16" t="inlineStr">
        <is>
          <t>—</t>
        </is>
      </c>
      <c r="O199" s="16" t="inlineStr">
        <is>
          <t>—</t>
        </is>
      </c>
      <c r="P199" s="16" t="inlineStr">
        <is>
          <t>WTC Cortlandt (1), Fulton St</t>
        </is>
      </c>
      <c r="Q199" s="16" t="inlineStr">
        <is>
          <t>Calatrava. Se puede discutir si es bueno o si costo cuatro mil millones de dolares de mas, pero hay que verlo. Se cruza caminando camino al 9/11 Memorial.</t>
        </is>
      </c>
      <c r="R199" s="16" t="inlineStr">
        <is>
          <t>Church St &amp; Fulton St</t>
        </is>
      </c>
      <c r="S199" s="17" t="inlineStr">
        <is>
          <t>Día 6 · jue 3/9</t>
        </is>
      </c>
      <c r="T199" s="18" t="inlineStr">
        <is>
          <t>Abrir ↗</t>
        </is>
      </c>
      <c r="U199" s="19" t="inlineStr">
        <is>
          <t>lista google</t>
        </is>
      </c>
      <c r="V199" s="20" t="inlineStr">
        <is>
          <t>SÍ</t>
        </is>
      </c>
    </row>
    <row r="200" ht="46" customHeight="1">
      <c r="A200" s="9" t="inlineStr">
        <is>
          <t>Rockefeller Center</t>
        </is>
      </c>
      <c r="B200" s="10" t="inlineStr">
        <is>
          <t>Arquitectura moderna</t>
        </is>
      </c>
      <c r="C200" s="11" t="inlineStr">
        <is>
          <t>Arquitectura</t>
        </is>
      </c>
      <c r="D200" s="11" t="inlineStr">
        <is>
          <t>Midtown</t>
        </is>
      </c>
      <c r="E200" s="11" t="inlineStr">
        <is>
          <t>Manhattan</t>
        </is>
      </c>
      <c r="F200" s="12" t="n">
        <v>2</v>
      </c>
      <c r="G200" s="12" t="n">
        <v>1</v>
      </c>
      <c r="H200" s="13">
        <f>IF(AND(F200=2,G200=2),"AMBOS",IF(AND(F200=2,G200&lt;2),"solo JP",IF(AND(F200&lt;2,G200=2),"solo Thais","-")))</f>
        <v/>
      </c>
      <c r="I200" s="14" t="n">
        <v>0</v>
      </c>
      <c r="J200" s="15" t="n">
        <v>0.75</v>
      </c>
      <c r="K200" s="13" t="inlineStr">
        <is>
          <t>SÍ</t>
        </is>
      </c>
      <c r="L200" s="16" t="inlineStr">
        <is>
          <t>—</t>
        </is>
      </c>
      <c r="M200" s="11" t="inlineStr">
        <is>
          <t>—</t>
        </is>
      </c>
      <c r="N200" s="16" t="inlineStr">
        <is>
          <t>—</t>
        </is>
      </c>
      <c r="O200" s="16" t="inlineStr">
        <is>
          <t>—</t>
        </is>
      </c>
      <c r="P200" s="16" t="inlineStr">
        <is>
          <t>47-50 Sts-Rockefeller Ctr (B,D,F,M)</t>
        </is>
      </c>
      <c r="Q200" s="16" t="inlineStr">
        <is>
          <t>El conjunto art déco a nivel de calle: la plaza hundida, el Atlas y el mural de Prometeo. Gratis; el Top of the Rock es aparte.</t>
        </is>
      </c>
      <c r="R200" s="16" t="inlineStr">
        <is>
          <t>45 Rockefeller Plaza</t>
        </is>
      </c>
      <c r="S200" s="16" t="inlineStr">
        <is>
          <t>—</t>
        </is>
      </c>
      <c r="T200" s="18" t="inlineStr">
        <is>
          <t>Abrir ↗</t>
        </is>
      </c>
      <c r="U200" s="19" t="inlineStr">
        <is>
          <t>lista google</t>
        </is>
      </c>
      <c r="V200" s="20" t="inlineStr"/>
    </row>
    <row r="201" ht="46" customHeight="1">
      <c r="A201" s="9" t="inlineStr">
        <is>
          <t>Seagram Building</t>
        </is>
      </c>
      <c r="B201" s="10" t="inlineStr">
        <is>
          <t>Arquitectura moderna</t>
        </is>
      </c>
      <c r="C201" s="11" t="inlineStr">
        <is>
          <t>Arquitectura</t>
        </is>
      </c>
      <c r="D201" s="11" t="inlineStr">
        <is>
          <t>Midtown East</t>
        </is>
      </c>
      <c r="E201" s="11" t="inlineStr">
        <is>
          <t>Manhattan</t>
        </is>
      </c>
      <c r="F201" s="12" t="n">
        <v>1</v>
      </c>
      <c r="G201" s="12" t="n">
        <v>1</v>
      </c>
      <c r="H201" s="13">
        <f>IF(AND(F201=2,G201=2),"AMBOS",IF(AND(F201=2,G201&lt;2),"solo JP",IF(AND(F201&lt;2,G201=2),"solo Thais","-")))</f>
        <v/>
      </c>
      <c r="I201" s="14" t="n">
        <v>0</v>
      </c>
      <c r="J201" s="15" t="n">
        <v>0.3</v>
      </c>
      <c r="K201" s="13" t="inlineStr">
        <is>
          <t>no</t>
        </is>
      </c>
      <c r="L201" s="16" t="inlineStr">
        <is>
          <t>—</t>
        </is>
      </c>
      <c r="M201" s="11" t="inlineStr">
        <is>
          <t>—</t>
        </is>
      </c>
      <c r="N201" s="16" t="inlineStr">
        <is>
          <t>—</t>
        </is>
      </c>
      <c r="O201" s="16" t="inlineStr">
        <is>
          <t>—</t>
        </is>
      </c>
      <c r="P201" s="16" t="inlineStr">
        <is>
          <t>51 St (6)</t>
        </is>
      </c>
      <c r="Q201" s="16" t="inlineStr">
        <is>
          <t>Mies van der Rohe, 1958. La plaza vacia de adelante fue tan influyente como el edificio.</t>
        </is>
      </c>
      <c r="R201" s="16" t="inlineStr">
        <is>
          <t>375 Park Ave</t>
        </is>
      </c>
      <c r="S201" s="16" t="inlineStr">
        <is>
          <t>—</t>
        </is>
      </c>
      <c r="T201" s="18" t="inlineStr">
        <is>
          <t>Abrir ↗</t>
        </is>
      </c>
      <c r="U201" s="21" t="inlineStr">
        <is>
          <t>otros</t>
        </is>
      </c>
      <c r="V201" s="20" t="inlineStr"/>
    </row>
    <row r="202" ht="46" customHeight="1">
      <c r="A202" s="9" t="inlineStr">
        <is>
          <t>TWA Hotel (terminal de Saarinen)</t>
        </is>
      </c>
      <c r="B202" s="10" t="inlineStr">
        <is>
          <t>Arquitectura moderna</t>
        </is>
      </c>
      <c r="C202" s="11" t="inlineStr">
        <is>
          <t>Arquitectura</t>
        </is>
      </c>
      <c r="D202" s="11" t="inlineStr">
        <is>
          <t>JFK Airport</t>
        </is>
      </c>
      <c r="E202" s="11" t="inlineStr">
        <is>
          <t>Queens</t>
        </is>
      </c>
      <c r="F202" s="12" t="n">
        <v>0</v>
      </c>
      <c r="G202" s="12" t="n">
        <v>0</v>
      </c>
      <c r="H202" s="13">
        <f>IF(AND(F202=2,G202=2),"AMBOS",IF(AND(F202=2,G202&lt;2),"solo JP",IF(AND(F202&lt;2,G202=2),"solo Thais","-")))</f>
        <v/>
      </c>
      <c r="I202" s="14" t="n">
        <v>9</v>
      </c>
      <c r="J202" s="15" t="n">
        <v>3</v>
      </c>
      <c r="K202" s="13" t="inlineStr">
        <is>
          <t>no</t>
        </is>
      </c>
      <c r="L202" s="16" t="inlineStr">
        <is>
          <t>—</t>
        </is>
      </c>
      <c r="M202" s="11" t="inlineStr">
        <is>
          <t>—</t>
        </is>
      </c>
      <c r="N202" s="16" t="inlineStr">
        <is>
          <t>—</t>
        </is>
      </c>
      <c r="O202" s="16" t="inlineStr">
        <is>
          <t>—</t>
        </is>
      </c>
      <c r="P202" s="16" t="inlineStr">
        <is>
          <t>A o E a Howard Beach/Jamaica + AirTrain</t>
        </is>
      </c>
      <c r="Q202" s="16" t="inlineStr">
        <is>
          <t>La terminal de Eero Saarinen de 1962 restaurada entera: la Sunken Lounge, el tubo de conexion y un Lockheed Constellation de 1958 convertido en bar. No hace falta ser huesped ni pagar entrada.</t>
        </is>
      </c>
      <c r="R202" s="16" t="inlineStr">
        <is>
          <t>One Idlewild Dr, JFK</t>
        </is>
      </c>
      <c r="S202" s="16" t="inlineStr">
        <is>
          <t>—</t>
        </is>
      </c>
      <c r="T202" s="18" t="inlineStr">
        <is>
          <t>Abrir ↗</t>
        </is>
      </c>
      <c r="U202" s="21" t="inlineStr">
        <is>
          <t>otros</t>
        </is>
      </c>
      <c r="V202" s="20" t="inlineStr"/>
    </row>
    <row r="203" ht="46" customHeight="1">
      <c r="A203" s="9" t="inlineStr">
        <is>
          <t>The Vessel</t>
        </is>
      </c>
      <c r="B203" s="10" t="inlineStr">
        <is>
          <t>Arquitectura moderna</t>
        </is>
      </c>
      <c r="C203" s="11" t="inlineStr">
        <is>
          <t>Arquitectura</t>
        </is>
      </c>
      <c r="D203" s="11" t="inlineStr">
        <is>
          <t>Hudson Yards</t>
        </is>
      </c>
      <c r="E203" s="11" t="inlineStr">
        <is>
          <t>Manhattan</t>
        </is>
      </c>
      <c r="F203" s="12" t="n">
        <v>2</v>
      </c>
      <c r="G203" s="12" t="n">
        <v>2</v>
      </c>
      <c r="H203" s="13">
        <f>IF(AND(F203=2,G203=2),"AMBOS",IF(AND(F203=2,G203&lt;2),"solo JP",IF(AND(F203&lt;2,G203=2),"solo Thais","-")))</f>
        <v/>
      </c>
      <c r="I203" s="14" t="n">
        <v>10</v>
      </c>
      <c r="J203" s="15" t="n">
        <v>0.75</v>
      </c>
      <c r="K203" s="13" t="inlineStr">
        <is>
          <t>no</t>
        </is>
      </c>
      <c r="L203" s="16" t="inlineStr">
        <is>
          <t>lunes a domingo: 10:00–21:00</t>
        </is>
      </c>
      <c r="M203" s="11" t="inlineStr">
        <is>
          <t>—</t>
        </is>
      </c>
      <c r="N203" s="16" t="inlineStr">
        <is>
          <t>—</t>
        </is>
      </c>
      <c r="O203" s="16" t="inlineStr">
        <is>
          <t>timed ticket online (hay en el dia, pero mejor asegurar)</t>
        </is>
      </c>
      <c r="P203" s="16" t="inlineStr">
        <is>
          <t>34 St-Hudson Yards (7)</t>
        </is>
      </c>
      <c r="Q203" s="16" t="inlineStr">
        <is>
          <t>La escalera infinita de Heatherwick: 154 tramos entrelazados, 2.500 escalones. Subirla es la unica forma de entenderla, y esta al pie del arranque del High Line.</t>
        </is>
      </c>
      <c r="R203" s="16" t="inlineStr">
        <is>
          <t>20 Hudson Yards</t>
        </is>
      </c>
      <c r="S203" s="17" t="inlineStr">
        <is>
          <t>Día 5 · mié 2/9, Día 7 · vie 4/9</t>
        </is>
      </c>
      <c r="T203" s="18" t="inlineStr">
        <is>
          <t>Abrir ↗</t>
        </is>
      </c>
      <c r="U203" s="19" t="inlineStr">
        <is>
          <t>lista google</t>
        </is>
      </c>
      <c r="V203" s="20" t="inlineStr">
        <is>
          <t>SÍ</t>
        </is>
      </c>
    </row>
    <row r="204" ht="46" customHeight="1">
      <c r="A204" s="9" t="inlineStr">
        <is>
          <t>6½ Avenue</t>
        </is>
      </c>
      <c r="B204" s="10" t="inlineStr">
        <is>
          <t>Casa y calle histórica</t>
        </is>
      </c>
      <c r="C204" s="11" t="inlineStr">
        <is>
          <t>Arquitectura</t>
        </is>
      </c>
      <c r="D204" s="11" t="inlineStr">
        <is>
          <t>Midtown</t>
        </is>
      </c>
      <c r="E204" s="11" t="inlineStr">
        <is>
          <t>Manhattan</t>
        </is>
      </c>
      <c r="F204" s="12" t="n">
        <v>1</v>
      </c>
      <c r="G204" s="12" t="n">
        <v>1</v>
      </c>
      <c r="H204" s="13">
        <f>IF(AND(F204=2,G204=2),"AMBOS",IF(AND(F204=2,G204&lt;2),"solo JP",IF(AND(F204&lt;2,G204=2),"solo Thais","-")))</f>
        <v/>
      </c>
      <c r="I204" s="14" t="n">
        <v>0</v>
      </c>
      <c r="J204" s="15" t="n">
        <v>0.4</v>
      </c>
      <c r="K204" s="13" t="inlineStr">
        <is>
          <t>no</t>
        </is>
      </c>
      <c r="L204" s="16" t="inlineStr">
        <is>
          <t>—</t>
        </is>
      </c>
      <c r="M204" s="11" t="inlineStr">
        <is>
          <t>—</t>
        </is>
      </c>
      <c r="N204" s="16" t="inlineStr">
        <is>
          <t>—</t>
        </is>
      </c>
      <c r="O204" s="16" t="inlineStr">
        <is>
          <t>—</t>
        </is>
      </c>
      <c r="P204" s="16" t="inlineStr">
        <is>
          <t>57 St (F), 7 Av (B,D,E)</t>
        </is>
      </c>
      <c r="Q204" s="16" t="inlineStr">
        <is>
          <t>la única avenida fraccionaria de la grilla de Nueva York, oficializada con cartel de calle por el Departamento de Transporte en julio de 2012.</t>
        </is>
      </c>
      <c r="R204" s="16" t="inlineStr">
        <is>
          <t>6 1/2 Ave &amp; W 53rd St</t>
        </is>
      </c>
      <c r="S204" s="16" t="inlineStr">
        <is>
          <t>—</t>
        </is>
      </c>
      <c r="T204" s="18" t="inlineStr">
        <is>
          <t>Abrir ↗</t>
        </is>
      </c>
      <c r="U204" s="21" t="inlineStr">
        <is>
          <t>otros</t>
        </is>
      </c>
      <c r="V204" s="20" t="inlineStr"/>
    </row>
    <row r="205" ht="46" customHeight="1">
      <c r="A205" s="9" t="inlineStr">
        <is>
          <t>75½ Bedford Street</t>
        </is>
      </c>
      <c r="B205" s="10" t="inlineStr">
        <is>
          <t>Casa y calle histórica</t>
        </is>
      </c>
      <c r="C205" s="11" t="inlineStr">
        <is>
          <t>Arquitectura</t>
        </is>
      </c>
      <c r="D205" s="11" t="inlineStr">
        <is>
          <t>West Village</t>
        </is>
      </c>
      <c r="E205" s="11" t="inlineStr">
        <is>
          <t>Manhattan</t>
        </is>
      </c>
      <c r="F205" s="12" t="n">
        <v>1</v>
      </c>
      <c r="G205" s="12" t="n">
        <v>1</v>
      </c>
      <c r="H205" s="13">
        <f>IF(AND(F205=2,G205=2),"AMBOS",IF(AND(F205=2,G205&lt;2),"solo JP",IF(AND(F205&lt;2,G205=2),"solo Thais","-")))</f>
        <v/>
      </c>
      <c r="I205" s="14" t="n">
        <v>0</v>
      </c>
      <c r="J205" s="15" t="n">
        <v>0.2</v>
      </c>
      <c r="K205" s="13" t="inlineStr">
        <is>
          <t>no</t>
        </is>
      </c>
      <c r="L205" s="16" t="inlineStr">
        <is>
          <t>—</t>
        </is>
      </c>
      <c r="M205" s="11" t="inlineStr">
        <is>
          <t>—</t>
        </is>
      </c>
      <c r="N205" s="16" t="inlineStr">
        <is>
          <t>—</t>
        </is>
      </c>
      <c r="O205" s="16" t="inlineStr">
        <is>
          <t>—</t>
        </is>
      </c>
      <c r="P205" s="16" t="inlineStr">
        <is>
          <t>Christopher St (1)</t>
        </is>
      </c>
      <c r="Q205" s="16" t="inlineStr">
        <is>
          <t>2,90 metros de ancho en el frente, 2,60 adentro y 60 centímetros en su punto más angosto: la casa más flaca de Nueva York, construida en 1873 sobre lo que era la entrada de carruajes de la casa de al lado. Vivieron ahí Edna St.</t>
        </is>
      </c>
      <c r="R205" s="16" t="inlineStr">
        <is>
          <t>75 Bedford St</t>
        </is>
      </c>
      <c r="S205" s="16" t="inlineStr">
        <is>
          <t>—</t>
        </is>
      </c>
      <c r="T205" s="18" t="inlineStr">
        <is>
          <t>Abrir ↗</t>
        </is>
      </c>
      <c r="U205" s="21" t="inlineStr">
        <is>
          <t>otros</t>
        </is>
      </c>
      <c r="V205" s="20" t="inlineStr"/>
    </row>
    <row r="206" ht="46" customHeight="1">
      <c r="A206" s="9" t="inlineStr">
        <is>
          <t>Amster Yard (Instituto Cervantes)</t>
        </is>
      </c>
      <c r="B206" s="10" t="inlineStr">
        <is>
          <t>Casa y calle histórica</t>
        </is>
      </c>
      <c r="C206" s="11" t="inlineStr">
        <is>
          <t>Arquitectura</t>
        </is>
      </c>
      <c r="D206" s="11" t="inlineStr">
        <is>
          <t>Midtown East</t>
        </is>
      </c>
      <c r="E206" s="11" t="inlineStr">
        <is>
          <t>Manhattan</t>
        </is>
      </c>
      <c r="F206" s="12" t="n">
        <v>1</v>
      </c>
      <c r="G206" s="12" t="n">
        <v>1</v>
      </c>
      <c r="H206" s="13">
        <f>IF(AND(F206=2,G206=2),"AMBOS",IF(AND(F206=2,G206&lt;2),"solo JP",IF(AND(F206&lt;2,G206=2),"solo Thais","-")))</f>
        <v/>
      </c>
      <c r="I206" s="14" t="n">
        <v>0</v>
      </c>
      <c r="J206" s="15" t="n">
        <v>0.3</v>
      </c>
      <c r="K206" s="13" t="inlineStr">
        <is>
          <t>no</t>
        </is>
      </c>
      <c r="L206" s="16" t="inlineStr">
        <is>
          <t>—</t>
        </is>
      </c>
      <c r="M206" s="11" t="inlineStr">
        <is>
          <t>—</t>
        </is>
      </c>
      <c r="N206" s="16" t="inlineStr">
        <is>
          <t>—</t>
        </is>
      </c>
      <c r="O206" s="16" t="inlineStr">
        <is>
          <t>—</t>
        </is>
      </c>
      <c r="P206" s="16" t="inlineStr">
        <is>
          <t>51 St (6), Lexington Av-53 St (E,M)</t>
        </is>
      </c>
      <c r="Q206" s="16" t="inlineStr">
        <is>
          <t>un patio en L escondido detrás de una fila de conventillos, que el decorador James Amster armó entre 1944 y 1946 juntando varios fondos de casa. Isamu Noguchi tuvo su taller acá.</t>
        </is>
      </c>
      <c r="R206" s="16" t="inlineStr">
        <is>
          <t>211 E 49th St</t>
        </is>
      </c>
      <c r="S206" s="16" t="inlineStr">
        <is>
          <t>—</t>
        </is>
      </c>
      <c r="T206" s="18" t="inlineStr">
        <is>
          <t>Abrir ↗</t>
        </is>
      </c>
      <c r="U206" s="21" t="inlineStr">
        <is>
          <t>otros</t>
        </is>
      </c>
      <c r="V206" s="20" t="inlineStr"/>
    </row>
    <row r="207" ht="46" customHeight="1">
      <c r="A207" s="9" t="inlineStr">
        <is>
          <t>Apollo Theater</t>
        </is>
      </c>
      <c r="B207" s="10" t="inlineStr">
        <is>
          <t>Casa y calle histórica</t>
        </is>
      </c>
      <c r="C207" s="11" t="inlineStr">
        <is>
          <t>Arquitectura</t>
        </is>
      </c>
      <c r="D207" s="11" t="inlineStr">
        <is>
          <t>Harlem</t>
        </is>
      </c>
      <c r="E207" s="11" t="inlineStr">
        <is>
          <t>Manhattan</t>
        </is>
      </c>
      <c r="F207" s="12" t="n">
        <v>1</v>
      </c>
      <c r="G207" s="12" t="n">
        <v>1</v>
      </c>
      <c r="H207" s="13">
        <f>IF(AND(F207=2,G207=2),"AMBOS",IF(AND(F207=2,G207&lt;2),"solo JP",IF(AND(F207&lt;2,G207=2),"solo Thais","-")))</f>
        <v/>
      </c>
      <c r="I207" s="14" t="n">
        <v>0</v>
      </c>
      <c r="J207" s="15" t="n">
        <v>0.3</v>
      </c>
      <c r="K207" s="13" t="inlineStr">
        <is>
          <t>no</t>
        </is>
      </c>
      <c r="L207" s="16" t="inlineStr">
        <is>
          <t>—</t>
        </is>
      </c>
      <c r="M207" s="11" t="inlineStr">
        <is>
          <t>—</t>
        </is>
      </c>
      <c r="N207" s="16" t="inlineStr">
        <is>
          <t>—</t>
        </is>
      </c>
      <c r="O207" s="16" t="inlineStr">
        <is>
          <t>—</t>
        </is>
      </c>
      <c r="P207" s="16" t="inlineStr">
        <is>
          <t>125 St (A,B,C,D)</t>
        </is>
      </c>
      <c r="Q207" s="16" t="inlineStr">
        <is>
          <t>1934: la Amateur Night que lanzo a Ella Fitzgerald y James Brown. La marquesina se ve desde la vereda.</t>
        </is>
      </c>
      <c r="R207" s="16" t="inlineStr">
        <is>
          <t>253 W 125th St</t>
        </is>
      </c>
      <c r="S207" s="16" t="inlineStr">
        <is>
          <t>—</t>
        </is>
      </c>
      <c r="T207" s="18" t="inlineStr">
        <is>
          <t>Abrir ↗</t>
        </is>
      </c>
      <c r="U207" s="21" t="inlineStr">
        <is>
          <t>otros</t>
        </is>
      </c>
      <c r="V207" s="20" t="inlineStr"/>
    </row>
    <row r="208" ht="46" customHeight="1">
      <c r="A208" s="9" t="inlineStr">
        <is>
          <t>Cannon's Walk</t>
        </is>
      </c>
      <c r="B208" s="10" t="inlineStr">
        <is>
          <t>Casa y calle histórica</t>
        </is>
      </c>
      <c r="C208" s="11" t="inlineStr">
        <is>
          <t>Arquitectura</t>
        </is>
      </c>
      <c r="D208" s="11" t="inlineStr">
        <is>
          <t>South Street Seaport</t>
        </is>
      </c>
      <c r="E208" s="11" t="inlineStr">
        <is>
          <t>Manhattan</t>
        </is>
      </c>
      <c r="F208" s="12" t="n">
        <v>1</v>
      </c>
      <c r="G208" s="12" t="n">
        <v>1</v>
      </c>
      <c r="H208" s="13">
        <f>IF(AND(F208=2,G208=2),"AMBOS",IF(AND(F208=2,G208&lt;2),"solo JP",IF(AND(F208&lt;2,G208=2),"solo Thais","-")))</f>
        <v/>
      </c>
      <c r="I208" s="14" t="n">
        <v>0</v>
      </c>
      <c r="J208" s="15" t="n">
        <v>0.3</v>
      </c>
      <c r="K208" s="13" t="inlineStr">
        <is>
          <t>no</t>
        </is>
      </c>
      <c r="L208" s="16" t="inlineStr">
        <is>
          <t>—</t>
        </is>
      </c>
      <c r="M208" s="11" t="inlineStr">
        <is>
          <t>—</t>
        </is>
      </c>
      <c r="N208" s="16" t="inlineStr">
        <is>
          <t>—</t>
        </is>
      </c>
      <c r="O208" s="16" t="inlineStr">
        <is>
          <t>—</t>
        </is>
      </c>
      <c r="P208" s="16" t="inlineStr">
        <is>
          <t>Fulton St (2,3,4,5,A,C,J,Z)</t>
        </is>
      </c>
      <c r="Q208" s="16" t="inlineStr">
        <is>
          <t>Callejón adoquinado del Seaport entre edificios del siglo XIX. Atajo con encanto.</t>
        </is>
      </c>
      <c r="R208" s="16" t="inlineStr"/>
      <c r="S208" s="16" t="inlineStr">
        <is>
          <t>—</t>
        </is>
      </c>
      <c r="T208" s="18" t="inlineStr">
        <is>
          <t>Abrir ↗</t>
        </is>
      </c>
      <c r="U208" s="19" t="inlineStr">
        <is>
          <t>lista google</t>
        </is>
      </c>
      <c r="V208" s="20" t="inlineStr"/>
    </row>
    <row r="209" ht="46" customHeight="1">
      <c r="A209" s="9" t="inlineStr">
        <is>
          <t>Charging Bull</t>
        </is>
      </c>
      <c r="B209" s="10" t="inlineStr">
        <is>
          <t>Casa y calle histórica</t>
        </is>
      </c>
      <c r="C209" s="11" t="inlineStr">
        <is>
          <t>Arquitectura</t>
        </is>
      </c>
      <c r="D209" s="11" t="inlineStr">
        <is>
          <t>Financial District</t>
        </is>
      </c>
      <c r="E209" s="11" t="inlineStr">
        <is>
          <t>Manhattan</t>
        </is>
      </c>
      <c r="F209" s="12" t="n">
        <v>1</v>
      </c>
      <c r="G209" s="12" t="n">
        <v>1</v>
      </c>
      <c r="H209" s="13">
        <f>IF(AND(F209=2,G209=2),"AMBOS",IF(AND(F209=2,G209&lt;2),"solo JP",IF(AND(F209&lt;2,G209=2),"solo Thais","-")))</f>
        <v/>
      </c>
      <c r="I209" s="14" t="n">
        <v>0</v>
      </c>
      <c r="J209" s="15" t="n">
        <v>0.2</v>
      </c>
      <c r="K209" s="13" t="inlineStr">
        <is>
          <t>no</t>
        </is>
      </c>
      <c r="L209" s="16" t="inlineStr">
        <is>
          <t>—</t>
        </is>
      </c>
      <c r="M209" s="11" t="inlineStr">
        <is>
          <t>—</t>
        </is>
      </c>
      <c r="N209" s="16" t="inlineStr">
        <is>
          <t>—</t>
        </is>
      </c>
      <c r="O209" s="16" t="inlineStr">
        <is>
          <t>—</t>
        </is>
      </c>
      <c r="P209" s="16" t="inlineStr">
        <is>
          <t>Bowling Green (4,5)</t>
        </is>
      </c>
      <c r="Q209" s="16" t="inlineStr">
        <is>
          <t>El toro de 1989 que aparecio una noche sin permiso. Con Fearless Girl enfrente, a dos cuadras.</t>
        </is>
      </c>
      <c r="R209" s="16" t="inlineStr">
        <is>
          <t>Broadway y Morris St</t>
        </is>
      </c>
      <c r="S209" s="16" t="inlineStr">
        <is>
          <t>—</t>
        </is>
      </c>
      <c r="T209" s="18" t="inlineStr">
        <is>
          <t>Abrir ↗</t>
        </is>
      </c>
      <c r="U209" s="21" t="inlineStr">
        <is>
          <t>otros</t>
        </is>
      </c>
      <c r="V209" s="20" t="inlineStr"/>
    </row>
    <row r="210" ht="46" customHeight="1">
      <c r="A210" s="9" t="inlineStr">
        <is>
          <t>Cushman Row</t>
        </is>
      </c>
      <c r="B210" s="10" t="inlineStr">
        <is>
          <t>Casa y calle histórica</t>
        </is>
      </c>
      <c r="C210" s="11" t="inlineStr">
        <is>
          <t>Arquitectura</t>
        </is>
      </c>
      <c r="D210" s="11" t="inlineStr">
        <is>
          <t>Chelsea</t>
        </is>
      </c>
      <c r="E210" s="11" t="inlineStr">
        <is>
          <t>Manhattan</t>
        </is>
      </c>
      <c r="F210" s="12" t="n">
        <v>1</v>
      </c>
      <c r="G210" s="12" t="n">
        <v>1</v>
      </c>
      <c r="H210" s="13">
        <f>IF(AND(F210=2,G210=2),"AMBOS",IF(AND(F210=2,G210&lt;2),"solo JP",IF(AND(F210&lt;2,G210=2),"solo Thais","-")))</f>
        <v/>
      </c>
      <c r="I210" s="14" t="n">
        <v>0</v>
      </c>
      <c r="J210" s="15" t="n">
        <v>0.2</v>
      </c>
      <c r="K210" s="13" t="inlineStr">
        <is>
          <t>no</t>
        </is>
      </c>
      <c r="L210" s="16" t="inlineStr">
        <is>
          <t>—</t>
        </is>
      </c>
      <c r="M210" s="11" t="inlineStr">
        <is>
          <t>—</t>
        </is>
      </c>
      <c r="N210" s="16" t="inlineStr">
        <is>
          <t>—</t>
        </is>
      </c>
      <c r="O210" s="16" t="inlineStr">
        <is>
          <t>—</t>
        </is>
      </c>
      <c r="P210" s="16" t="inlineStr">
        <is>
          <t>23 St (C,E)</t>
        </is>
      </c>
      <c r="Q210" s="16" t="inlineStr">
        <is>
          <t>Don Alonzo Cushman construyó estas seis casas en 1839-40 en tierra que le compró a Clement Clarke Moore, el que escribió "'Twas the night before Christmas".</t>
        </is>
      </c>
      <c r="R210" s="16" t="inlineStr">
        <is>
          <t>406 W 20th St</t>
        </is>
      </c>
      <c r="S210" s="16" t="inlineStr">
        <is>
          <t>—</t>
        </is>
      </c>
      <c r="T210" s="18" t="inlineStr">
        <is>
          <t>Abrir ↗</t>
        </is>
      </c>
      <c r="U210" s="21" t="inlineStr">
        <is>
          <t>otros</t>
        </is>
      </c>
      <c r="V210" s="20" t="inlineStr"/>
    </row>
    <row r="211" ht="46" customHeight="1">
      <c r="A211" s="9" t="inlineStr">
        <is>
          <t>Doyers St</t>
        </is>
      </c>
      <c r="B211" s="10" t="inlineStr">
        <is>
          <t>Casa y calle histórica</t>
        </is>
      </c>
      <c r="C211" s="11" t="inlineStr">
        <is>
          <t>Arquitectura</t>
        </is>
      </c>
      <c r="D211" s="11" t="inlineStr">
        <is>
          <t>Chinatown</t>
        </is>
      </c>
      <c r="E211" s="11" t="inlineStr">
        <is>
          <t>Manhattan</t>
        </is>
      </c>
      <c r="F211" s="12" t="n">
        <v>1</v>
      </c>
      <c r="G211" s="12" t="n">
        <v>1</v>
      </c>
      <c r="H211" s="13">
        <f>IF(AND(F211=2,G211=2),"AMBOS",IF(AND(F211=2,G211&lt;2),"solo JP",IF(AND(F211&lt;2,G211=2),"solo Thais","-")))</f>
        <v/>
      </c>
      <c r="I211" s="14" t="n">
        <v>0</v>
      </c>
      <c r="J211" s="15" t="n">
        <v>0.25</v>
      </c>
      <c r="K211" s="13" t="inlineStr">
        <is>
          <t>no</t>
        </is>
      </c>
      <c r="L211" s="16" t="inlineStr">
        <is>
          <t>—</t>
        </is>
      </c>
      <c r="M211" s="11" t="inlineStr">
        <is>
          <t>—</t>
        </is>
      </c>
      <c r="N211" s="16" t="inlineStr">
        <is>
          <t>—</t>
        </is>
      </c>
      <c r="O211" s="16" t="inlineStr">
        <is>
          <t>—</t>
        </is>
      </c>
      <c r="P211" s="16" t="inlineStr">
        <is>
          <t>Canal St (6,N,Q,R,W,J,Z)</t>
        </is>
      </c>
      <c r="Q211" s="16" t="inlineStr">
        <is>
          <t>La curva imposible del 'Bloody Angle', con el mural. Media cuadra que resume Chinatown.</t>
        </is>
      </c>
      <c r="R211" s="16" t="inlineStr"/>
      <c r="S211" s="16" t="inlineStr">
        <is>
          <t>—</t>
        </is>
      </c>
      <c r="T211" s="18" t="inlineStr">
        <is>
          <t>Abrir ↗</t>
        </is>
      </c>
      <c r="U211" s="19" t="inlineStr">
        <is>
          <t>lista google</t>
        </is>
      </c>
      <c r="V211" s="20" t="inlineStr"/>
    </row>
    <row r="212" ht="46" customHeight="1">
      <c r="A212" s="9" t="inlineStr">
        <is>
          <t>Fraunces Tavern</t>
        </is>
      </c>
      <c r="B212" s="10" t="inlineStr">
        <is>
          <t>Casa y calle histórica</t>
        </is>
      </c>
      <c r="C212" s="11" t="inlineStr">
        <is>
          <t>Arquitectura</t>
        </is>
      </c>
      <c r="D212" s="11" t="inlineStr">
        <is>
          <t>Financial District</t>
        </is>
      </c>
      <c r="E212" s="11" t="inlineStr">
        <is>
          <t>Manhattan</t>
        </is>
      </c>
      <c r="F212" s="12" t="n">
        <v>1</v>
      </c>
      <c r="G212" s="12" t="n">
        <v>1</v>
      </c>
      <c r="H212" s="13">
        <f>IF(AND(F212=2,G212=2),"AMBOS",IF(AND(F212=2,G212&lt;2),"solo JP",IF(AND(F212&lt;2,G212=2),"solo Thais","-")))</f>
        <v/>
      </c>
      <c r="I212" s="14" t="n">
        <v>20</v>
      </c>
      <c r="J212" s="15" t="n">
        <v>1</v>
      </c>
      <c r="K212" s="13" t="inlineStr">
        <is>
          <t>no</t>
        </is>
      </c>
      <c r="L212" s="16" t="inlineStr">
        <is>
          <t>—</t>
        </is>
      </c>
      <c r="M212" s="11" t="inlineStr">
        <is>
          <t>—</t>
        </is>
      </c>
      <c r="N212" s="16" t="inlineStr">
        <is>
          <t>—</t>
        </is>
      </c>
      <c r="O212" s="16" t="inlineStr">
        <is>
          <t>—</t>
        </is>
      </c>
      <c r="P212" s="16" t="inlineStr">
        <is>
          <t>Broad St (J,Z)</t>
        </is>
      </c>
      <c r="Q212" s="16" t="inlineStr">
        <is>
          <t>La taberna de 1762 donde Washington se despidió de sus oficiales. Museo arriba, bar funcionando abajo.</t>
        </is>
      </c>
      <c r="R212" s="16" t="inlineStr">
        <is>
          <t>54 Pearl St</t>
        </is>
      </c>
      <c r="S212" s="16" t="inlineStr">
        <is>
          <t>—</t>
        </is>
      </c>
      <c r="T212" s="18" t="inlineStr">
        <is>
          <t>Abrir ↗</t>
        </is>
      </c>
      <c r="U212" s="19" t="inlineStr">
        <is>
          <t>lista google</t>
        </is>
      </c>
      <c r="V212" s="20" t="inlineStr"/>
    </row>
    <row r="213" ht="46" customHeight="1">
      <c r="A213" s="9" t="inlineStr">
        <is>
          <t>Grove Court</t>
        </is>
      </c>
      <c r="B213" s="10" t="inlineStr">
        <is>
          <t>Casa y calle histórica</t>
        </is>
      </c>
      <c r="C213" s="11" t="inlineStr">
        <is>
          <t>Arquitectura</t>
        </is>
      </c>
      <c r="D213" s="11" t="inlineStr">
        <is>
          <t>West Village</t>
        </is>
      </c>
      <c r="E213" s="11" t="inlineStr">
        <is>
          <t>Manhattan</t>
        </is>
      </c>
      <c r="F213" s="12" t="n">
        <v>1</v>
      </c>
      <c r="G213" s="12" t="n">
        <v>1</v>
      </c>
      <c r="H213" s="13">
        <f>IF(AND(F213=2,G213=2),"AMBOS",IF(AND(F213=2,G213&lt;2),"solo JP",IF(AND(F213&lt;2,G213=2),"solo Thais","-")))</f>
        <v/>
      </c>
      <c r="I213" s="14" t="n">
        <v>0</v>
      </c>
      <c r="J213" s="15" t="n">
        <v>0.2</v>
      </c>
      <c r="K213" s="13" t="inlineStr">
        <is>
          <t>no</t>
        </is>
      </c>
      <c r="L213" s="16" t="inlineStr">
        <is>
          <t>—</t>
        </is>
      </c>
      <c r="M213" s="11" t="inlineStr">
        <is>
          <t>—</t>
        </is>
      </c>
      <c r="N213" s="16" t="inlineStr">
        <is>
          <t>—</t>
        </is>
      </c>
      <c r="O213" s="16" t="inlineStr">
        <is>
          <t>—</t>
        </is>
      </c>
      <c r="P213" s="16" t="inlineStr">
        <is>
          <t>Christopher St (1)</t>
        </is>
      </c>
      <c r="Q213" s="16" t="inlineStr">
        <is>
          <t>Seis casitas de 1854 alrededor de un patio privado. La postal del West Village que no sale en las guias.</t>
        </is>
      </c>
      <c r="R213" s="16" t="inlineStr">
        <is>
          <t>10-12 Grove St</t>
        </is>
      </c>
      <c r="S213" s="16" t="inlineStr">
        <is>
          <t>—</t>
        </is>
      </c>
      <c r="T213" s="18" t="inlineStr">
        <is>
          <t>Abrir ↗</t>
        </is>
      </c>
      <c r="U213" s="21" t="inlineStr">
        <is>
          <t>otros</t>
        </is>
      </c>
      <c r="V213" s="20" t="inlineStr"/>
    </row>
    <row r="214" ht="46" customHeight="1">
      <c r="A214" s="9" t="inlineStr">
        <is>
          <t>Henderson Place</t>
        </is>
      </c>
      <c r="B214" s="10" t="inlineStr">
        <is>
          <t>Casa y calle histórica</t>
        </is>
      </c>
      <c r="C214" s="11" t="inlineStr">
        <is>
          <t>Arquitectura</t>
        </is>
      </c>
      <c r="D214" s="11" t="inlineStr">
        <is>
          <t>Upper East Side</t>
        </is>
      </c>
      <c r="E214" s="11" t="inlineStr">
        <is>
          <t>Manhattan</t>
        </is>
      </c>
      <c r="F214" s="12" t="n">
        <v>1</v>
      </c>
      <c r="G214" s="12" t="n">
        <v>1</v>
      </c>
      <c r="H214" s="13">
        <f>IF(AND(F214=2,G214=2),"AMBOS",IF(AND(F214=2,G214&lt;2),"solo JP",IF(AND(F214&lt;2,G214=2),"solo Thais","-")))</f>
        <v/>
      </c>
      <c r="I214" s="14" t="n">
        <v>0</v>
      </c>
      <c r="J214" s="15" t="n">
        <v>0.2</v>
      </c>
      <c r="K214" s="13" t="inlineStr">
        <is>
          <t>no</t>
        </is>
      </c>
      <c r="L214" s="16" t="inlineStr">
        <is>
          <t>—</t>
        </is>
      </c>
      <c r="M214" s="11" t="inlineStr">
        <is>
          <t>—</t>
        </is>
      </c>
      <c r="N214" s="16" t="inlineStr">
        <is>
          <t>—</t>
        </is>
      </c>
      <c r="O214" s="16" t="inlineStr">
        <is>
          <t>—</t>
        </is>
      </c>
      <c r="P214" s="16" t="inlineStr">
        <is>
          <t>86 St (4,5,6) + M86</t>
        </is>
      </c>
      <c r="Q214" s="16" t="inlineStr">
        <is>
          <t>21 casitas de ladrillo rojo Queen Anne de 1880-82, de Lamb &amp; Rich, que el peletero John Cleves Henderson mandó a construir "para gente de recursos moderados" cuando llegó el elevado de la Segunda Avenida. Techos con gabletes, mansardas y torrecitas, todas distintas, en un enclave de media hectárea.</t>
        </is>
      </c>
      <c r="R214" s="16" t="inlineStr">
        <is>
          <t>Henderson Pl, E 86th St</t>
        </is>
      </c>
      <c r="S214" s="16" t="inlineStr">
        <is>
          <t>—</t>
        </is>
      </c>
      <c r="T214" s="18" t="inlineStr">
        <is>
          <t>Abrir ↗</t>
        </is>
      </c>
      <c r="U214" s="21" t="inlineStr">
        <is>
          <t>otros</t>
        </is>
      </c>
      <c r="V214" s="20" t="inlineStr"/>
    </row>
    <row r="215" ht="46" customHeight="1">
      <c r="A215" s="9" t="inlineStr">
        <is>
          <t>Hotel Chelsea</t>
        </is>
      </c>
      <c r="B215" s="10" t="inlineStr">
        <is>
          <t>Casa y calle histórica</t>
        </is>
      </c>
      <c r="C215" s="11" t="inlineStr">
        <is>
          <t>Arquitectura</t>
        </is>
      </c>
      <c r="D215" s="11" t="inlineStr">
        <is>
          <t>Chelsea</t>
        </is>
      </c>
      <c r="E215" s="11" t="inlineStr">
        <is>
          <t>Manhattan</t>
        </is>
      </c>
      <c r="F215" s="12" t="n">
        <v>1</v>
      </c>
      <c r="G215" s="12" t="n">
        <v>1</v>
      </c>
      <c r="H215" s="13">
        <f>IF(AND(F215=2,G215=2),"AMBOS",IF(AND(F215=2,G215&lt;2),"solo JP",IF(AND(F215&lt;2,G215=2),"solo Thais","-")))</f>
        <v/>
      </c>
      <c r="I215" s="14" t="n">
        <v>0</v>
      </c>
      <c r="J215" s="15" t="n">
        <v>0.3</v>
      </c>
      <c r="K215" s="13" t="inlineStr">
        <is>
          <t>no</t>
        </is>
      </c>
      <c r="L215" s="16" t="inlineStr">
        <is>
          <t>—</t>
        </is>
      </c>
      <c r="M215" s="11" t="inlineStr">
        <is>
          <t>—</t>
        </is>
      </c>
      <c r="N215" s="16" t="inlineStr">
        <is>
          <t>—</t>
        </is>
      </c>
      <c r="O215" s="16" t="inlineStr">
        <is>
          <t>—</t>
        </is>
      </c>
      <c r="P215" s="16" t="inlineStr">
        <is>
          <t>23 St (1,C,E,F,M)</t>
        </is>
      </c>
      <c r="Q215" s="16" t="inlineStr">
        <is>
          <t>Donde vivieron Dylan, Patti Smith, Warhol y Leonard Cohen. Reabrio como hotel; el lobby se puede ver.</t>
        </is>
      </c>
      <c r="R215" s="16" t="inlineStr">
        <is>
          <t>222 W 23rd St</t>
        </is>
      </c>
      <c r="S215" s="16" t="inlineStr">
        <is>
          <t>—</t>
        </is>
      </c>
      <c r="T215" s="18" t="inlineStr">
        <is>
          <t>Abrir ↗</t>
        </is>
      </c>
      <c r="U215" s="21" t="inlineStr">
        <is>
          <t>otros</t>
        </is>
      </c>
      <c r="V215" s="20" t="inlineStr"/>
    </row>
    <row r="216" ht="46" customHeight="1">
      <c r="A216" s="9" t="inlineStr">
        <is>
          <t>Irish Hunger Memorial</t>
        </is>
      </c>
      <c r="B216" s="10" t="inlineStr">
        <is>
          <t>Casa y calle histórica</t>
        </is>
      </c>
      <c r="C216" s="11" t="inlineStr">
        <is>
          <t>Arquitectura</t>
        </is>
      </c>
      <c r="D216" s="11" t="inlineStr">
        <is>
          <t>Battery Park City</t>
        </is>
      </c>
      <c r="E216" s="11" t="inlineStr">
        <is>
          <t>Manhattan</t>
        </is>
      </c>
      <c r="F216" s="12" t="n">
        <v>1</v>
      </c>
      <c r="G216" s="12" t="n">
        <v>1</v>
      </c>
      <c r="H216" s="13">
        <f>IF(AND(F216=2,G216=2),"AMBOS",IF(AND(F216=2,G216&lt;2),"solo JP",IF(AND(F216&lt;2,G216=2),"solo Thais","-")))</f>
        <v/>
      </c>
      <c r="I216" s="14" t="n">
        <v>0</v>
      </c>
      <c r="J216" s="15" t="n">
        <v>0.4</v>
      </c>
      <c r="K216" s="13" t="inlineStr">
        <is>
          <t>no</t>
        </is>
      </c>
      <c r="L216" s="16" t="inlineStr">
        <is>
          <t>—</t>
        </is>
      </c>
      <c r="M216" s="11" t="inlineStr">
        <is>
          <t>—</t>
        </is>
      </c>
      <c r="N216" s="16" t="inlineStr">
        <is>
          <t>—</t>
        </is>
      </c>
      <c r="O216" s="16" t="inlineStr">
        <is>
          <t>—</t>
        </is>
      </c>
      <c r="P216" s="16" t="inlineStr">
        <is>
          <t>Chambers St (1,2,3)</t>
        </is>
      </c>
      <c r="Q216" s="16" t="inlineStr">
        <is>
          <t>media hectárea de campo irlandés levantada y trasplantada a Manhattan, con una casa de piedra real de la época de la hambruna donada por la familia Slack de Attymass, condado de Mayo, desarmada y rearmada acá piedra por piedra.</t>
        </is>
      </c>
      <c r="R216" s="16" t="inlineStr">
        <is>
          <t>Vesey St &amp; North End Ave</t>
        </is>
      </c>
      <c r="S216" s="16" t="inlineStr">
        <is>
          <t>—</t>
        </is>
      </c>
      <c r="T216" s="18" t="inlineStr">
        <is>
          <t>Abrir ↗</t>
        </is>
      </c>
      <c r="U216" s="21" t="inlineStr">
        <is>
          <t>otros</t>
        </is>
      </c>
      <c r="V216" s="20" t="inlineStr"/>
    </row>
    <row r="217" ht="46" customHeight="1">
      <c r="A217" s="9" t="inlineStr">
        <is>
          <t>Jane's Carousel</t>
        </is>
      </c>
      <c r="B217" s="10" t="inlineStr">
        <is>
          <t>Casa y calle histórica</t>
        </is>
      </c>
      <c r="C217" s="11" t="inlineStr">
        <is>
          <t>Arquitectura</t>
        </is>
      </c>
      <c r="D217" s="11" t="inlineStr">
        <is>
          <t>DUMBO</t>
        </is>
      </c>
      <c r="E217" s="11" t="inlineStr">
        <is>
          <t>Brooklyn</t>
        </is>
      </c>
      <c r="F217" s="12" t="n">
        <v>1</v>
      </c>
      <c r="G217" s="12" t="n">
        <v>1</v>
      </c>
      <c r="H217" s="13">
        <f>IF(AND(F217=2,G217=2),"AMBOS",IF(AND(F217=2,G217&lt;2),"solo JP",IF(AND(F217&lt;2,G217=2),"solo Thais","-")))</f>
        <v/>
      </c>
      <c r="I217" s="14" t="n">
        <v>2</v>
      </c>
      <c r="J217" s="15" t="n">
        <v>0.4</v>
      </c>
      <c r="K217" s="13" t="inlineStr">
        <is>
          <t>no</t>
        </is>
      </c>
      <c r="L217" s="16" t="inlineStr">
        <is>
          <t>—</t>
        </is>
      </c>
      <c r="M217" s="11" t="inlineStr">
        <is>
          <t>—</t>
        </is>
      </c>
      <c r="N217" s="16" t="inlineStr">
        <is>
          <t>—</t>
        </is>
      </c>
      <c r="O217" s="16" t="inlineStr">
        <is>
          <t>—</t>
        </is>
      </c>
      <c r="P217" s="16" t="inlineStr">
        <is>
          <t>High St (A,C), York St (F)</t>
        </is>
      </c>
      <c r="Q217" s="16" t="inlineStr">
        <is>
          <t>Calesita de 1922 restaurada, dentro de una caja de vidrio de Jean Nouvel frente al skyline. Dos dolares.</t>
        </is>
      </c>
      <c r="R217" s="16" t="inlineStr">
        <is>
          <t>Brooklyn Bridge Park, Old Dock St</t>
        </is>
      </c>
      <c r="S217" s="16" t="inlineStr">
        <is>
          <t>—</t>
        </is>
      </c>
      <c r="T217" s="18" t="inlineStr">
        <is>
          <t>Abrir ↗</t>
        </is>
      </c>
      <c r="U217" s="21" t="inlineStr">
        <is>
          <t>otros</t>
        </is>
      </c>
      <c r="V217" s="20" t="inlineStr"/>
    </row>
    <row r="218" ht="46" customHeight="1">
      <c r="A218" s="9" t="inlineStr">
        <is>
          <t>Patchin Place</t>
        </is>
      </c>
      <c r="B218" s="10" t="inlineStr">
        <is>
          <t>Casa y calle histórica</t>
        </is>
      </c>
      <c r="C218" s="11" t="inlineStr">
        <is>
          <t>Arquitectura</t>
        </is>
      </c>
      <c r="D218" s="11" t="inlineStr">
        <is>
          <t>Greenwich Village</t>
        </is>
      </c>
      <c r="E218" s="11" t="inlineStr">
        <is>
          <t>Manhattan</t>
        </is>
      </c>
      <c r="F218" s="12" t="n">
        <v>1</v>
      </c>
      <c r="G218" s="12" t="n">
        <v>1</v>
      </c>
      <c r="H218" s="13">
        <f>IF(AND(F218=2,G218=2),"AMBOS",IF(AND(F218=2,G218&lt;2),"solo JP",IF(AND(F218&lt;2,G218=2),"solo Thais","-")))</f>
        <v/>
      </c>
      <c r="I218" s="14" t="n">
        <v>0</v>
      </c>
      <c r="J218" s="15" t="n">
        <v>0.2</v>
      </c>
      <c r="K218" s="13" t="inlineStr">
        <is>
          <t>no</t>
        </is>
      </c>
      <c r="L218" s="16" t="inlineStr">
        <is>
          <t>—</t>
        </is>
      </c>
      <c r="M218" s="11" t="inlineStr">
        <is>
          <t>—</t>
        </is>
      </c>
      <c r="N218" s="16" t="inlineStr">
        <is>
          <t>—</t>
        </is>
      </c>
      <c r="O218" s="16" t="inlineStr">
        <is>
          <t>—</t>
        </is>
      </c>
      <c r="P218" s="16" t="inlineStr">
        <is>
          <t>W 4 St (A,C,E,B,D,F,M)</t>
        </is>
      </c>
      <c r="Q218" s="16" t="inlineStr">
        <is>
          <t>diez casitas de 1848 en un callejón con portón de 1929, justo enfrente de la Jefferson Market Library que ya tienen agendada. E.E. Cummings vivió en el número 4 durante cuarenta años; Djuna Barnes, en el 5, del otro lado del callejón.</t>
        </is>
      </c>
      <c r="R218" s="16" t="inlineStr">
        <is>
          <t>Patchin Place, W 10th St</t>
        </is>
      </c>
      <c r="S218" s="16" t="inlineStr">
        <is>
          <t>—</t>
        </is>
      </c>
      <c r="T218" s="18" t="inlineStr">
        <is>
          <t>Abrir ↗</t>
        </is>
      </c>
      <c r="U218" s="21" t="inlineStr">
        <is>
          <t>otros</t>
        </is>
      </c>
      <c r="V218" s="20" t="inlineStr"/>
    </row>
    <row r="219" ht="46" customHeight="1">
      <c r="A219" s="9" t="inlineStr">
        <is>
          <t>Pomander Walk</t>
        </is>
      </c>
      <c r="B219" s="10" t="inlineStr">
        <is>
          <t>Casa y calle histórica</t>
        </is>
      </c>
      <c r="C219" s="11" t="inlineStr">
        <is>
          <t>Arquitectura</t>
        </is>
      </c>
      <c r="D219" s="11" t="inlineStr">
        <is>
          <t>Upper West Side</t>
        </is>
      </c>
      <c r="E219" s="11" t="inlineStr">
        <is>
          <t>Manhattan</t>
        </is>
      </c>
      <c r="F219" s="12" t="n">
        <v>1</v>
      </c>
      <c r="G219" s="12" t="n">
        <v>1</v>
      </c>
      <c r="H219" s="13">
        <f>IF(AND(F219=2,G219=2),"AMBOS",IF(AND(F219=2,G219&lt;2),"solo JP",IF(AND(F219&lt;2,G219=2),"solo Thais","-")))</f>
        <v/>
      </c>
      <c r="I219" s="14" t="n">
        <v>0</v>
      </c>
      <c r="J219" s="15" t="n">
        <v>0.2</v>
      </c>
      <c r="K219" s="13" t="inlineStr">
        <is>
          <t>no</t>
        </is>
      </c>
      <c r="L219" s="16" t="inlineStr">
        <is>
          <t>—</t>
        </is>
      </c>
      <c r="M219" s="11" t="inlineStr">
        <is>
          <t>—</t>
        </is>
      </c>
      <c r="N219" s="16" t="inlineStr">
        <is>
          <t>—</t>
        </is>
      </c>
      <c r="O219" s="16" t="inlineStr">
        <is>
          <t>—</t>
        </is>
      </c>
      <c r="P219" s="16" t="inlineStr">
        <is>
          <t>96 St (1,2,3)</t>
        </is>
      </c>
      <c r="Q219" s="16" t="inlineStr">
        <is>
          <t>27 casas Tudor de dos pisos con fachadas pastel y jardincitos, en un pasaje privado en el medio de la manzana.</t>
        </is>
      </c>
      <c r="R219" s="16" t="inlineStr">
        <is>
          <t>261 W 94th St</t>
        </is>
      </c>
      <c r="S219" s="16" t="inlineStr">
        <is>
          <t>—</t>
        </is>
      </c>
      <c r="T219" s="18" t="inlineStr">
        <is>
          <t>Abrir ↗</t>
        </is>
      </c>
      <c r="U219" s="21" t="inlineStr">
        <is>
          <t>otros</t>
        </is>
      </c>
      <c r="V219" s="20" t="inlineStr"/>
    </row>
    <row r="220" ht="46" customHeight="1">
      <c r="A220" s="9" t="inlineStr">
        <is>
          <t>Prince St</t>
        </is>
      </c>
      <c r="B220" s="10" t="inlineStr">
        <is>
          <t>Casa y calle histórica</t>
        </is>
      </c>
      <c r="C220" s="11" t="inlineStr">
        <is>
          <t>Arquitectura</t>
        </is>
      </c>
      <c r="D220" s="11" t="inlineStr">
        <is>
          <t>SoHo</t>
        </is>
      </c>
      <c r="E220" s="11" t="inlineStr">
        <is>
          <t>Manhattan</t>
        </is>
      </c>
      <c r="F220" s="12" t="n">
        <v>1</v>
      </c>
      <c r="G220" s="12" t="n">
        <v>1</v>
      </c>
      <c r="H220" s="13">
        <f>IF(AND(F220=2,G220=2),"AMBOS",IF(AND(F220=2,G220&lt;2),"solo JP",IF(AND(F220&lt;2,G220=2),"solo Thais","-")))</f>
        <v/>
      </c>
      <c r="I220" s="14" t="n">
        <v>0</v>
      </c>
      <c r="J220" s="15" t="n">
        <v>0.5</v>
      </c>
      <c r="K220" s="13" t="inlineStr">
        <is>
          <t>SÍ</t>
        </is>
      </c>
      <c r="L220" s="16" t="inlineStr">
        <is>
          <t>—</t>
        </is>
      </c>
      <c r="M220" s="11" t="inlineStr">
        <is>
          <t>—</t>
        </is>
      </c>
      <c r="N220" s="16" t="inlineStr">
        <is>
          <t>—</t>
        </is>
      </c>
      <c r="O220" s="16" t="inlineStr">
        <is>
          <t>—</t>
        </is>
      </c>
      <c r="P220" s="16" t="inlineStr">
        <is>
          <t>Prince St (N,R,W)</t>
        </is>
      </c>
      <c r="Q220" s="16" t="inlineStr">
        <is>
          <t>El eje comercial del SoHo, entre fachadas de hierro fundido y puestos de arte en la vereda.</t>
        </is>
      </c>
      <c r="R220" s="16" t="inlineStr"/>
      <c r="S220" s="16" t="inlineStr">
        <is>
          <t>—</t>
        </is>
      </c>
      <c r="T220" s="18" t="inlineStr">
        <is>
          <t>Abrir ↗</t>
        </is>
      </c>
      <c r="U220" s="19" t="inlineStr">
        <is>
          <t>lista google</t>
        </is>
      </c>
      <c r="V220" s="20" t="inlineStr"/>
    </row>
    <row r="221" ht="46" customHeight="1">
      <c r="A221" s="9" t="inlineStr">
        <is>
          <t>Roosevelt Island Lighthouse</t>
        </is>
      </c>
      <c r="B221" s="10" t="inlineStr">
        <is>
          <t>Casa y calle histórica</t>
        </is>
      </c>
      <c r="C221" s="11" t="inlineStr">
        <is>
          <t>Arquitectura</t>
        </is>
      </c>
      <c r="D221" s="11" t="inlineStr">
        <is>
          <t>Roosevelt Island</t>
        </is>
      </c>
      <c r="E221" s="11" t="inlineStr">
        <is>
          <t>Manhattan</t>
        </is>
      </c>
      <c r="F221" s="12" t="n">
        <v>2</v>
      </c>
      <c r="G221" s="12" t="n">
        <v>2</v>
      </c>
      <c r="H221" s="13">
        <f>IF(AND(F221=2,G221=2),"AMBOS",IF(AND(F221=2,G221&lt;2),"solo JP",IF(AND(F221&lt;2,G221=2),"solo Thais","-")))</f>
        <v/>
      </c>
      <c r="I221" s="14" t="n">
        <v>0</v>
      </c>
      <c r="J221" s="15" t="n">
        <v>0.4</v>
      </c>
      <c r="K221" s="13" t="inlineStr">
        <is>
          <t>no</t>
        </is>
      </c>
      <c r="L221" s="16" t="inlineStr">
        <is>
          <t>—</t>
        </is>
      </c>
      <c r="M221" s="11" t="inlineStr">
        <is>
          <t>—</t>
        </is>
      </c>
      <c r="N221" s="16" t="inlineStr">
        <is>
          <t>—</t>
        </is>
      </c>
      <c r="O221" s="16" t="inlineStr">
        <is>
          <t>—</t>
        </is>
      </c>
      <c r="P221" s="16" t="inlineStr">
        <is>
          <t>Teleférico o F a Roosevelt Island</t>
        </is>
      </c>
      <c r="Q221" s="16" t="inlineStr">
        <is>
          <t>Faro de 1872 en la punta NORTE de la isla (el FDR Park está en la sur): 20 minutos de caminata y casi nadie.</t>
        </is>
      </c>
      <c r="R221" s="16" t="inlineStr"/>
      <c r="S221" s="16" t="inlineStr">
        <is>
          <t>—</t>
        </is>
      </c>
      <c r="T221" s="18" t="inlineStr">
        <is>
          <t>Abrir ↗</t>
        </is>
      </c>
      <c r="U221" s="19" t="inlineStr">
        <is>
          <t>lista google</t>
        </is>
      </c>
      <c r="V221" s="20" t="inlineStr"/>
    </row>
    <row r="222" ht="46" customHeight="1">
      <c r="A222" s="9" t="inlineStr">
        <is>
          <t>Smallpox Memorial Hospital</t>
        </is>
      </c>
      <c r="B222" s="10" t="inlineStr">
        <is>
          <t>Casa y calle histórica</t>
        </is>
      </c>
      <c r="C222" s="11" t="inlineStr">
        <is>
          <t>Arquitectura</t>
        </is>
      </c>
      <c r="D222" s="11" t="inlineStr">
        <is>
          <t>Roosevelt Island</t>
        </is>
      </c>
      <c r="E222" s="11" t="inlineStr">
        <is>
          <t>Manhattan</t>
        </is>
      </c>
      <c r="F222" s="12" t="n">
        <v>1</v>
      </c>
      <c r="G222" s="12" t="n">
        <v>1</v>
      </c>
      <c r="H222" s="13">
        <f>IF(AND(F222=2,G222=2),"AMBOS",IF(AND(F222=2,G222&lt;2),"solo JP",IF(AND(F222&lt;2,G222=2),"solo Thais","-")))</f>
        <v/>
      </c>
      <c r="I222" s="14" t="n">
        <v>0</v>
      </c>
      <c r="J222" s="15" t="n">
        <v>0.3</v>
      </c>
      <c r="K222" s="13" t="inlineStr">
        <is>
          <t>no</t>
        </is>
      </c>
      <c r="L222" s="16" t="inlineStr">
        <is>
          <t>—</t>
        </is>
      </c>
      <c r="M222" s="11" t="inlineStr">
        <is>
          <t>—</t>
        </is>
      </c>
      <c r="N222" s="16" t="inlineStr">
        <is>
          <t>—</t>
        </is>
      </c>
      <c r="O222" s="16" t="inlineStr">
        <is>
          <t>—</t>
        </is>
      </c>
      <c r="P222" s="16" t="inlineStr">
        <is>
          <t>Teleférico o F a Roosevelt Island</t>
        </is>
      </c>
      <c r="Q222" s="16" t="inlineStr">
        <is>
          <t>La única ruina oficialmente protegida de NY: hospital gótico de 1856, iluminado de noche. Se pasa camino al FDR Park.</t>
        </is>
      </c>
      <c r="R222" s="16" t="inlineStr"/>
      <c r="S222" s="16" t="inlineStr">
        <is>
          <t>—</t>
        </is>
      </c>
      <c r="T222" s="18" t="inlineStr">
        <is>
          <t>Abrir ↗</t>
        </is>
      </c>
      <c r="U222" s="19" t="inlineStr">
        <is>
          <t>lista google</t>
        </is>
      </c>
      <c r="V222" s="20" t="inlineStr"/>
    </row>
    <row r="223" ht="46" customHeight="1">
      <c r="A223" s="9" t="inlineStr">
        <is>
          <t>Sniffen Court</t>
        </is>
      </c>
      <c r="B223" s="10" t="inlineStr">
        <is>
          <t>Casa y calle histórica</t>
        </is>
      </c>
      <c r="C223" s="11" t="inlineStr">
        <is>
          <t>Arquitectura</t>
        </is>
      </c>
      <c r="D223" s="11" t="inlineStr">
        <is>
          <t>Murray Hill</t>
        </is>
      </c>
      <c r="E223" s="11" t="inlineStr">
        <is>
          <t>Manhattan</t>
        </is>
      </c>
      <c r="F223" s="12" t="n">
        <v>1</v>
      </c>
      <c r="G223" s="12" t="n">
        <v>1</v>
      </c>
      <c r="H223" s="13">
        <f>IF(AND(F223=2,G223=2),"AMBOS",IF(AND(F223=2,G223&lt;2),"solo JP",IF(AND(F223&lt;2,G223=2),"solo Thais","-")))</f>
        <v/>
      </c>
      <c r="I223" s="14" t="n">
        <v>0</v>
      </c>
      <c r="J223" s="15" t="n">
        <v>0.2</v>
      </c>
      <c r="K223" s="13" t="inlineStr">
        <is>
          <t>no</t>
        </is>
      </c>
      <c r="L223" s="16" t="inlineStr">
        <is>
          <t>—</t>
        </is>
      </c>
      <c r="M223" s="11" t="inlineStr">
        <is>
          <t>—</t>
        </is>
      </c>
      <c r="N223" s="16" t="inlineStr">
        <is>
          <t>—</t>
        </is>
      </c>
      <c r="O223" s="16" t="inlineStr">
        <is>
          <t>—</t>
        </is>
      </c>
      <c r="P223" s="16" t="inlineStr">
        <is>
          <t>33 St (6)</t>
        </is>
      </c>
      <c r="Q223" s="16" t="inlineStr">
        <is>
          <t>diez caballerizas de ladrillo de 1863-64, construidas por John Sniffen y convertidas en casas en los años 20. Es el callejón privado más intacto de Manhattan y no se ve desde ningún lado salvo parado justo enfrente.</t>
        </is>
      </c>
      <c r="R223" s="16" t="inlineStr">
        <is>
          <t>150 E 36th St</t>
        </is>
      </c>
      <c r="S223" s="16" t="inlineStr">
        <is>
          <t>—</t>
        </is>
      </c>
      <c r="T223" s="18" t="inlineStr">
        <is>
          <t>Abrir ↗</t>
        </is>
      </c>
      <c r="U223" s="21" t="inlineStr">
        <is>
          <t>otros</t>
        </is>
      </c>
      <c r="V223" s="20" t="inlineStr"/>
    </row>
    <row r="224" ht="46" customHeight="1">
      <c r="A224" s="9" t="inlineStr">
        <is>
          <t>Stone St</t>
        </is>
      </c>
      <c r="B224" s="10" t="inlineStr">
        <is>
          <t>Casa y calle histórica</t>
        </is>
      </c>
      <c r="C224" s="11" t="inlineStr">
        <is>
          <t>Arquitectura</t>
        </is>
      </c>
      <c r="D224" s="11" t="inlineStr">
        <is>
          <t>Financial District</t>
        </is>
      </c>
      <c r="E224" s="11" t="inlineStr">
        <is>
          <t>Manhattan</t>
        </is>
      </c>
      <c r="F224" s="12" t="n">
        <v>2</v>
      </c>
      <c r="G224" s="12" t="n">
        <v>1</v>
      </c>
      <c r="H224" s="13">
        <f>IF(AND(F224=2,G224=2),"AMBOS",IF(AND(F224=2,G224&lt;2),"solo JP",IF(AND(F224&lt;2,G224=2),"solo Thais","-")))</f>
        <v/>
      </c>
      <c r="I224" s="14" t="n">
        <v>0</v>
      </c>
      <c r="J224" s="15" t="n">
        <v>0.5</v>
      </c>
      <c r="K224" s="13" t="inlineStr">
        <is>
          <t>no</t>
        </is>
      </c>
      <c r="L224" s="16" t="inlineStr">
        <is>
          <t>—</t>
        </is>
      </c>
      <c r="M224" s="11" t="inlineStr">
        <is>
          <t>—</t>
        </is>
      </c>
      <c r="N224" s="16" t="inlineStr">
        <is>
          <t>—</t>
        </is>
      </c>
      <c r="O224" s="16" t="inlineStr">
        <is>
          <t>—</t>
        </is>
      </c>
      <c r="P224" s="16" t="inlineStr">
        <is>
          <t>Broad St (J,Z)</t>
        </is>
      </c>
      <c r="Q224" s="16" t="inlineStr">
        <is>
          <t>Calle adoquinada peatonal, con las mesas de los bares afuera. De 5 a 8 PM es el after office más lindo de FiDi.</t>
        </is>
      </c>
      <c r="R224" s="16" t="inlineStr"/>
      <c r="S224" s="17" t="inlineStr">
        <is>
          <t>Día 6 · jue 3/9</t>
        </is>
      </c>
      <c r="T224" s="18" t="inlineStr">
        <is>
          <t>Abrir ↗</t>
        </is>
      </c>
      <c r="U224" s="19" t="inlineStr">
        <is>
          <t>lista google</t>
        </is>
      </c>
      <c r="V224" s="20" t="inlineStr">
        <is>
          <t>SÍ</t>
        </is>
      </c>
    </row>
    <row r="225" ht="46" customHeight="1">
      <c r="A225" s="9" t="inlineStr">
        <is>
          <t>Stonewall National Monument</t>
        </is>
      </c>
      <c r="B225" s="10" t="inlineStr">
        <is>
          <t>Casa y calle histórica</t>
        </is>
      </c>
      <c r="C225" s="11" t="inlineStr">
        <is>
          <t>Arquitectura</t>
        </is>
      </c>
      <c r="D225" s="11" t="inlineStr">
        <is>
          <t>West Village</t>
        </is>
      </c>
      <c r="E225" s="11" t="inlineStr">
        <is>
          <t>Manhattan</t>
        </is>
      </c>
      <c r="F225" s="12" t="n">
        <v>1</v>
      </c>
      <c r="G225" s="12" t="n">
        <v>1</v>
      </c>
      <c r="H225" s="13">
        <f>IF(AND(F225=2,G225=2),"AMBOS",IF(AND(F225=2,G225&lt;2),"solo JP",IF(AND(F225&lt;2,G225=2),"solo Thais","-")))</f>
        <v/>
      </c>
      <c r="I225" s="14" t="n">
        <v>0</v>
      </c>
      <c r="J225" s="15" t="n">
        <v>0.4</v>
      </c>
      <c r="K225" s="13" t="inlineStr">
        <is>
          <t>no</t>
        </is>
      </c>
      <c r="L225" s="16" t="inlineStr">
        <is>
          <t>—</t>
        </is>
      </c>
      <c r="M225" s="11" t="inlineStr">
        <is>
          <t>—</t>
        </is>
      </c>
      <c r="N225" s="16" t="inlineStr">
        <is>
          <t>—</t>
        </is>
      </c>
      <c r="O225" s="16" t="inlineStr">
        <is>
          <t>—</t>
        </is>
      </c>
      <c r="P225" s="16" t="inlineStr">
        <is>
          <t>Christopher St (1)</t>
        </is>
      </c>
      <c r="Q225" s="16" t="inlineStr">
        <is>
          <t>Donde arranco todo en 1969. Primer monumento nacional de EE.UU. dedicado a los derechos LGBT; el bar sigue funcionando al lado.</t>
        </is>
      </c>
      <c r="R225" s="16" t="inlineStr">
        <is>
          <t>53 Christopher St</t>
        </is>
      </c>
      <c r="S225" s="16" t="inlineStr">
        <is>
          <t>—</t>
        </is>
      </c>
      <c r="T225" s="18" t="inlineStr">
        <is>
          <t>Abrir ↗</t>
        </is>
      </c>
      <c r="U225" s="21" t="inlineStr">
        <is>
          <t>otros</t>
        </is>
      </c>
      <c r="V225" s="20" t="inlineStr"/>
    </row>
    <row r="226" ht="46" customHeight="1">
      <c r="A226" s="9" t="inlineStr">
        <is>
          <t>Strivers' Row</t>
        </is>
      </c>
      <c r="B226" s="10" t="inlineStr">
        <is>
          <t>Casa y calle histórica</t>
        </is>
      </c>
      <c r="C226" s="11" t="inlineStr">
        <is>
          <t>Arquitectura</t>
        </is>
      </c>
      <c r="D226" s="11" t="inlineStr">
        <is>
          <t>Harlem</t>
        </is>
      </c>
      <c r="E226" s="11" t="inlineStr">
        <is>
          <t>Manhattan</t>
        </is>
      </c>
      <c r="F226" s="12" t="n">
        <v>0</v>
      </c>
      <c r="G226" s="12" t="n">
        <v>0</v>
      </c>
      <c r="H226" s="13">
        <f>IF(AND(F226=2,G226=2),"AMBOS",IF(AND(F226=2,G226&lt;2),"solo JP",IF(AND(F226&lt;2,G226=2),"solo Thais","-")))</f>
        <v/>
      </c>
      <c r="I226" s="14" t="n">
        <v>0</v>
      </c>
      <c r="J226" s="15" t="n">
        <v>0.5</v>
      </c>
      <c r="K226" s="13" t="inlineStr">
        <is>
          <t>no</t>
        </is>
      </c>
      <c r="L226" s="16" t="inlineStr">
        <is>
          <t>—</t>
        </is>
      </c>
      <c r="M226" s="11" t="inlineStr">
        <is>
          <t>—</t>
        </is>
      </c>
      <c r="N226" s="16" t="inlineStr">
        <is>
          <t>—</t>
        </is>
      </c>
      <c r="O226" s="16" t="inlineStr">
        <is>
          <t>—</t>
        </is>
      </c>
      <c r="P226" s="16" t="inlineStr">
        <is>
          <t>135 St (B,C)</t>
        </is>
      </c>
      <c r="Q226" s="16" t="inlineStr">
        <is>
          <t>Dos cuadras de casas de 1891 disenadas por tres estudios distintos, con callejones traseros para caballos. Es la mejor arquitectura residencial de Manhattan y no hay nadie mirandola.</t>
        </is>
      </c>
      <c r="R226" s="16" t="inlineStr">
        <is>
          <t>W 138th-139th St entre Adam Clayton Powell y Frederick Douglass</t>
        </is>
      </c>
      <c r="S226" s="16" t="inlineStr">
        <is>
          <t>—</t>
        </is>
      </c>
      <c r="T226" s="18" t="inlineStr">
        <is>
          <t>Abrir ↗</t>
        </is>
      </c>
      <c r="U226" s="21" t="inlineStr">
        <is>
          <t>otros</t>
        </is>
      </c>
      <c r="V226" s="20" t="inlineStr"/>
    </row>
    <row r="227" ht="46" customHeight="1">
      <c r="A227" s="9" t="inlineStr">
        <is>
          <t>The Girl Puzzle (Nellie Bly)</t>
        </is>
      </c>
      <c r="B227" s="10" t="inlineStr">
        <is>
          <t>Casa y calle histórica</t>
        </is>
      </c>
      <c r="C227" s="11" t="inlineStr">
        <is>
          <t>Arquitectura</t>
        </is>
      </c>
      <c r="D227" s="11" t="inlineStr">
        <is>
          <t>Roosevelt Island</t>
        </is>
      </c>
      <c r="E227" s="11" t="inlineStr">
        <is>
          <t>Manhattan</t>
        </is>
      </c>
      <c r="F227" s="12" t="n">
        <v>1</v>
      </c>
      <c r="G227" s="12" t="n">
        <v>1</v>
      </c>
      <c r="H227" s="13">
        <f>IF(AND(F227=2,G227=2),"AMBOS",IF(AND(F227=2,G227&lt;2),"solo JP",IF(AND(F227&lt;2,G227=2),"solo Thais","-")))</f>
        <v/>
      </c>
      <c r="I227" s="14" t="n">
        <v>0</v>
      </c>
      <c r="J227" s="15" t="n">
        <v>0.4</v>
      </c>
      <c r="K227" s="13" t="inlineStr">
        <is>
          <t>no</t>
        </is>
      </c>
      <c r="L227" s="16" t="inlineStr">
        <is>
          <t>—</t>
        </is>
      </c>
      <c r="M227" s="11" t="inlineStr">
        <is>
          <t>—</t>
        </is>
      </c>
      <c r="N227" s="16" t="inlineStr">
        <is>
          <t>—</t>
        </is>
      </c>
      <c r="O227" s="16" t="inlineStr">
        <is>
          <t>—</t>
        </is>
      </c>
      <c r="P227" s="16" t="inlineStr">
        <is>
          <t>Roosevelt Island (F) + Red Bus</t>
        </is>
      </c>
      <c r="Q227" s="16" t="inlineStr">
        <is>
          <t>cinco caras de bronce de tres metros, de Amanda Matthews, inauguradas en diciembre de 2021 — algunas partidas en pedazos, otras con las grietas reparadas a la vista.</t>
        </is>
      </c>
      <c r="R227" s="16" t="inlineStr">
        <is>
          <t>Lighthouse Park, Roosevelt Island</t>
        </is>
      </c>
      <c r="S227" s="16" t="inlineStr">
        <is>
          <t>—</t>
        </is>
      </c>
      <c r="T227" s="18" t="inlineStr">
        <is>
          <t>Abrir ↗</t>
        </is>
      </c>
      <c r="U227" s="21" t="inlineStr">
        <is>
          <t>otros</t>
        </is>
      </c>
      <c r="V227" s="20" t="inlineStr"/>
    </row>
    <row r="228" ht="46" customHeight="1">
      <c r="A228" s="9" t="inlineStr">
        <is>
          <t>The Octagon</t>
        </is>
      </c>
      <c r="B228" s="10" t="inlineStr">
        <is>
          <t>Casa y calle histórica</t>
        </is>
      </c>
      <c r="C228" s="11" t="inlineStr">
        <is>
          <t>Arquitectura</t>
        </is>
      </c>
      <c r="D228" s="11" t="inlineStr">
        <is>
          <t>Roosevelt Island</t>
        </is>
      </c>
      <c r="E228" s="11" t="inlineStr">
        <is>
          <t>Manhattan</t>
        </is>
      </c>
      <c r="F228" s="12" t="n">
        <v>1</v>
      </c>
      <c r="G228" s="12" t="n">
        <v>1</v>
      </c>
      <c r="H228" s="13">
        <f>IF(AND(F228=2,G228=2),"AMBOS",IF(AND(F228=2,G228&lt;2),"solo JP",IF(AND(F228&lt;2,G228=2),"solo Thais","-")))</f>
        <v/>
      </c>
      <c r="I228" s="14" t="n">
        <v>0</v>
      </c>
      <c r="J228" s="15" t="n">
        <v>0.3</v>
      </c>
      <c r="K228" s="13" t="inlineStr">
        <is>
          <t>no</t>
        </is>
      </c>
      <c r="L228" s="16" t="inlineStr">
        <is>
          <t>—</t>
        </is>
      </c>
      <c r="M228" s="11" t="inlineStr">
        <is>
          <t>—</t>
        </is>
      </c>
      <c r="N228" s="16" t="inlineStr">
        <is>
          <t>—</t>
        </is>
      </c>
      <c r="O228" s="16" t="inlineStr">
        <is>
          <t>—</t>
        </is>
      </c>
      <c r="P228" s="16" t="inlineStr">
        <is>
          <t>Roosevelt Island (F)</t>
        </is>
      </c>
      <c r="Q228" s="16" t="inlineStr">
        <is>
          <t>es la entrada original del New York City Lunatic Asylum, de Alexander Jackson Davis, inaugurado en 1841 — el manicomio que Nellie Bly denunció.</t>
        </is>
      </c>
      <c r="R228" s="16" t="inlineStr">
        <is>
          <t>888 Main St, Roosevelt Island</t>
        </is>
      </c>
      <c r="S228" s="16" t="inlineStr">
        <is>
          <t>—</t>
        </is>
      </c>
      <c r="T228" s="18" t="inlineStr">
        <is>
          <t>Abrir ↗</t>
        </is>
      </c>
      <c r="U228" s="21" t="inlineStr">
        <is>
          <t>otros</t>
        </is>
      </c>
      <c r="V228" s="20" t="inlineStr"/>
    </row>
    <row r="229" ht="46" customHeight="1">
      <c r="A229" s="9" t="inlineStr">
        <is>
          <t>Vander Ende-Onderdonk House</t>
        </is>
      </c>
      <c r="B229" s="10" t="inlineStr">
        <is>
          <t>Casa y calle histórica</t>
        </is>
      </c>
      <c r="C229" s="11" t="inlineStr">
        <is>
          <t>Arquitectura</t>
        </is>
      </c>
      <c r="D229" s="11" t="inlineStr">
        <is>
          <t>Ridgewood</t>
        </is>
      </c>
      <c r="E229" s="11" t="inlineStr">
        <is>
          <t>Queens</t>
        </is>
      </c>
      <c r="F229" s="12" t="n">
        <v>0</v>
      </c>
      <c r="G229" s="12" t="n">
        <v>0</v>
      </c>
      <c r="H229" s="13">
        <f>IF(AND(F229=2,G229=2),"AMBOS",IF(AND(F229=2,G229&lt;2),"solo JP",IF(AND(F229&lt;2,G229=2),"solo Thais","-")))</f>
        <v/>
      </c>
      <c r="I229" s="14" t="n">
        <v>5</v>
      </c>
      <c r="J229" s="15" t="n">
        <v>0.75</v>
      </c>
      <c r="K229" s="13" t="inlineStr">
        <is>
          <t>no</t>
        </is>
      </c>
      <c r="L229" s="16" t="inlineStr">
        <is>
          <t>—</t>
        </is>
      </c>
      <c r="M229" s="11" t="inlineStr">
        <is>
          <t>—</t>
        </is>
      </c>
      <c r="N229" s="16" t="inlineStr">
        <is>
          <t>—</t>
        </is>
      </c>
      <c r="O229" s="16" t="inlineStr">
        <is>
          <t>—</t>
        </is>
      </c>
      <c r="P229" s="16" t="inlineStr">
        <is>
          <t>Jefferson St (L)</t>
        </is>
      </c>
      <c r="Q229" s="16" t="inlineStr">
        <is>
          <t>Casa de piedra holandesa de 1709, la construccion mas antigua de la ciudad, rodeada de galpones industriales. El contraste es todo el punto.</t>
        </is>
      </c>
      <c r="R229" s="16" t="inlineStr">
        <is>
          <t>1820 Flushing Ave, Ridgewood</t>
        </is>
      </c>
      <c r="S229" s="16" t="inlineStr">
        <is>
          <t>—</t>
        </is>
      </c>
      <c r="T229" s="18" t="inlineStr">
        <is>
          <t>Abrir ↗</t>
        </is>
      </c>
      <c r="U229" s="21" t="inlineStr">
        <is>
          <t>otros</t>
        </is>
      </c>
      <c r="V229" s="20" t="inlineStr"/>
    </row>
    <row r="230" ht="46" customHeight="1">
      <c r="A230" s="9" t="inlineStr">
        <is>
          <t>Wall St</t>
        </is>
      </c>
      <c r="B230" s="10" t="inlineStr">
        <is>
          <t>Casa y calle histórica</t>
        </is>
      </c>
      <c r="C230" s="11" t="inlineStr">
        <is>
          <t>Arquitectura</t>
        </is>
      </c>
      <c r="D230" s="11" t="inlineStr">
        <is>
          <t>Financial District</t>
        </is>
      </c>
      <c r="E230" s="11" t="inlineStr">
        <is>
          <t>Manhattan</t>
        </is>
      </c>
      <c r="F230" s="12" t="n">
        <v>2</v>
      </c>
      <c r="G230" s="12" t="n">
        <v>1</v>
      </c>
      <c r="H230" s="13">
        <f>IF(AND(F230=2,G230=2),"AMBOS",IF(AND(F230=2,G230&lt;2),"solo JP",IF(AND(F230&lt;2,G230=2),"solo Thais","-")))</f>
        <v/>
      </c>
      <c r="I230" s="14" t="n">
        <v>0</v>
      </c>
      <c r="J230" s="15" t="n">
        <v>0.4</v>
      </c>
      <c r="K230" s="13" t="inlineStr">
        <is>
          <t>SÍ</t>
        </is>
      </c>
      <c r="L230" s="16" t="inlineStr">
        <is>
          <t>—</t>
        </is>
      </c>
      <c r="M230" s="11" t="inlineStr">
        <is>
          <t>—</t>
        </is>
      </c>
      <c r="N230" s="16" t="inlineStr">
        <is>
          <t>—</t>
        </is>
      </c>
      <c r="O230" s="16" t="inlineStr">
        <is>
          <t>—</t>
        </is>
      </c>
      <c r="P230" s="16" t="inlineStr">
        <is>
          <t>Wall St (4,5)</t>
        </is>
      </c>
      <c r="Q230" s="16" t="inlineStr">
        <is>
          <t>El cañón de piedra: la Bolsa, Federal Hall y Trinity al fondo. Se ve en veinte minutos.</t>
        </is>
      </c>
      <c r="R230" s="16" t="inlineStr"/>
      <c r="S230" s="16" t="inlineStr">
        <is>
          <t>—</t>
        </is>
      </c>
      <c r="T230" s="18" t="inlineStr">
        <is>
          <t>Abrir ↗</t>
        </is>
      </c>
      <c r="U230" s="19" t="inlineStr">
        <is>
          <t>lista google</t>
        </is>
      </c>
      <c r="V230" s="20" t="inlineStr"/>
    </row>
    <row r="231" ht="46" customHeight="1">
      <c r="A231" s="9" t="inlineStr">
        <is>
          <t>Washington Mews</t>
        </is>
      </c>
      <c r="B231" s="10" t="inlineStr">
        <is>
          <t>Casa y calle histórica</t>
        </is>
      </c>
      <c r="C231" s="11" t="inlineStr">
        <is>
          <t>Arquitectura</t>
        </is>
      </c>
      <c r="D231" s="11" t="inlineStr">
        <is>
          <t>Greenwich Village</t>
        </is>
      </c>
      <c r="E231" s="11" t="inlineStr">
        <is>
          <t>Manhattan</t>
        </is>
      </c>
      <c r="F231" s="12" t="n">
        <v>1</v>
      </c>
      <c r="G231" s="12" t="n">
        <v>1</v>
      </c>
      <c r="H231" s="13">
        <f>IF(AND(F231=2,G231=2),"AMBOS",IF(AND(F231=2,G231&lt;2),"solo JP",IF(AND(F231&lt;2,G231=2),"solo Thais","-")))</f>
        <v/>
      </c>
      <c r="I231" s="14" t="n">
        <v>0</v>
      </c>
      <c r="J231" s="15" t="n">
        <v>0.2</v>
      </c>
      <c r="K231" s="13" t="inlineStr">
        <is>
          <t>no</t>
        </is>
      </c>
      <c r="L231" s="16" t="inlineStr">
        <is>
          <t>—</t>
        </is>
      </c>
      <c r="M231" s="11" t="inlineStr">
        <is>
          <t>—</t>
        </is>
      </c>
      <c r="N231" s="16" t="inlineStr">
        <is>
          <t>—</t>
        </is>
      </c>
      <c r="O231" s="16" t="inlineStr">
        <is>
          <t>—</t>
        </is>
      </c>
      <c r="P231" s="16" t="inlineStr">
        <is>
          <t>8 St-NYU (N,R,W)</t>
        </is>
      </c>
      <c r="Q231" s="16" t="inlineStr">
        <is>
          <t>Callejon adoquinado de caballerizas reconvertidas, cerrado al transito. Dos minutos de desvio desde Washington Square.</t>
        </is>
      </c>
      <c r="R231" s="16" t="inlineStr">
        <is>
          <t>Washington Mews, entre 5th Ave y University Pl</t>
        </is>
      </c>
      <c r="S231" s="16" t="inlineStr">
        <is>
          <t>—</t>
        </is>
      </c>
      <c r="T231" s="18" t="inlineStr">
        <is>
          <t>Abrir ↗</t>
        </is>
      </c>
      <c r="U231" s="21" t="inlineStr">
        <is>
          <t>otros</t>
        </is>
      </c>
      <c r="V231" s="20" t="inlineStr"/>
    </row>
    <row r="232" ht="46" customHeight="1">
      <c r="A232" s="9" t="inlineStr">
        <is>
          <t>Washington St (la foto de DUMBO)</t>
        </is>
      </c>
      <c r="B232" s="10" t="inlineStr">
        <is>
          <t>Casa y calle histórica</t>
        </is>
      </c>
      <c r="C232" s="11" t="inlineStr">
        <is>
          <t>Arquitectura</t>
        </is>
      </c>
      <c r="D232" s="11" t="inlineStr">
        <is>
          <t>DUMBO</t>
        </is>
      </c>
      <c r="E232" s="11" t="inlineStr">
        <is>
          <t>Brooklyn</t>
        </is>
      </c>
      <c r="F232" s="12" t="n">
        <v>1</v>
      </c>
      <c r="G232" s="12" t="n">
        <v>1</v>
      </c>
      <c r="H232" s="13">
        <f>IF(AND(F232=2,G232=2),"AMBOS",IF(AND(F232=2,G232&lt;2),"solo JP",IF(AND(F232&lt;2,G232=2),"solo Thais","-")))</f>
        <v/>
      </c>
      <c r="I232" s="14" t="n">
        <v>0</v>
      </c>
      <c r="J232" s="15" t="n">
        <v>0.25</v>
      </c>
      <c r="K232" s="13" t="inlineStr">
        <is>
          <t>SÍ</t>
        </is>
      </c>
      <c r="L232" s="16" t="inlineStr">
        <is>
          <t>—</t>
        </is>
      </c>
      <c r="M232" s="11" t="inlineStr">
        <is>
          <t>—</t>
        </is>
      </c>
      <c r="N232" s="16" t="inlineStr">
        <is>
          <t>—</t>
        </is>
      </c>
      <c r="O232" s="16" t="inlineStr">
        <is>
          <t>—</t>
        </is>
      </c>
      <c r="P232" s="16" t="inlineStr">
        <is>
          <t>High St (A,C), York St (F)</t>
        </is>
      </c>
      <c r="Q232" s="16" t="inlineStr">
        <is>
          <t>El encuadre exacto del puente de Manhattan entre los edificios. Llegar temprano o hay cola para la foto.</t>
        </is>
      </c>
      <c r="R232" s="16" t="inlineStr">
        <is>
          <t>Washington St &amp; Water St</t>
        </is>
      </c>
      <c r="S232" s="16" t="inlineStr">
        <is>
          <t>—</t>
        </is>
      </c>
      <c r="T232" s="18" t="inlineStr">
        <is>
          <t>Abrir ↗</t>
        </is>
      </c>
      <c r="U232" s="19" t="inlineStr">
        <is>
          <t>lista google</t>
        </is>
      </c>
      <c r="V232" s="20" t="inlineStr"/>
    </row>
    <row r="233" ht="46" customHeight="1">
      <c r="A233" s="9" t="inlineStr">
        <is>
          <t>Westbeth Artists Housing</t>
        </is>
      </c>
      <c r="B233" s="10" t="inlineStr">
        <is>
          <t>Casa y calle histórica</t>
        </is>
      </c>
      <c r="C233" s="11" t="inlineStr">
        <is>
          <t>Arquitectura</t>
        </is>
      </c>
      <c r="D233" s="11" t="inlineStr">
        <is>
          <t>West Village</t>
        </is>
      </c>
      <c r="E233" s="11" t="inlineStr">
        <is>
          <t>Manhattan</t>
        </is>
      </c>
      <c r="F233" s="12" t="n">
        <v>1</v>
      </c>
      <c r="G233" s="12" t="n">
        <v>1</v>
      </c>
      <c r="H233" s="13">
        <f>IF(AND(F233=2,G233=2),"AMBOS",IF(AND(F233=2,G233&lt;2),"solo JP",IF(AND(F233&lt;2,G233=2),"solo Thais","-")))</f>
        <v/>
      </c>
      <c r="I233" s="14" t="n">
        <v>0</v>
      </c>
      <c r="J233" s="15" t="n">
        <v>0.4</v>
      </c>
      <c r="K233" s="13" t="inlineStr">
        <is>
          <t>no</t>
        </is>
      </c>
      <c r="L233" s="16" t="inlineStr">
        <is>
          <t>—</t>
        </is>
      </c>
      <c r="M233" s="11" t="inlineStr">
        <is>
          <t>—</t>
        </is>
      </c>
      <c r="N233" s="16" t="inlineStr">
        <is>
          <t>—</t>
        </is>
      </c>
      <c r="O233" s="16" t="inlineStr">
        <is>
          <t>—</t>
        </is>
      </c>
      <c r="P233" s="16" t="inlineStr">
        <is>
          <t>14 St (A,C,E), 8 Av (L)</t>
        </is>
      </c>
      <c r="Q233" s="16" t="inlineStr">
        <is>
          <t>acá estaban los Bell Labs. En este edificio se inventó el transistor, se hizo la primera transmisión de televisión y Claude Shannon escribió la teoría de la información.</t>
        </is>
      </c>
      <c r="R233" s="16" t="inlineStr">
        <is>
          <t>55 Bethune St</t>
        </is>
      </c>
      <c r="S233" s="16" t="inlineStr">
        <is>
          <t>—</t>
        </is>
      </c>
      <c r="T233" s="18" t="inlineStr">
        <is>
          <t>Abrir ↗</t>
        </is>
      </c>
      <c r="U233" s="21" t="inlineStr">
        <is>
          <t>otros</t>
        </is>
      </c>
      <c r="V233" s="20" t="inlineStr"/>
    </row>
    <row r="234" ht="46" customHeight="1">
      <c r="A234" s="9" t="inlineStr">
        <is>
          <t>Ford Foundation Atrium</t>
        </is>
      </c>
      <c r="B234" s="10" t="inlineStr">
        <is>
          <t>Interior monumental</t>
        </is>
      </c>
      <c r="C234" s="11" t="inlineStr">
        <is>
          <t>Arquitectura</t>
        </is>
      </c>
      <c r="D234" s="11" t="inlineStr">
        <is>
          <t>Midtown East</t>
        </is>
      </c>
      <c r="E234" s="11" t="inlineStr">
        <is>
          <t>Manhattan</t>
        </is>
      </c>
      <c r="F234" s="12" t="n">
        <v>2</v>
      </c>
      <c r="G234" s="12" t="n">
        <v>2</v>
      </c>
      <c r="H234" s="13">
        <f>IF(AND(F234=2,G234=2),"AMBOS",IF(AND(F234=2,G234&lt;2),"solo JP",IF(AND(F234&lt;2,G234=2),"solo Thais","-")))</f>
        <v/>
      </c>
      <c r="I234" s="14" t="n">
        <v>0</v>
      </c>
      <c r="J234" s="15" t="n">
        <v>0.75</v>
      </c>
      <c r="K234" s="13" t="inlineStr">
        <is>
          <t>no</t>
        </is>
      </c>
      <c r="L234" s="16" t="inlineStr">
        <is>
          <t>lunes a viernes: 11:00–18:00 · sábado a domingo: cerrado</t>
        </is>
      </c>
      <c r="M234" s="11" t="inlineStr">
        <is>
          <t>fines de semana. CIERRA el 5, 6, 7 y 9 de septiembre; cierra temprano el 4</t>
        </is>
      </c>
      <c r="N234" s="16" t="inlineStr">
        <is>
          <t>—</t>
        </is>
      </c>
      <c r="O234" s="16" t="inlineStr">
        <is>
          <t>preinscripcion obligatoria</t>
        </is>
      </c>
      <c r="P234" s="16" t="inlineStr">
        <is>
          <t>Grand Central-42 St</t>
        </is>
      </c>
      <c r="Q234" s="16" t="inlineStr">
        <is>
          <t>Atrio-jardin de 12 pisos de altura de Kevin Roche (1967), con ~40 especies de arboles y espejo de agua, dentro de un edificio de oficinas. En este viaje solo se puede entrar del 31 de agosto al 3 de septiembre.</t>
        </is>
      </c>
      <c r="R234" s="16" t="inlineStr">
        <is>
          <t>320 E 43rd St</t>
        </is>
      </c>
      <c r="S234" s="17" t="inlineStr">
        <is>
          <t>Día 3 · lun 31/8</t>
        </is>
      </c>
      <c r="T234" s="18" t="inlineStr">
        <is>
          <t>Abrir ↗</t>
        </is>
      </c>
      <c r="U234" s="19" t="inlineStr">
        <is>
          <t>lista google</t>
        </is>
      </c>
      <c r="V234" s="20" t="inlineStr">
        <is>
          <t>SÍ</t>
        </is>
      </c>
    </row>
    <row r="235" ht="46" customHeight="1">
      <c r="A235" s="9" t="inlineStr">
        <is>
          <t>Globo del Daily News Building</t>
        </is>
      </c>
      <c r="B235" s="10" t="inlineStr">
        <is>
          <t>Interior monumental</t>
        </is>
      </c>
      <c r="C235" s="11" t="inlineStr">
        <is>
          <t>Arquitectura</t>
        </is>
      </c>
      <c r="D235" s="11" t="inlineStr">
        <is>
          <t>Midtown East</t>
        </is>
      </c>
      <c r="E235" s="11" t="inlineStr">
        <is>
          <t>Manhattan</t>
        </is>
      </c>
      <c r="F235" s="12" t="n">
        <v>1</v>
      </c>
      <c r="G235" s="12" t="n">
        <v>1</v>
      </c>
      <c r="H235" s="13">
        <f>IF(AND(F235=2,G235=2),"AMBOS",IF(AND(F235=2,G235&lt;2),"solo JP",IF(AND(F235&lt;2,G235=2),"solo Thais","-")))</f>
        <v/>
      </c>
      <c r="I235" s="14" t="n">
        <v>0</v>
      </c>
      <c r="J235" s="15" t="n">
        <v>0.2</v>
      </c>
      <c r="K235" s="13" t="inlineStr">
        <is>
          <t>no</t>
        </is>
      </c>
      <c r="L235" s="16" t="inlineStr">
        <is>
          <t>—</t>
        </is>
      </c>
      <c r="M235" s="11" t="inlineStr">
        <is>
          <t>—</t>
        </is>
      </c>
      <c r="N235" s="16" t="inlineStr">
        <is>
          <t>—</t>
        </is>
      </c>
      <c r="O235" s="16" t="inlineStr">
        <is>
          <t>—</t>
        </is>
      </c>
      <c r="P235" s="16" t="inlineStr">
        <is>
          <t>Grand Central-42 St (4,5,6,7,S)</t>
        </is>
      </c>
      <c r="Q235" s="16" t="inlineStr">
        <is>
          <t>el globo terráqueo interior más grande del mundo — 3,6 metros de diámetro, 1.800 kilos — girando en un pozo espejado bajo una cúpula de vidrio negro, con el piso de terrazo marcando distancias y rumbos a las grandes ciudades.</t>
        </is>
      </c>
      <c r="R235" s="16" t="inlineStr">
        <is>
          <t>220 E 42nd St</t>
        </is>
      </c>
      <c r="S235" s="16" t="inlineStr">
        <is>
          <t>—</t>
        </is>
      </c>
      <c r="T235" s="18" t="inlineStr">
        <is>
          <t>Abrir ↗</t>
        </is>
      </c>
      <c r="U235" s="21" t="inlineStr">
        <is>
          <t>otros</t>
        </is>
      </c>
      <c r="V235" s="20" t="inlineStr"/>
    </row>
    <row r="236" ht="46" customHeight="1">
      <c r="A236" s="9" t="inlineStr">
        <is>
          <t>Grand Central Terminal</t>
        </is>
      </c>
      <c r="B236" s="10" t="inlineStr">
        <is>
          <t>Interior monumental</t>
        </is>
      </c>
      <c r="C236" s="11" t="inlineStr">
        <is>
          <t>Arquitectura</t>
        </is>
      </c>
      <c r="D236" s="11" t="inlineStr">
        <is>
          <t>Midtown East</t>
        </is>
      </c>
      <c r="E236" s="11" t="inlineStr">
        <is>
          <t>Manhattan</t>
        </is>
      </c>
      <c r="F236" s="12" t="n">
        <v>2</v>
      </c>
      <c r="G236" s="12" t="n">
        <v>0</v>
      </c>
      <c r="H236" s="13">
        <f>IF(AND(F236=2,G236=2),"AMBOS",IF(AND(F236=2,G236&lt;2),"solo JP",IF(AND(F236&lt;2,G236=2),"solo Thais","-")))</f>
        <v/>
      </c>
      <c r="I236" s="14" t="n">
        <v>0</v>
      </c>
      <c r="J236" s="15" t="n">
        <v>1</v>
      </c>
      <c r="K236" s="13" t="inlineStr">
        <is>
          <t>SÍ</t>
        </is>
      </c>
      <c r="L236" s="16" t="inlineStr">
        <is>
          <t>lunes a domingo: 05:15–02:00</t>
        </is>
      </c>
      <c r="M236" s="11" t="inlineStr">
        <is>
          <t>—</t>
        </is>
      </c>
      <c r="N236" s="16" t="inlineStr">
        <is>
          <t>—</t>
        </is>
      </c>
      <c r="O236" s="16" t="inlineStr">
        <is>
          <t>—</t>
        </is>
      </c>
      <c r="P236" s="16" t="inlineStr">
        <is>
          <t>Grand Central-42 St (4,5,6,7,S)</t>
        </is>
      </c>
      <c r="Q236" s="16" t="inlineStr">
        <is>
          <t>Beaux-Arts de 1913: el techo celeste pintado al reves, la Whispering Gallery frente al Oyster Bar (dos personas en esquinas opuestas se escuchan susurrar), las escaleras de marmol. AVISO: el tour gratuito semanal esta suspendido.</t>
        </is>
      </c>
      <c r="R236" s="16" t="inlineStr">
        <is>
          <t>89 E 42nd St</t>
        </is>
      </c>
      <c r="S236" s="17" t="inlineStr">
        <is>
          <t>Día 3 · lun 31/8</t>
        </is>
      </c>
      <c r="T236" s="18" t="inlineStr">
        <is>
          <t>Abrir ↗</t>
        </is>
      </c>
      <c r="U236" s="19" t="inlineStr">
        <is>
          <t>lista google</t>
        </is>
      </c>
      <c r="V236" s="20" t="inlineStr">
        <is>
          <t>SÍ</t>
        </is>
      </c>
    </row>
    <row r="237" ht="46" customHeight="1">
      <c r="A237" s="9" t="inlineStr">
        <is>
          <t>Lobby de 70 Pine Street</t>
        </is>
      </c>
      <c r="B237" s="10" t="inlineStr">
        <is>
          <t>Interior monumental</t>
        </is>
      </c>
      <c r="C237" s="11" t="inlineStr">
        <is>
          <t>Arquitectura</t>
        </is>
      </c>
      <c r="D237" s="11" t="inlineStr">
        <is>
          <t>Financial District</t>
        </is>
      </c>
      <c r="E237" s="11" t="inlineStr">
        <is>
          <t>Manhattan</t>
        </is>
      </c>
      <c r="F237" s="12" t="n">
        <v>1</v>
      </c>
      <c r="G237" s="12" t="n">
        <v>1</v>
      </c>
      <c r="H237" s="13">
        <f>IF(AND(F237=2,G237=2),"AMBOS",IF(AND(F237=2,G237&lt;2),"solo JP",IF(AND(F237&lt;2,G237=2),"solo Thais","-")))</f>
        <v/>
      </c>
      <c r="I237" s="14" t="n">
        <v>0</v>
      </c>
      <c r="J237" s="15" t="n">
        <v>0.2</v>
      </c>
      <c r="K237" s="13" t="inlineStr">
        <is>
          <t>no</t>
        </is>
      </c>
      <c r="L237" s="16" t="inlineStr">
        <is>
          <t>—</t>
        </is>
      </c>
      <c r="M237" s="11" t="inlineStr">
        <is>
          <t>—</t>
        </is>
      </c>
      <c r="N237" s="16" t="inlineStr">
        <is>
          <t>—</t>
        </is>
      </c>
      <c r="O237" s="16" t="inlineStr">
        <is>
          <t>—</t>
        </is>
      </c>
      <c r="P237" s="16" t="inlineStr">
        <is>
          <t>Wall St (2,3)</t>
        </is>
      </c>
      <c r="Q237" s="16" t="inlineStr">
        <is>
          <t>1932, la Cities Service Company, 290 metros — el tercer edificio más alto del mundo cuando se inauguró. El lobby art déco tiene un detalle que casi nadie mira: en el vestíbulo hay maquetas en relieve del propio edificio, o sea el edificio retratándose a sí mismo.</t>
        </is>
      </c>
      <c r="R237" s="16" t="inlineStr">
        <is>
          <t>70 Pine St</t>
        </is>
      </c>
      <c r="S237" s="16" t="inlineStr">
        <is>
          <t>—</t>
        </is>
      </c>
      <c r="T237" s="18" t="inlineStr">
        <is>
          <t>Abrir ↗</t>
        </is>
      </c>
      <c r="U237" s="21" t="inlineStr">
        <is>
          <t>otros</t>
        </is>
      </c>
      <c r="V237" s="20" t="inlineStr"/>
    </row>
    <row r="238" ht="46" customHeight="1">
      <c r="A238" s="9" t="inlineStr">
        <is>
          <t>Lobby del Chanin Building</t>
        </is>
      </c>
      <c r="B238" s="10" t="inlineStr">
        <is>
          <t>Interior monumental</t>
        </is>
      </c>
      <c r="C238" s="11" t="inlineStr">
        <is>
          <t>Arquitectura</t>
        </is>
      </c>
      <c r="D238" s="11" t="inlineStr">
        <is>
          <t>Midtown East</t>
        </is>
      </c>
      <c r="E238" s="11" t="inlineStr">
        <is>
          <t>Manhattan</t>
        </is>
      </c>
      <c r="F238" s="12" t="n">
        <v>1</v>
      </c>
      <c r="G238" s="12" t="n">
        <v>1</v>
      </c>
      <c r="H238" s="13">
        <f>IF(AND(F238=2,G238=2),"AMBOS",IF(AND(F238=2,G238&lt;2),"solo JP",IF(AND(F238&lt;2,G238=2),"solo Thais","-")))</f>
        <v/>
      </c>
      <c r="I238" s="14" t="n">
        <v>0</v>
      </c>
      <c r="J238" s="15" t="n">
        <v>0.2</v>
      </c>
      <c r="K238" s="13" t="inlineStr">
        <is>
          <t>no</t>
        </is>
      </c>
      <c r="L238" s="16" t="inlineStr">
        <is>
          <t>—</t>
        </is>
      </c>
      <c r="M238" s="11" t="inlineStr">
        <is>
          <t>—</t>
        </is>
      </c>
      <c r="N238" s="16" t="inlineStr">
        <is>
          <t>—</t>
        </is>
      </c>
      <c r="O238" s="16" t="inlineStr">
        <is>
          <t>—</t>
        </is>
      </c>
      <c r="P238" s="16" t="inlineStr">
        <is>
          <t>Grand Central-42 St (4,5,6,7,S)</t>
        </is>
      </c>
      <c r="Q238" s="16" t="inlineStr">
        <is>
          <t>1929, a media cuadra de Grand Central y enfrente del Chrysler, y nadie entra.</t>
        </is>
      </c>
      <c r="R238" s="16" t="inlineStr">
        <is>
          <t>122 E 42nd St</t>
        </is>
      </c>
      <c r="S238" s="16" t="inlineStr">
        <is>
          <t>—</t>
        </is>
      </c>
      <c r="T238" s="18" t="inlineStr">
        <is>
          <t>Abrir ↗</t>
        </is>
      </c>
      <c r="U238" s="21" t="inlineStr">
        <is>
          <t>otros</t>
        </is>
      </c>
      <c r="V238" s="20" t="inlineStr"/>
    </row>
    <row r="239" ht="46" customHeight="1">
      <c r="A239" s="9" t="inlineStr">
        <is>
          <t>Lobby del Chrysler Building</t>
        </is>
      </c>
      <c r="B239" s="10" t="inlineStr">
        <is>
          <t>Interior monumental</t>
        </is>
      </c>
      <c r="C239" s="11" t="inlineStr">
        <is>
          <t>Arquitectura</t>
        </is>
      </c>
      <c r="D239" s="11" t="inlineStr">
        <is>
          <t>Midtown East</t>
        </is>
      </c>
      <c r="E239" s="11" t="inlineStr">
        <is>
          <t>Manhattan</t>
        </is>
      </c>
      <c r="F239" s="12" t="n">
        <v>2</v>
      </c>
      <c r="G239" s="12" t="n">
        <v>1</v>
      </c>
      <c r="H239" s="13">
        <f>IF(AND(F239=2,G239=2),"AMBOS",IF(AND(F239=2,G239&lt;2),"solo JP",IF(AND(F239&lt;2,G239=2),"solo Thais","-")))</f>
        <v/>
      </c>
      <c r="I239" s="14" t="n">
        <v>0</v>
      </c>
      <c r="J239" s="15" t="n">
        <v>0.35</v>
      </c>
      <c r="K239" s="13" t="inlineStr">
        <is>
          <t>no</t>
        </is>
      </c>
      <c r="L239" s="16" t="inlineStr">
        <is>
          <t>lunes a viernes: 08:00–18:00 · sábado a domingo: cerrado</t>
        </is>
      </c>
      <c r="M239" s="11" t="inlineStr">
        <is>
          <t>sabados y domingos</t>
        </is>
      </c>
      <c r="N239" s="16" t="inlineStr">
        <is>
          <t>—</t>
        </is>
      </c>
      <c r="O239" s="16" t="inlineStr">
        <is>
          <t>—</t>
        </is>
      </c>
      <c r="P239" s="16" t="inlineStr">
        <is>
          <t>Grand Central-42 St (4,5,6,7,S)</t>
        </is>
      </c>
      <c r="Q239" s="16" t="inlineStr">
        <is>
          <t>Art deco de 1930 en estado puro: mural del techo y puertas de ascensor con marqueteria de maderas exoticas. NO hay observatorio: el lobby es todo lo que se puede ver, y alcanza.</t>
        </is>
      </c>
      <c r="R239" s="16" t="inlineStr">
        <is>
          <t>405 Lexington Ave</t>
        </is>
      </c>
      <c r="S239" s="17" t="inlineStr">
        <is>
          <t>Día 3 · lun 31/8</t>
        </is>
      </c>
      <c r="T239" s="18" t="inlineStr">
        <is>
          <t>Abrir ↗</t>
        </is>
      </c>
      <c r="U239" s="21" t="inlineStr">
        <is>
          <t>otros</t>
        </is>
      </c>
      <c r="V239" s="20" t="inlineStr">
        <is>
          <t>SÍ</t>
        </is>
      </c>
    </row>
    <row r="240" ht="46" customHeight="1">
      <c r="A240" s="9" t="inlineStr">
        <is>
          <t>New York Public Library (Schwarzman)</t>
        </is>
      </c>
      <c r="B240" s="10" t="inlineStr">
        <is>
          <t>Interior monumental</t>
        </is>
      </c>
      <c r="C240" s="11" t="inlineStr">
        <is>
          <t>Arquitectura</t>
        </is>
      </c>
      <c r="D240" s="11" t="inlineStr">
        <is>
          <t>Midtown</t>
        </is>
      </c>
      <c r="E240" s="11" t="inlineStr">
        <is>
          <t>Manhattan</t>
        </is>
      </c>
      <c r="F240" s="12" t="n">
        <v>2</v>
      </c>
      <c r="G240" s="12" t="n">
        <v>0</v>
      </c>
      <c r="H240" s="13">
        <f>IF(AND(F240=2,G240=2),"AMBOS",IF(AND(F240=2,G240&lt;2),"solo JP",IF(AND(F240&lt;2,G240=2),"solo Thais","-")))</f>
        <v/>
      </c>
      <c r="I240" s="14" t="n">
        <v>0</v>
      </c>
      <c r="J240" s="15" t="n">
        <v>1.25</v>
      </c>
      <c r="K240" s="13" t="inlineStr">
        <is>
          <t>SÍ</t>
        </is>
      </c>
      <c r="L240" s="16" t="inlineStr">
        <is>
          <t>lunes: 10:00–18:00 · martes a miércoles: 10:00–20:00 · jueves a sábado: 10:00–18:00 · domingo: 13:00–17:00</t>
        </is>
      </c>
      <c r="M240" s="11" t="inlineStr">
        <is>
          <t>—</t>
        </is>
      </c>
      <c r="N240" s="16" t="inlineStr">
        <is>
          <t>—</t>
        </is>
      </c>
      <c r="O240" s="16" t="inlineStr">
        <is>
          <t>—</t>
        </is>
      </c>
      <c r="P240" s="16" t="inlineStr">
        <is>
          <t>5 Av-Bryant Pk (7,B,D,F,M)</t>
        </is>
      </c>
      <c r="Q240" s="16" t="inlineStr">
        <is>
          <t>La Rose Main Reading Room: 90 metros de largo, techos de 15. Y no es un museo: hay gente trabajando ahi. Entrar y sentarse un rato es parte de la experiencia.</t>
        </is>
      </c>
      <c r="R240" s="16" t="inlineStr">
        <is>
          <t>476 5th Ave</t>
        </is>
      </c>
      <c r="S240" s="17" t="inlineStr">
        <is>
          <t>Día 3 · lun 31/8</t>
        </is>
      </c>
      <c r="T240" s="18" t="inlineStr">
        <is>
          <t>Abrir ↗</t>
        </is>
      </c>
      <c r="U240" s="19" t="inlineStr">
        <is>
          <t>lista google</t>
        </is>
      </c>
      <c r="V240" s="20" t="inlineStr">
        <is>
          <t>SÍ</t>
        </is>
      </c>
    </row>
    <row r="241" ht="46" customHeight="1">
      <c r="A241" s="9" t="inlineStr">
        <is>
          <t>Park Avenue Armory</t>
        </is>
      </c>
      <c r="B241" s="10" t="inlineStr">
        <is>
          <t>Interior monumental</t>
        </is>
      </c>
      <c r="C241" s="11" t="inlineStr">
        <is>
          <t>Arquitectura</t>
        </is>
      </c>
      <c r="D241" s="11" t="inlineStr">
        <is>
          <t>Upper East Side</t>
        </is>
      </c>
      <c r="E241" s="11" t="inlineStr">
        <is>
          <t>Manhattan</t>
        </is>
      </c>
      <c r="F241" s="12" t="n">
        <v>1</v>
      </c>
      <c r="G241" s="12" t="n">
        <v>1</v>
      </c>
      <c r="H241" s="13">
        <f>IF(AND(F241=2,G241=2),"AMBOS",IF(AND(F241=2,G241&lt;2),"solo JP",IF(AND(F241&lt;2,G241=2),"solo Thais","-")))</f>
        <v/>
      </c>
      <c r="I241" s="14" t="n">
        <v>0</v>
      </c>
      <c r="J241" s="15" t="n">
        <v>1</v>
      </c>
      <c r="K241" s="13" t="inlineStr">
        <is>
          <t>no</t>
        </is>
      </c>
      <c r="L241" s="16" t="inlineStr">
        <is>
          <t>—</t>
        </is>
      </c>
      <c r="M241" s="11" t="inlineStr">
        <is>
          <t>—</t>
        </is>
      </c>
      <c r="N241" s="16" t="inlineStr">
        <is>
          <t>—</t>
        </is>
      </c>
      <c r="O241" s="16" t="inlineStr">
        <is>
          <t>—</t>
        </is>
      </c>
      <c r="P241" s="16" t="inlineStr">
        <is>
          <t>68 St-Hunter College (6)</t>
        </is>
      </c>
      <c r="Q241" s="16" t="inlineStr">
        <is>
          <t>el Veterans Room, terminado en 1881, es el interior intacto más importante que queda en el mundo de Louis Comfort Tiffany y Associated Artists — Tiffany hizo los vidrios, el mural y los azulejos de la chimenea; Stanford White, toda la carpintería; Candace Wheeler, los textiles.</t>
        </is>
      </c>
      <c r="R241" s="16" t="inlineStr">
        <is>
          <t>643 Park Ave</t>
        </is>
      </c>
      <c r="S241" s="16" t="inlineStr">
        <is>
          <t>—</t>
        </is>
      </c>
      <c r="T241" s="18" t="inlineStr">
        <is>
          <t>Abrir ↗</t>
        </is>
      </c>
      <c r="U241" s="21" t="inlineStr">
        <is>
          <t>otros</t>
        </is>
      </c>
      <c r="V241" s="20" t="inlineStr"/>
    </row>
    <row r="242" ht="46" customHeight="1">
      <c r="A242" s="9" t="inlineStr">
        <is>
          <t>Wild Table of Love</t>
        </is>
      </c>
      <c r="B242" s="10" t="inlineStr">
        <is>
          <t>Parque de esculturas</t>
        </is>
      </c>
      <c r="C242" s="11" t="inlineStr">
        <is>
          <t>Arquitectura</t>
        </is>
      </c>
      <c r="D242" s="11" t="inlineStr">
        <is>
          <t>Manhattan</t>
        </is>
      </c>
      <c r="E242" s="11" t="inlineStr">
        <is>
          <t>Manhattan</t>
        </is>
      </c>
      <c r="F242" s="12" t="n">
        <v>1</v>
      </c>
      <c r="G242" s="12" t="n">
        <v>1</v>
      </c>
      <c r="H242" s="13">
        <f>IF(AND(F242=2,G242=2),"AMBOS",IF(AND(F242=2,G242&lt;2),"solo JP",IF(AND(F242&lt;2,G242=2),"solo Thais","-")))</f>
        <v/>
      </c>
      <c r="I242" s="14" t="n">
        <v>0</v>
      </c>
      <c r="J242" s="15" t="n">
        <v>0.25</v>
      </c>
      <c r="K242" s="13" t="inlineStr">
        <is>
          <t>no</t>
        </is>
      </c>
      <c r="L242" s="16" t="inlineStr">
        <is>
          <t>—</t>
        </is>
      </c>
      <c r="M242" s="11" t="inlineStr">
        <is>
          <t>—</t>
        </is>
      </c>
      <c r="N242" s="16" t="inlineStr">
        <is>
          <t>—</t>
        </is>
      </c>
      <c r="O242" s="16" t="inlineStr">
        <is>
          <t>—</t>
        </is>
      </c>
      <c r="P242" s="16" t="inlineStr">
        <is>
          <t>-</t>
        </is>
      </c>
      <c r="Q242" s="16" t="inlineStr">
        <is>
          <t>Instalación escultórica al aire libre. Parada de foto de cinco minutos.</t>
        </is>
      </c>
      <c r="R242" s="16" t="inlineStr"/>
      <c r="S242" s="16" t="inlineStr">
        <is>
          <t>—</t>
        </is>
      </c>
      <c r="T242" s="18" t="inlineStr">
        <is>
          <t>Abrir ↗</t>
        </is>
      </c>
      <c r="U242" s="19" t="inlineStr">
        <is>
          <t>lista google</t>
        </is>
      </c>
      <c r="V242" s="20" t="inlineStr"/>
    </row>
    <row r="243" ht="46" customHeight="1">
      <c r="A243" s="9" t="inlineStr">
        <is>
          <t>Puente de Brooklyn</t>
        </is>
      </c>
      <c r="B243" s="10" t="inlineStr">
        <is>
          <t>Puente</t>
        </is>
      </c>
      <c r="C243" s="11" t="inlineStr">
        <is>
          <t>Arquitectura</t>
        </is>
      </c>
      <c r="D243" s="11" t="inlineStr">
        <is>
          <t>Civic Center</t>
        </is>
      </c>
      <c r="E243" s="11" t="inlineStr">
        <is>
          <t>Manhattan</t>
        </is>
      </c>
      <c r="F243" s="12" t="n">
        <v>2</v>
      </c>
      <c r="G243" s="12" t="n">
        <v>1</v>
      </c>
      <c r="H243" s="13">
        <f>IF(AND(F243=2,G243=2),"AMBOS",IF(AND(F243=2,G243&lt;2),"solo JP",IF(AND(F243&lt;2,G243=2),"solo Thais","-")))</f>
        <v/>
      </c>
      <c r="I243" s="14" t="n">
        <v>0</v>
      </c>
      <c r="J243" s="15" t="n">
        <v>1</v>
      </c>
      <c r="K243" s="13" t="inlineStr">
        <is>
          <t>SÍ</t>
        </is>
      </c>
      <c r="L243" s="16" t="inlineStr">
        <is>
          <t>—</t>
        </is>
      </c>
      <c r="M243" s="11" t="inlineStr">
        <is>
          <t>—</t>
        </is>
      </c>
      <c r="N243" s="16" t="inlineStr">
        <is>
          <t>—</t>
        </is>
      </c>
      <c r="O243" s="16" t="inlineStr">
        <is>
          <t>—</t>
        </is>
      </c>
      <c r="P243" s="16" t="inlineStr">
        <is>
          <t>Brooklyn Bridge-City Hall (4,5,6)</t>
        </is>
      </c>
      <c r="Q243" s="16" t="inlineStr">
        <is>
          <t>Cruzarlo a pie es el clásico que sí lo vale. Entrada peatonal frente a City Hall; después de las 16 se llena.</t>
        </is>
      </c>
      <c r="R243" s="16" t="inlineStr"/>
      <c r="S243" s="16" t="inlineStr">
        <is>
          <t>—</t>
        </is>
      </c>
      <c r="T243" s="18" t="inlineStr">
        <is>
          <t>Abrir ↗</t>
        </is>
      </c>
      <c r="U243" s="19" t="inlineStr">
        <is>
          <t>lista google</t>
        </is>
      </c>
      <c r="V243" s="20" t="inlineStr"/>
    </row>
    <row r="244" ht="46" customHeight="1">
      <c r="A244" s="9" t="inlineStr">
        <is>
          <t>Basilica of St. Patrick's Old Cathedral</t>
        </is>
      </c>
      <c r="B244" s="10" t="inlineStr">
        <is>
          <t>Templo</t>
        </is>
      </c>
      <c r="C244" s="11" t="inlineStr">
        <is>
          <t>Arquitectura</t>
        </is>
      </c>
      <c r="D244" s="11" t="inlineStr">
        <is>
          <t>Nolita</t>
        </is>
      </c>
      <c r="E244" s="11" t="inlineStr">
        <is>
          <t>Manhattan</t>
        </is>
      </c>
      <c r="F244" s="12" t="n">
        <v>2</v>
      </c>
      <c r="G244" s="12" t="n">
        <v>1</v>
      </c>
      <c r="H244" s="13">
        <f>IF(AND(F244=2,G244=2),"AMBOS",IF(AND(F244=2,G244&lt;2),"solo JP",IF(AND(F244&lt;2,G244=2),"solo Thais","-")))</f>
        <v/>
      </c>
      <c r="I244" s="14" t="n">
        <v>0</v>
      </c>
      <c r="J244" s="15" t="n">
        <v>0.5</v>
      </c>
      <c r="K244" s="13" t="inlineStr">
        <is>
          <t>no</t>
        </is>
      </c>
      <c r="L244" s="16" t="inlineStr">
        <is>
          <t>—</t>
        </is>
      </c>
      <c r="M244" s="11" t="inlineStr">
        <is>
          <t>—</t>
        </is>
      </c>
      <c r="N244" s="16" t="inlineStr">
        <is>
          <t>—</t>
        </is>
      </c>
      <c r="O244" s="16" t="inlineStr">
        <is>
          <t>—</t>
        </is>
      </c>
      <c r="P244" s="16" t="inlineStr">
        <is>
          <t>Spring St (6)</t>
        </is>
      </c>
      <c r="Q244" s="16" t="inlineStr">
        <is>
          <t>La catedral ORIGINAL de San Patricio (1815), no la de la Quinta: cementerio amurallado y catacumbas visitables. A tres cuadras del JGStay.</t>
        </is>
      </c>
      <c r="R244" s="16" t="inlineStr">
        <is>
          <t>263 Mulberry St</t>
        </is>
      </c>
      <c r="S244" s="16" t="inlineStr">
        <is>
          <t>—</t>
        </is>
      </c>
      <c r="T244" s="18" t="inlineStr">
        <is>
          <t>Abrir ↗</t>
        </is>
      </c>
      <c r="U244" s="19" t="inlineStr">
        <is>
          <t>lista google</t>
        </is>
      </c>
      <c r="V244" s="20" t="inlineStr"/>
    </row>
    <row r="245" ht="46" customHeight="1">
      <c r="A245" s="9" t="inlineStr">
        <is>
          <t>Catedral de la Transfiguración</t>
        </is>
      </c>
      <c r="B245" s="10" t="inlineStr">
        <is>
          <t>Templo</t>
        </is>
      </c>
      <c r="C245" s="11" t="inlineStr">
        <is>
          <t>Arquitectura</t>
        </is>
      </c>
      <c r="D245" s="11" t="inlineStr">
        <is>
          <t>Williamsburg</t>
        </is>
      </c>
      <c r="E245" s="11" t="inlineStr">
        <is>
          <t>Brooklyn</t>
        </is>
      </c>
      <c r="F245" s="12" t="n">
        <v>1</v>
      </c>
      <c r="G245" s="12" t="n">
        <v>1</v>
      </c>
      <c r="H245" s="13">
        <f>IF(AND(F245=2,G245=2),"AMBOS",IF(AND(F245=2,G245&lt;2),"solo JP",IF(AND(F245&lt;2,G245=2),"solo Thais","-")))</f>
        <v/>
      </c>
      <c r="I245" s="14" t="n">
        <v>0</v>
      </c>
      <c r="J245" s="15" t="n">
        <v>0.3</v>
      </c>
      <c r="K245" s="13" t="inlineStr">
        <is>
          <t>no</t>
        </is>
      </c>
      <c r="L245" s="16" t="inlineStr">
        <is>
          <t>—</t>
        </is>
      </c>
      <c r="M245" s="11" t="inlineStr">
        <is>
          <t>—</t>
        </is>
      </c>
      <c r="N245" s="16" t="inlineStr">
        <is>
          <t>—</t>
        </is>
      </c>
      <c r="O245" s="16" t="inlineStr">
        <is>
          <t>—</t>
        </is>
      </c>
      <c r="P245" s="16" t="inlineStr">
        <is>
          <t>Bedford Av (L)</t>
        </is>
      </c>
      <c r="Q245" s="16" t="inlineStr">
        <is>
          <t>Louis Allmendinger la construyó entre 1916 y 1921 copiando la Catedral de la Dormición del Kremlin de Moscú: planta de cruz griega, ladrillo amarillo, y cinco cúpulas de cobre en forma de cebolla sobre campanarios octogonales. Se declaró monumento de la ciudad en 1969.</t>
        </is>
      </c>
      <c r="R245" s="16" t="inlineStr">
        <is>
          <t>228 N 12th St, Brooklyn</t>
        </is>
      </c>
      <c r="S245" s="16" t="inlineStr">
        <is>
          <t>—</t>
        </is>
      </c>
      <c r="T245" s="18" t="inlineStr">
        <is>
          <t>Abrir ↗</t>
        </is>
      </c>
      <c r="U245" s="21" t="inlineStr">
        <is>
          <t>otros</t>
        </is>
      </c>
      <c r="V245" s="20" t="inlineStr"/>
    </row>
    <row r="246" ht="46" customHeight="1">
      <c r="A246" s="9" t="inlineStr">
        <is>
          <t>Cathedral of St. John the Divine</t>
        </is>
      </c>
      <c r="B246" s="10" t="inlineStr">
        <is>
          <t>Templo</t>
        </is>
      </c>
      <c r="C246" s="11" t="inlineStr">
        <is>
          <t>Arquitectura</t>
        </is>
      </c>
      <c r="D246" s="11" t="inlineStr">
        <is>
          <t>Morningside Heights</t>
        </is>
      </c>
      <c r="E246" s="11" t="inlineStr">
        <is>
          <t>Manhattan</t>
        </is>
      </c>
      <c r="F246" s="12" t="n">
        <v>1</v>
      </c>
      <c r="G246" s="12" t="n">
        <v>1</v>
      </c>
      <c r="H246" s="13">
        <f>IF(AND(F246=2,G246=2),"AMBOS",IF(AND(F246=2,G246&lt;2),"solo JP",IF(AND(F246&lt;2,G246=2),"solo Thais","-")))</f>
        <v/>
      </c>
      <c r="I246" s="14" t="n">
        <v>5</v>
      </c>
      <c r="J246" s="15" t="n">
        <v>1</v>
      </c>
      <c r="K246" s="13" t="inlineStr">
        <is>
          <t>no</t>
        </is>
      </c>
      <c r="L246" s="16" t="inlineStr">
        <is>
          <t>—</t>
        </is>
      </c>
      <c r="M246" s="11" t="inlineStr">
        <is>
          <t>—</t>
        </is>
      </c>
      <c r="N246" s="16" t="inlineStr">
        <is>
          <t>—</t>
        </is>
      </c>
      <c r="O246" s="16" t="inlineStr">
        <is>
          <t>—</t>
        </is>
      </c>
      <c r="P246" s="16" t="inlineStr">
        <is>
          <t>Cathedral Pkwy-110 St (1)</t>
        </is>
      </c>
      <c r="Q246" s="16" t="inlineStr">
        <is>
          <t>La catedral gotica mas grande del mundo, y todavia sin terminar. La nave es mas larga que dos canchas de futbol.</t>
        </is>
      </c>
      <c r="R246" s="16" t="inlineStr">
        <is>
          <t>1047 Amsterdam Ave</t>
        </is>
      </c>
      <c r="S246" s="16" t="inlineStr">
        <is>
          <t>—</t>
        </is>
      </c>
      <c r="T246" s="18" t="inlineStr">
        <is>
          <t>Abrir ↗</t>
        </is>
      </c>
      <c r="U246" s="21" t="inlineStr">
        <is>
          <t>otros</t>
        </is>
      </c>
      <c r="V246" s="20" t="inlineStr"/>
    </row>
    <row r="247" ht="46" customHeight="1">
      <c r="A247" s="9" t="inlineStr">
        <is>
          <t>Mahayana Buddhist Temple</t>
        </is>
      </c>
      <c r="B247" s="10" t="inlineStr">
        <is>
          <t>Templo</t>
        </is>
      </c>
      <c r="C247" s="11" t="inlineStr">
        <is>
          <t>Arquitectura</t>
        </is>
      </c>
      <c r="D247" s="11" t="inlineStr">
        <is>
          <t>Chinatown</t>
        </is>
      </c>
      <c r="E247" s="11" t="inlineStr">
        <is>
          <t>Manhattan</t>
        </is>
      </c>
      <c r="F247" s="12" t="n">
        <v>1</v>
      </c>
      <c r="G247" s="12" t="n">
        <v>1</v>
      </c>
      <c r="H247" s="13">
        <f>IF(AND(F247=2,G247=2),"AMBOS",IF(AND(F247=2,G247&lt;2),"solo JP",IF(AND(F247&lt;2,G247=2),"solo Thais","-")))</f>
        <v/>
      </c>
      <c r="I247" s="14" t="n">
        <v>0</v>
      </c>
      <c r="J247" s="15" t="n">
        <v>0.3</v>
      </c>
      <c r="K247" s="13" t="inlineStr">
        <is>
          <t>no</t>
        </is>
      </c>
      <c r="L247" s="16" t="inlineStr">
        <is>
          <t>—</t>
        </is>
      </c>
      <c r="M247" s="11" t="inlineStr">
        <is>
          <t>—</t>
        </is>
      </c>
      <c r="N247" s="16" t="inlineStr">
        <is>
          <t>—</t>
        </is>
      </c>
      <c r="O247" s="16" t="inlineStr">
        <is>
          <t>—</t>
        </is>
      </c>
      <c r="P247" s="16" t="inlineStr">
        <is>
          <t>Canal St (J,N,Q,R,W,6)</t>
        </is>
      </c>
      <c r="Q247" s="16" t="inlineStr">
        <is>
          <t>El Buda dorado mas grande de la ciudad, 5 metros, en lo que era un cine porno al pie del puente de Manhattan.</t>
        </is>
      </c>
      <c r="R247" s="16" t="inlineStr">
        <is>
          <t>133 Canal St</t>
        </is>
      </c>
      <c r="S247" s="16" t="inlineStr">
        <is>
          <t>—</t>
        </is>
      </c>
      <c r="T247" s="18" t="inlineStr">
        <is>
          <t>Abrir ↗</t>
        </is>
      </c>
      <c r="U247" s="21" t="inlineStr">
        <is>
          <t>otros</t>
        </is>
      </c>
      <c r="V247" s="20" t="inlineStr"/>
    </row>
    <row r="248" ht="46" customHeight="1">
      <c r="A248" s="9" t="inlineStr">
        <is>
          <t>Museum at Eldridge Street</t>
        </is>
      </c>
      <c r="B248" s="10" t="inlineStr">
        <is>
          <t>Templo</t>
        </is>
      </c>
      <c r="C248" s="11" t="inlineStr">
        <is>
          <t>Arquitectura</t>
        </is>
      </c>
      <c r="D248" s="11" t="inlineStr">
        <is>
          <t>Chinatown / LES</t>
        </is>
      </c>
      <c r="E248" s="11" t="inlineStr">
        <is>
          <t>Manhattan</t>
        </is>
      </c>
      <c r="F248" s="12" t="n">
        <v>2</v>
      </c>
      <c r="G248" s="12" t="n">
        <v>2</v>
      </c>
      <c r="H248" s="13">
        <f>IF(AND(F248=2,G248=2),"AMBOS",IF(AND(F248=2,G248&lt;2),"solo JP",IF(AND(F248&lt;2,G248=2),"solo Thais","-")))</f>
        <v/>
      </c>
      <c r="I248" s="14" t="n">
        <v>15</v>
      </c>
      <c r="J248" s="15" t="n">
        <v>1</v>
      </c>
      <c r="K248" s="13" t="inlineStr">
        <is>
          <t>no</t>
        </is>
      </c>
      <c r="L248" s="16" t="inlineStr">
        <is>
          <t>lunes a viernes: 10:00–17:00 · sábado: cerrado · domingo: 10:00–17:00</t>
        </is>
      </c>
      <c r="M248" s="11" t="inlineStr">
        <is>
          <t>SABADOS (es sinagoga)</t>
        </is>
      </c>
      <c r="N248" s="16" t="inlineStr">
        <is>
          <t>—</t>
        </is>
      </c>
      <c r="O248" s="16" t="inlineStr">
        <is>
          <t>—</t>
        </is>
      </c>
      <c r="P248" s="16" t="inlineStr">
        <is>
          <t>East Broadway (F), Grand St (B,D)</t>
        </is>
      </c>
      <c r="Q248" s="16" t="inlineStr">
        <is>
          <t>Sinagoga de 1887 restaurada por $20 millones, con un roseton nuevo de Kiki Smith. Que hoy este en el medio de Chinatown es la mitad del punto.</t>
        </is>
      </c>
      <c r="R248" s="16" t="inlineStr">
        <is>
          <t>12 Eldridge St</t>
        </is>
      </c>
      <c r="S248" s="17" t="inlineStr">
        <is>
          <t>Día 2 · dom 30/8</t>
        </is>
      </c>
      <c r="T248" s="18" t="inlineStr">
        <is>
          <t>Abrir ↗</t>
        </is>
      </c>
      <c r="U248" s="19" t="inlineStr">
        <is>
          <t>lista google</t>
        </is>
      </c>
      <c r="V248" s="20" t="inlineStr"/>
    </row>
    <row r="249" ht="46" customHeight="1">
      <c r="A249" s="9" t="inlineStr">
        <is>
          <t>Plymouth Church</t>
        </is>
      </c>
      <c r="B249" s="10" t="inlineStr">
        <is>
          <t>Templo</t>
        </is>
      </c>
      <c r="C249" s="11" t="inlineStr">
        <is>
          <t>Arquitectura</t>
        </is>
      </c>
      <c r="D249" s="11" t="inlineStr">
        <is>
          <t>Brooklyn Heights</t>
        </is>
      </c>
      <c r="E249" s="11" t="inlineStr">
        <is>
          <t>Brooklyn</t>
        </is>
      </c>
      <c r="F249" s="12" t="n">
        <v>1</v>
      </c>
      <c r="G249" s="12" t="n">
        <v>1</v>
      </c>
      <c r="H249" s="13">
        <f>IF(AND(F249=2,G249=2),"AMBOS",IF(AND(F249=2,G249&lt;2),"solo JP",IF(AND(F249&lt;2,G249=2),"solo Thais","-")))</f>
        <v/>
      </c>
      <c r="I249" s="14" t="n">
        <v>0</v>
      </c>
      <c r="J249" s="15" t="n">
        <v>0.4</v>
      </c>
      <c r="K249" s="13" t="inlineStr">
        <is>
          <t>no</t>
        </is>
      </c>
      <c r="L249" s="16" t="inlineStr">
        <is>
          <t>—</t>
        </is>
      </c>
      <c r="M249" s="11" t="inlineStr">
        <is>
          <t>—</t>
        </is>
      </c>
      <c r="N249" s="16" t="inlineStr">
        <is>
          <t>—</t>
        </is>
      </c>
      <c r="O249" s="16" t="inlineStr">
        <is>
          <t>—</t>
        </is>
      </c>
      <c r="P249" s="16" t="inlineStr">
        <is>
          <t>Clark St (2,3), High St (A,C)</t>
        </is>
      </c>
      <c r="Q249" s="16" t="inlineStr">
        <is>
          <t>Parada del Ferrocarril Subterraneo: aca Beecher remataba esclavos para liberarlos, y hablo Lincoln.</t>
        </is>
      </c>
      <c r="R249" s="16" t="inlineStr">
        <is>
          <t>57 Orange St, Brooklyn</t>
        </is>
      </c>
      <c r="S249" s="16" t="inlineStr">
        <is>
          <t>—</t>
        </is>
      </c>
      <c r="T249" s="18" t="inlineStr">
        <is>
          <t>Abrir ↗</t>
        </is>
      </c>
      <c r="U249" s="21" t="inlineStr">
        <is>
          <t>otros</t>
        </is>
      </c>
      <c r="V249" s="20" t="inlineStr"/>
    </row>
    <row r="250" ht="46" customHeight="1">
      <c r="A250" s="9" t="inlineStr">
        <is>
          <t>St. Bartholomew's Church</t>
        </is>
      </c>
      <c r="B250" s="10" t="inlineStr">
        <is>
          <t>Templo</t>
        </is>
      </c>
      <c r="C250" s="11" t="inlineStr">
        <is>
          <t>Arquitectura</t>
        </is>
      </c>
      <c r="D250" s="11" t="inlineStr">
        <is>
          <t>Midtown East</t>
        </is>
      </c>
      <c r="E250" s="11" t="inlineStr">
        <is>
          <t>Manhattan</t>
        </is>
      </c>
      <c r="F250" s="12" t="n">
        <v>1</v>
      </c>
      <c r="G250" s="12" t="n">
        <v>1</v>
      </c>
      <c r="H250" s="13">
        <f>IF(AND(F250=2,G250=2),"AMBOS",IF(AND(F250=2,G250&lt;2),"solo JP",IF(AND(F250&lt;2,G250=2),"solo Thais","-")))</f>
        <v/>
      </c>
      <c r="I250" s="14" t="n">
        <v>0</v>
      </c>
      <c r="J250" s="15" t="n">
        <v>0.4</v>
      </c>
      <c r="K250" s="13" t="inlineStr">
        <is>
          <t>no</t>
        </is>
      </c>
      <c r="L250" s="16" t="inlineStr">
        <is>
          <t>—</t>
        </is>
      </c>
      <c r="M250" s="11" t="inlineStr">
        <is>
          <t>—</t>
        </is>
      </c>
      <c r="N250" s="16" t="inlineStr">
        <is>
          <t>—</t>
        </is>
      </c>
      <c r="O250" s="16" t="inlineStr">
        <is>
          <t>—</t>
        </is>
      </c>
      <c r="P250" s="16" t="inlineStr">
        <is>
          <t>51 St (6)</t>
        </is>
      </c>
      <c r="Q250" s="16" t="inlineStr">
        <is>
          <t>Bizantino en pleno Park Avenue, con el portico que sobrevivio a la iglesia anterior. La terraza del cafe da a la avenida.</t>
        </is>
      </c>
      <c r="R250" s="16" t="inlineStr">
        <is>
          <t>325 Park Ave</t>
        </is>
      </c>
      <c r="S250" s="16" t="inlineStr">
        <is>
          <t>—</t>
        </is>
      </c>
      <c r="T250" s="18" t="inlineStr">
        <is>
          <t>Abrir ↗</t>
        </is>
      </c>
      <c r="U250" s="21" t="inlineStr">
        <is>
          <t>otros</t>
        </is>
      </c>
      <c r="V250" s="20" t="inlineStr"/>
    </row>
    <row r="251" ht="46" customHeight="1">
      <c r="A251" s="9" t="inlineStr">
        <is>
          <t>St. Patrick's Cathedral</t>
        </is>
      </c>
      <c r="B251" s="10" t="inlineStr">
        <is>
          <t>Templo</t>
        </is>
      </c>
      <c r="C251" s="11" t="inlineStr">
        <is>
          <t>Arquitectura</t>
        </is>
      </c>
      <c r="D251" s="11" t="inlineStr">
        <is>
          <t>Midtown</t>
        </is>
      </c>
      <c r="E251" s="11" t="inlineStr">
        <is>
          <t>Manhattan</t>
        </is>
      </c>
      <c r="F251" s="12" t="n">
        <v>1</v>
      </c>
      <c r="G251" s="12" t="n">
        <v>1</v>
      </c>
      <c r="H251" s="13">
        <f>IF(AND(F251=2,G251=2),"AMBOS",IF(AND(F251=2,G251&lt;2),"solo JP",IF(AND(F251&lt;2,G251=2),"solo Thais","-")))</f>
        <v/>
      </c>
      <c r="I251" s="14" t="n">
        <v>0</v>
      </c>
      <c r="J251" s="15" t="n">
        <v>0.5</v>
      </c>
      <c r="K251" s="13" t="inlineStr">
        <is>
          <t>no</t>
        </is>
      </c>
      <c r="L251" s="16" t="inlineStr">
        <is>
          <t>—</t>
        </is>
      </c>
      <c r="M251" s="11" t="inlineStr">
        <is>
          <t>—</t>
        </is>
      </c>
      <c r="N251" s="16" t="inlineStr">
        <is>
          <t>—</t>
        </is>
      </c>
      <c r="O251" s="16" t="inlineStr">
        <is>
          <t>—</t>
        </is>
      </c>
      <c r="P251" s="16" t="inlineStr">
        <is>
          <t>5 Av-53 St (E,M), 47-50 Sts (B,D,F,M)</t>
        </is>
      </c>
      <c r="Q251" s="16" t="inlineStr">
        <is>
          <t>Neogotica de 1878 entre rascacielos, restaurada por 180 millones. Gratis y siempre abierta.</t>
        </is>
      </c>
      <c r="R251" s="16" t="inlineStr">
        <is>
          <t>5th Ave y E 50th St</t>
        </is>
      </c>
      <c r="S251" s="16" t="inlineStr">
        <is>
          <t>—</t>
        </is>
      </c>
      <c r="T251" s="18" t="inlineStr">
        <is>
          <t>Abrir ↗</t>
        </is>
      </c>
      <c r="U251" s="21" t="inlineStr">
        <is>
          <t>otros</t>
        </is>
      </c>
      <c r="V251" s="20" t="inlineStr"/>
    </row>
    <row r="252" ht="46" customHeight="1">
      <c r="A252" s="9" t="inlineStr">
        <is>
          <t>St. Paul's Chapel</t>
        </is>
      </c>
      <c r="B252" s="10" t="inlineStr">
        <is>
          <t>Templo</t>
        </is>
      </c>
      <c r="C252" s="11" t="inlineStr">
        <is>
          <t>Arquitectura</t>
        </is>
      </c>
      <c r="D252" s="11" t="inlineStr">
        <is>
          <t>Financial District</t>
        </is>
      </c>
      <c r="E252" s="11" t="inlineStr">
        <is>
          <t>Manhattan</t>
        </is>
      </c>
      <c r="F252" s="12" t="n">
        <v>1</v>
      </c>
      <c r="G252" s="12" t="n">
        <v>1</v>
      </c>
      <c r="H252" s="13">
        <f>IF(AND(F252=2,G252=2),"AMBOS",IF(AND(F252=2,G252&lt;2),"solo JP",IF(AND(F252&lt;2,G252=2),"solo Thais","-")))</f>
        <v/>
      </c>
      <c r="I252" s="14" t="n">
        <v>0</v>
      </c>
      <c r="J252" s="15" t="n">
        <v>0.5</v>
      </c>
      <c r="K252" s="13" t="inlineStr">
        <is>
          <t>no</t>
        </is>
      </c>
      <c r="L252" s="16" t="inlineStr">
        <is>
          <t>—</t>
        </is>
      </c>
      <c r="M252" s="11" t="inlineStr">
        <is>
          <t>—</t>
        </is>
      </c>
      <c r="N252" s="16" t="inlineStr">
        <is>
          <t>—</t>
        </is>
      </c>
      <c r="O252" s="16" t="inlineStr">
        <is>
          <t>—</t>
        </is>
      </c>
      <c r="P252" s="16" t="inlineStr">
        <is>
          <t>Fulton St (2,3,4,5,A,C,J,Z)</t>
        </is>
      </c>
      <c r="Q252" s="16" t="inlineStr">
        <is>
          <t>1766, es la iglesia más vieja que queda en pie en Manhattan y el edificio público en uso continuo más antiguo de la isla. Adentro está el banco donde rezó George Washington el día de su asunción, el 30 de abril de 1789.</t>
        </is>
      </c>
      <c r="R252" s="16" t="inlineStr">
        <is>
          <t>209 Broadway</t>
        </is>
      </c>
      <c r="S252" s="16" t="inlineStr">
        <is>
          <t>—</t>
        </is>
      </c>
      <c r="T252" s="18" t="inlineStr">
        <is>
          <t>Abrir ↗</t>
        </is>
      </c>
      <c r="U252" s="21" t="inlineStr">
        <is>
          <t>otros</t>
        </is>
      </c>
      <c r="V252" s="20" t="inlineStr"/>
    </row>
    <row r="253" ht="46" customHeight="1">
      <c r="A253" s="9" t="inlineStr">
        <is>
          <t>Trinity Church</t>
        </is>
      </c>
      <c r="B253" s="10" t="inlineStr">
        <is>
          <t>Templo</t>
        </is>
      </c>
      <c r="C253" s="11" t="inlineStr">
        <is>
          <t>Arquitectura</t>
        </is>
      </c>
      <c r="D253" s="11" t="inlineStr">
        <is>
          <t>Financial District</t>
        </is>
      </c>
      <c r="E253" s="11" t="inlineStr">
        <is>
          <t>Manhattan</t>
        </is>
      </c>
      <c r="F253" s="12" t="n">
        <v>2</v>
      </c>
      <c r="G253" s="12" t="n">
        <v>1</v>
      </c>
      <c r="H253" s="13">
        <f>IF(AND(F253=2,G253=2),"AMBOS",IF(AND(F253=2,G253&lt;2),"solo JP",IF(AND(F253&lt;2,G253=2),"solo Thais","-")))</f>
        <v/>
      </c>
      <c r="I253" s="14" t="n">
        <v>0</v>
      </c>
      <c r="J253" s="15" t="n">
        <v>0.5</v>
      </c>
      <c r="K253" s="13" t="inlineStr">
        <is>
          <t>no</t>
        </is>
      </c>
      <c r="L253" s="16" t="inlineStr">
        <is>
          <t>—</t>
        </is>
      </c>
      <c r="M253" s="11" t="inlineStr">
        <is>
          <t>—</t>
        </is>
      </c>
      <c r="N253" s="16" t="inlineStr">
        <is>
          <t>—</t>
        </is>
      </c>
      <c r="O253" s="16" t="inlineStr">
        <is>
          <t>—</t>
        </is>
      </c>
      <c r="P253" s="16" t="inlineStr">
        <is>
          <t>Wall St (4,5)</t>
        </is>
      </c>
      <c r="Q253" s="16" t="inlineStr">
        <is>
          <t>Neogótica de 1846, la torre más alta de NY durante medio siglo. En su cementerio está Alexander Hamilton.</t>
        </is>
      </c>
      <c r="R253" s="16" t="inlineStr">
        <is>
          <t>89 Broadway</t>
        </is>
      </c>
      <c r="S253" s="16" t="inlineStr">
        <is>
          <t>—</t>
        </is>
      </c>
      <c r="T253" s="18" t="inlineStr">
        <is>
          <t>Abrir ↗</t>
        </is>
      </c>
      <c r="U253" s="19" t="inlineStr">
        <is>
          <t>lista google</t>
        </is>
      </c>
      <c r="V253" s="20" t="inlineStr"/>
    </row>
    <row r="254" ht="46" customHeight="1">
      <c r="A254" s="9" t="inlineStr">
        <is>
          <t>Artists &amp; Fleas Williamsburg</t>
        </is>
      </c>
      <c r="B254" s="10" t="inlineStr">
        <is>
          <t>Tienda con historia</t>
        </is>
      </c>
      <c r="C254" s="11" t="inlineStr">
        <is>
          <t>Arquitectura</t>
        </is>
      </c>
      <c r="D254" s="11" t="inlineStr">
        <is>
          <t>Williamsburg</t>
        </is>
      </c>
      <c r="E254" s="11" t="inlineStr">
        <is>
          <t>Brooklyn</t>
        </is>
      </c>
      <c r="F254" s="12" t="n">
        <v>1</v>
      </c>
      <c r="G254" s="12" t="n">
        <v>1</v>
      </c>
      <c r="H254" s="13">
        <f>IF(AND(F254=2,G254=2),"AMBOS",IF(AND(F254=2,G254&lt;2),"solo JP",IF(AND(F254&lt;2,G254=2),"solo Thais","-")))</f>
        <v/>
      </c>
      <c r="I254" s="14" t="n">
        <v>0</v>
      </c>
      <c r="J254" s="15" t="n">
        <v>0.75</v>
      </c>
      <c r="K254" s="13" t="inlineStr">
        <is>
          <t>no</t>
        </is>
      </c>
      <c r="L254" s="16" t="inlineStr">
        <is>
          <t>—</t>
        </is>
      </c>
      <c r="M254" s="11" t="inlineStr">
        <is>
          <t>—</t>
        </is>
      </c>
      <c r="N254" s="16" t="inlineStr">
        <is>
          <t>—</t>
        </is>
      </c>
      <c r="O254" s="16" t="inlineStr">
        <is>
          <t>—</t>
        </is>
      </c>
      <c r="P254" s="16" t="inlineStr">
        <is>
          <t>Bedford Av (L)</t>
        </is>
      </c>
      <c r="Q254" s="16" t="inlineStr">
        <is>
          <t>Mercado de diseñadores y vintage, fines de semana. Está en el camino del sábado de Brooklyn.</t>
        </is>
      </c>
      <c r="R254" s="16" t="inlineStr">
        <is>
          <t>70 N 7th St</t>
        </is>
      </c>
      <c r="S254" s="16" t="inlineStr">
        <is>
          <t>—</t>
        </is>
      </c>
      <c r="T254" s="18" t="inlineStr">
        <is>
          <t>Abrir ↗</t>
        </is>
      </c>
      <c r="U254" s="19" t="inlineStr">
        <is>
          <t>lista google</t>
        </is>
      </c>
      <c r="V254" s="20" t="inlineStr"/>
    </row>
    <row r="255" ht="46" customHeight="1">
      <c r="A255" s="9" t="inlineStr">
        <is>
          <t>B&amp;H Photo Video</t>
        </is>
      </c>
      <c r="B255" s="10" t="inlineStr">
        <is>
          <t>Tienda con historia</t>
        </is>
      </c>
      <c r="C255" s="11" t="inlineStr">
        <is>
          <t>Arquitectura</t>
        </is>
      </c>
      <c r="D255" s="11" t="inlineStr">
        <is>
          <t>Midtown West</t>
        </is>
      </c>
      <c r="E255" s="11" t="inlineStr">
        <is>
          <t>Manhattan</t>
        </is>
      </c>
      <c r="F255" s="12" t="n">
        <v>1</v>
      </c>
      <c r="G255" s="12" t="n">
        <v>1</v>
      </c>
      <c r="H255" s="13">
        <f>IF(AND(F255=2,G255=2),"AMBOS",IF(AND(F255=2,G255&lt;2),"solo JP",IF(AND(F255&lt;2,G255=2),"solo Thais","-")))</f>
        <v/>
      </c>
      <c r="I255" s="14" t="n">
        <v>0</v>
      </c>
      <c r="J255" s="15" t="n">
        <v>1</v>
      </c>
      <c r="K255" s="13" t="inlineStr">
        <is>
          <t>no</t>
        </is>
      </c>
      <c r="L255" s="16" t="inlineStr">
        <is>
          <t>—</t>
        </is>
      </c>
      <c r="M255" s="11" t="inlineStr">
        <is>
          <t>—</t>
        </is>
      </c>
      <c r="N255" s="16" t="inlineStr">
        <is>
          <t>—</t>
        </is>
      </c>
      <c r="O255" s="16" t="inlineStr">
        <is>
          <t>—</t>
        </is>
      </c>
      <c r="P255" s="16" t="inlineStr">
        <is>
          <t>34 St-Penn Station (1,2,3,A,C,E)</t>
        </is>
      </c>
      <c r="Q255" s="16" t="inlineStr">
        <is>
          <t>La tienda de fotografía mítica: cintas transportadoras cruzando el techo y vendedores jasídicos que saben todo. CIERRA sábados.</t>
        </is>
      </c>
      <c r="R255" s="16" t="inlineStr">
        <is>
          <t>420 9th Ave</t>
        </is>
      </c>
      <c r="S255" s="16" t="inlineStr">
        <is>
          <t>—</t>
        </is>
      </c>
      <c r="T255" s="18" t="inlineStr">
        <is>
          <t>Abrir ↗</t>
        </is>
      </c>
      <c r="U255" s="19" t="inlineStr">
        <is>
          <t>lista google</t>
        </is>
      </c>
      <c r="V255" s="20" t="inlineStr"/>
    </row>
    <row r="256" ht="46" customHeight="1">
      <c r="A256" s="9" t="inlineStr">
        <is>
          <t>Books Are Magic</t>
        </is>
      </c>
      <c r="B256" s="10" t="inlineStr">
        <is>
          <t>Tienda con historia</t>
        </is>
      </c>
      <c r="C256" s="11" t="inlineStr">
        <is>
          <t>Arquitectura</t>
        </is>
      </c>
      <c r="D256" s="11" t="inlineStr">
        <is>
          <t>Brooklyn Heights</t>
        </is>
      </c>
      <c r="E256" s="11" t="inlineStr">
        <is>
          <t>Brooklyn</t>
        </is>
      </c>
      <c r="F256" s="12" t="n">
        <v>1</v>
      </c>
      <c r="G256" s="12" t="n">
        <v>1</v>
      </c>
      <c r="H256" s="13">
        <f>IF(AND(F256=2,G256=2),"AMBOS",IF(AND(F256=2,G256&lt;2),"solo JP",IF(AND(F256&lt;2,G256=2),"solo Thais","-")))</f>
        <v/>
      </c>
      <c r="I256" s="14" t="n">
        <v>0</v>
      </c>
      <c r="J256" s="15" t="n">
        <v>0.4</v>
      </c>
      <c r="K256" s="13" t="inlineStr">
        <is>
          <t>no</t>
        </is>
      </c>
      <c r="L256" s="16" t="inlineStr">
        <is>
          <t>—</t>
        </is>
      </c>
      <c r="M256" s="11" t="inlineStr">
        <is>
          <t>—</t>
        </is>
      </c>
      <c r="N256" s="16" t="inlineStr">
        <is>
          <t>—</t>
        </is>
      </c>
      <c r="O256" s="16" t="inlineStr">
        <is>
          <t>—</t>
        </is>
      </c>
      <c r="P256" s="16" t="inlineStr">
        <is>
          <t>Court St (R), Borough Hall (2,3,4,5)</t>
        </is>
      </c>
      <c r="Q256" s="16" t="inlineStr">
        <is>
          <t>La libreria de Emma Straub, con el mural que es la foto obligada de Brooklyn.</t>
        </is>
      </c>
      <c r="R256" s="16" t="inlineStr">
        <is>
          <t>122 Montague St, Brooklyn</t>
        </is>
      </c>
      <c r="S256" s="16" t="inlineStr">
        <is>
          <t>—</t>
        </is>
      </c>
      <c r="T256" s="18" t="inlineStr">
        <is>
          <t>Abrir ↗</t>
        </is>
      </c>
      <c r="U256" s="21" t="inlineStr">
        <is>
          <t>otros</t>
        </is>
      </c>
      <c r="V256" s="20" t="inlineStr"/>
    </row>
    <row r="257" ht="46" customHeight="1">
      <c r="A257" s="9" t="inlineStr">
        <is>
          <t>C.O. Bigelow Chemists</t>
        </is>
      </c>
      <c r="B257" s="10" t="inlineStr">
        <is>
          <t>Tienda con historia</t>
        </is>
      </c>
      <c r="C257" s="11" t="inlineStr">
        <is>
          <t>Arquitectura</t>
        </is>
      </c>
      <c r="D257" s="11" t="inlineStr">
        <is>
          <t>West Village</t>
        </is>
      </c>
      <c r="E257" s="11" t="inlineStr">
        <is>
          <t>Manhattan</t>
        </is>
      </c>
      <c r="F257" s="12" t="n">
        <v>1</v>
      </c>
      <c r="G257" s="12" t="n">
        <v>1</v>
      </c>
      <c r="H257" s="13">
        <f>IF(AND(F257=2,G257=2),"AMBOS",IF(AND(F257=2,G257&lt;2),"solo JP",IF(AND(F257&lt;2,G257=2),"solo Thais","-")))</f>
        <v/>
      </c>
      <c r="I257" s="14" t="n">
        <v>0</v>
      </c>
      <c r="J257" s="15" t="n">
        <v>0.3</v>
      </c>
      <c r="K257" s="13" t="inlineStr">
        <is>
          <t>no</t>
        </is>
      </c>
      <c r="L257" s="16" t="inlineStr">
        <is>
          <t>—</t>
        </is>
      </c>
      <c r="M257" s="11" t="inlineStr">
        <is>
          <t>—</t>
        </is>
      </c>
      <c r="N257" s="16" t="inlineStr">
        <is>
          <t>—</t>
        </is>
      </c>
      <c r="O257" s="16" t="inlineStr">
        <is>
          <t>—</t>
        </is>
      </c>
      <c r="P257" s="16" t="inlineStr">
        <is>
          <t>Christopher St-Sheridan Sq (1)</t>
        </is>
      </c>
      <c r="Q257" s="16" t="inlineStr">
        <is>
          <t>La farmacia más antigua de Estados Unidos (1838), con el mobiliario original. Entrar es gratis.</t>
        </is>
      </c>
      <c r="R257" s="16" t="inlineStr">
        <is>
          <t>414 6th Ave</t>
        </is>
      </c>
      <c r="S257" s="16" t="inlineStr">
        <is>
          <t>—</t>
        </is>
      </c>
      <c r="T257" s="18" t="inlineStr">
        <is>
          <t>Abrir ↗</t>
        </is>
      </c>
      <c r="U257" s="19" t="inlineStr">
        <is>
          <t>lista google</t>
        </is>
      </c>
      <c r="V257" s="20" t="inlineStr"/>
    </row>
    <row r="258" ht="46" customHeight="1">
      <c r="A258" s="9" t="inlineStr">
        <is>
          <t>Economy Candy</t>
        </is>
      </c>
      <c r="B258" s="10" t="inlineStr">
        <is>
          <t>Tienda con historia</t>
        </is>
      </c>
      <c r="C258" s="11" t="inlineStr">
        <is>
          <t>Arquitectura</t>
        </is>
      </c>
      <c r="D258" s="11" t="inlineStr">
        <is>
          <t>Lower East Side</t>
        </is>
      </c>
      <c r="E258" s="11" t="inlineStr">
        <is>
          <t>Manhattan</t>
        </is>
      </c>
      <c r="F258" s="12" t="n">
        <v>1</v>
      </c>
      <c r="G258" s="12" t="n">
        <v>1</v>
      </c>
      <c r="H258" s="13">
        <f>IF(AND(F258=2,G258=2),"AMBOS",IF(AND(F258=2,G258&lt;2),"solo JP",IF(AND(F258&lt;2,G258=2),"solo Thais","-")))</f>
        <v/>
      </c>
      <c r="I258" s="14" t="n">
        <v>0</v>
      </c>
      <c r="J258" s="15" t="n">
        <v>0.4</v>
      </c>
      <c r="K258" s="13" t="inlineStr">
        <is>
          <t>no</t>
        </is>
      </c>
      <c r="L258" s="16" t="inlineStr">
        <is>
          <t>—</t>
        </is>
      </c>
      <c r="M258" s="11" t="inlineStr">
        <is>
          <t>—</t>
        </is>
      </c>
      <c r="N258" s="16" t="inlineStr">
        <is>
          <t>—</t>
        </is>
      </c>
      <c r="O258" s="16" t="inlineStr">
        <is>
          <t>—</t>
        </is>
      </c>
      <c r="P258" s="16" t="inlineStr">
        <is>
          <t>Delancey St-Essex St (F,J,M,Z)</t>
        </is>
      </c>
      <c r="Q258" s="16" t="inlineStr">
        <is>
          <t>Kiosco de golosinas de 1937 con las paredes cubiertas hasta el techo. Es un museo donde se puede comprar.</t>
        </is>
      </c>
      <c r="R258" s="16" t="inlineStr">
        <is>
          <t>108 Rivington St</t>
        </is>
      </c>
      <c r="S258" s="16" t="inlineStr">
        <is>
          <t>—</t>
        </is>
      </c>
      <c r="T258" s="18" t="inlineStr">
        <is>
          <t>Abrir ↗</t>
        </is>
      </c>
      <c r="U258" s="21" t="inlineStr">
        <is>
          <t>otros</t>
        </is>
      </c>
      <c r="V258" s="20" t="inlineStr"/>
    </row>
    <row r="259" ht="46" customHeight="1">
      <c r="A259" s="9" t="inlineStr">
        <is>
          <t>HEATONIST Chelsea Market</t>
        </is>
      </c>
      <c r="B259" s="10" t="inlineStr">
        <is>
          <t>Tienda con historia</t>
        </is>
      </c>
      <c r="C259" s="11" t="inlineStr">
        <is>
          <t>Arquitectura</t>
        </is>
      </c>
      <c r="D259" s="11" t="inlineStr">
        <is>
          <t>Chelsea</t>
        </is>
      </c>
      <c r="E259" s="11" t="inlineStr">
        <is>
          <t>Manhattan</t>
        </is>
      </c>
      <c r="F259" s="12" t="n">
        <v>1</v>
      </c>
      <c r="G259" s="12" t="n">
        <v>1</v>
      </c>
      <c r="H259" s="13">
        <f>IF(AND(F259=2,G259=2),"AMBOS",IF(AND(F259=2,G259&lt;2),"solo JP",IF(AND(F259&lt;2,G259=2),"solo Thais","-")))</f>
        <v/>
      </c>
      <c r="I259" s="14" t="n">
        <v>15</v>
      </c>
      <c r="J259" s="15" t="n">
        <v>0.3</v>
      </c>
      <c r="K259" s="13" t="inlineStr">
        <is>
          <t>no</t>
        </is>
      </c>
      <c r="L259" s="16" t="inlineStr">
        <is>
          <t>lunes a domingo: 12:00–18:45</t>
        </is>
      </c>
      <c r="M259" s="11" t="inlineStr">
        <is>
          <t>—</t>
        </is>
      </c>
      <c r="N259" s="16" t="inlineStr">
        <is>
          <t>—</t>
        </is>
      </c>
      <c r="O259" s="16" t="inlineStr">
        <is>
          <t>—</t>
        </is>
      </c>
      <c r="P259" s="16" t="inlineStr">
        <is>
          <t>14 St (A,C,E), 8 Av (L)</t>
        </is>
      </c>
      <c r="Q259" s="16" t="inlineStr">
        <is>
          <t>La sucursal chica, ADENTRO del Chelsea Market donde ya almuerzan el viernes. Mismo catalogo de mas de 100 salsas y la misma cata, en menos metros y con mas gente.</t>
        </is>
      </c>
      <c r="R259" s="16" t="inlineStr">
        <is>
          <t>75 9th Ave (dentro del Chelsea Market)</t>
        </is>
      </c>
      <c r="S259" s="16" t="inlineStr">
        <is>
          <t>—</t>
        </is>
      </c>
      <c r="T259" s="18" t="inlineStr">
        <is>
          <t>Abrir ↗</t>
        </is>
      </c>
      <c r="U259" s="21" t="inlineStr">
        <is>
          <t>otros</t>
        </is>
      </c>
      <c r="V259" s="20" t="inlineStr"/>
    </row>
    <row r="260" ht="46" customHeight="1">
      <c r="A260" s="9" t="inlineStr">
        <is>
          <t>HEATONIST Williamsburg</t>
        </is>
      </c>
      <c r="B260" s="10" t="inlineStr">
        <is>
          <t>Tienda con historia</t>
        </is>
      </c>
      <c r="C260" s="11" t="inlineStr">
        <is>
          <t>Arquitectura</t>
        </is>
      </c>
      <c r="D260" s="11" t="inlineStr">
        <is>
          <t>Williamsburg</t>
        </is>
      </c>
      <c r="E260" s="11" t="inlineStr">
        <is>
          <t>Brooklyn</t>
        </is>
      </c>
      <c r="F260" s="12" t="n">
        <v>1</v>
      </c>
      <c r="G260" s="12" t="n">
        <v>1</v>
      </c>
      <c r="H260" s="13">
        <f>IF(AND(F260=2,G260=2),"AMBOS",IF(AND(F260=2,G260&lt;2),"solo JP",IF(AND(F260&lt;2,G260=2),"solo Thais","-")))</f>
        <v/>
      </c>
      <c r="I260" s="14" t="n">
        <v>15</v>
      </c>
      <c r="J260" s="15" t="n">
        <v>0.5</v>
      </c>
      <c r="K260" s="13" t="inlineStr">
        <is>
          <t>no</t>
        </is>
      </c>
      <c r="L260" s="16" t="inlineStr">
        <is>
          <t>lunes a domingo: 12:00–19:00</t>
        </is>
      </c>
      <c r="M260" s="11" t="inlineStr">
        <is>
          <t>—</t>
        </is>
      </c>
      <c r="N260" s="16" t="inlineStr">
        <is>
          <t>—</t>
        </is>
      </c>
      <c r="O260" s="16" t="inlineStr">
        <is>
          <t>—</t>
        </is>
      </c>
      <c r="P260" s="16" t="inlineStr">
        <is>
          <t>Bedford Av (L)</t>
        </is>
      </c>
      <c r="Q260" s="16" t="inlineStr">
        <is>
          <t>La tienda insignia: mas de 100 salsas artesanales para PROBAR en el local, con el lineup completo de Hot Ones — las mismas diez que toman los invitados del programa, en orden de menor a mayor. El local es el grande de los dos.</t>
        </is>
      </c>
      <c r="R260" s="16" t="inlineStr">
        <is>
          <t>121 Wythe Ave, Brooklyn</t>
        </is>
      </c>
      <c r="S260" s="17" t="inlineStr">
        <is>
          <t>Día 8 · sáb 5/9</t>
        </is>
      </c>
      <c r="T260" s="18" t="inlineStr">
        <is>
          <t>Abrir ↗</t>
        </is>
      </c>
      <c r="U260" s="21" t="inlineStr">
        <is>
          <t>otros</t>
        </is>
      </c>
      <c r="V260" s="20" t="inlineStr"/>
    </row>
    <row r="261" ht="46" customHeight="1">
      <c r="A261" s="9" t="inlineStr">
        <is>
          <t>Hell's Kitchen Flea Market</t>
        </is>
      </c>
      <c r="B261" s="10" t="inlineStr">
        <is>
          <t>Tienda con historia</t>
        </is>
      </c>
      <c r="C261" s="11" t="inlineStr">
        <is>
          <t>Arquitectura</t>
        </is>
      </c>
      <c r="D261" s="11" t="inlineStr">
        <is>
          <t>Hell's Kitchen</t>
        </is>
      </c>
      <c r="E261" s="11" t="inlineStr">
        <is>
          <t>Manhattan</t>
        </is>
      </c>
      <c r="F261" s="12" t="n">
        <v>1</v>
      </c>
      <c r="G261" s="12" t="n">
        <v>1</v>
      </c>
      <c r="H261" s="13">
        <f>IF(AND(F261=2,G261=2),"AMBOS",IF(AND(F261=2,G261&lt;2),"solo JP",IF(AND(F261&lt;2,G261=2),"solo Thais","-")))</f>
        <v/>
      </c>
      <c r="I261" s="14" t="n">
        <v>0</v>
      </c>
      <c r="J261" s="15" t="n">
        <v>0.8</v>
      </c>
      <c r="K261" s="13" t="inlineStr">
        <is>
          <t>no</t>
        </is>
      </c>
      <c r="L261" s="16" t="inlineStr">
        <is>
          <t>—</t>
        </is>
      </c>
      <c r="M261" s="11" t="inlineStr">
        <is>
          <t>—</t>
        </is>
      </c>
      <c r="N261" s="16" t="inlineStr">
        <is>
          <t>—</t>
        </is>
      </c>
      <c r="O261" s="16" t="inlineStr">
        <is>
          <t>—</t>
        </is>
      </c>
      <c r="P261" s="16" t="inlineStr">
        <is>
          <t>42 St-Port Authority (A,C,E)</t>
        </is>
      </c>
      <c r="Q261" s="16" t="inlineStr">
        <is>
          <t>Feria de antiguedades al aire libre, sabados y domingos. Vinilos, camaras y cosas que no vas a encontrar en otro lado.</t>
        </is>
      </c>
      <c r="R261" s="16" t="inlineStr">
        <is>
          <t>W 39th St entre 9th y 10th Ave</t>
        </is>
      </c>
      <c r="S261" s="16" t="inlineStr">
        <is>
          <t>—</t>
        </is>
      </c>
      <c r="T261" s="18" t="inlineStr">
        <is>
          <t>Abrir ↗</t>
        </is>
      </c>
      <c r="U261" s="21" t="inlineStr">
        <is>
          <t>otros</t>
        </is>
      </c>
      <c r="V261" s="20" t="inlineStr"/>
    </row>
    <row r="262" ht="46" customHeight="1">
      <c r="A262" s="9" t="inlineStr">
        <is>
          <t>Housing Works Bookstore</t>
        </is>
      </c>
      <c r="B262" s="10" t="inlineStr">
        <is>
          <t>Tienda con historia</t>
        </is>
      </c>
      <c r="C262" s="11" t="inlineStr">
        <is>
          <t>Arquitectura</t>
        </is>
      </c>
      <c r="D262" s="11" t="inlineStr">
        <is>
          <t>SoHo</t>
        </is>
      </c>
      <c r="E262" s="11" t="inlineStr">
        <is>
          <t>Manhattan</t>
        </is>
      </c>
      <c r="F262" s="12" t="n">
        <v>1</v>
      </c>
      <c r="G262" s="12" t="n">
        <v>1</v>
      </c>
      <c r="H262" s="13">
        <f>IF(AND(F262=2,G262=2),"AMBOS",IF(AND(F262=2,G262&lt;2),"solo JP",IF(AND(F262&lt;2,G262=2),"solo Thais","-")))</f>
        <v/>
      </c>
      <c r="I262" s="14" t="n">
        <v>0</v>
      </c>
      <c r="J262" s="15" t="n">
        <v>0.6</v>
      </c>
      <c r="K262" s="13" t="inlineStr">
        <is>
          <t>no</t>
        </is>
      </c>
      <c r="L262" s="16" t="inlineStr">
        <is>
          <t>—</t>
        </is>
      </c>
      <c r="M262" s="11" t="inlineStr">
        <is>
          <t>—</t>
        </is>
      </c>
      <c r="N262" s="16" t="inlineStr">
        <is>
          <t>—</t>
        </is>
      </c>
      <c r="O262" s="16" t="inlineStr">
        <is>
          <t>—</t>
        </is>
      </c>
      <c r="P262" s="16" t="inlineStr">
        <is>
          <t>Spring St (6)</t>
        </is>
      </c>
      <c r="Q262" s="16" t="inlineStr">
        <is>
          <t>Librería de dos pisos con café: todo lo donado y toda la ganancia va a personas con VIH sin hogar.</t>
        </is>
      </c>
      <c r="R262" s="16" t="inlineStr">
        <is>
          <t>126 Crosby St</t>
        </is>
      </c>
      <c r="S262" s="16" t="inlineStr">
        <is>
          <t>—</t>
        </is>
      </c>
      <c r="T262" s="18" t="inlineStr">
        <is>
          <t>Abrir ↗</t>
        </is>
      </c>
      <c r="U262" s="19" t="inlineStr">
        <is>
          <t>lista google</t>
        </is>
      </c>
      <c r="V262" s="20" t="inlineStr"/>
    </row>
    <row r="263" ht="46" customHeight="1">
      <c r="A263" s="9" t="inlineStr">
        <is>
          <t>Louis Vuitton</t>
        </is>
      </c>
      <c r="B263" s="10" t="inlineStr">
        <is>
          <t>Tienda con historia</t>
        </is>
      </c>
      <c r="C263" s="11" t="inlineStr">
        <is>
          <t>Arquitectura</t>
        </is>
      </c>
      <c r="D263" s="11" t="inlineStr">
        <is>
          <t>Midtown</t>
        </is>
      </c>
      <c r="E263" s="11" t="inlineStr">
        <is>
          <t>Manhattan</t>
        </is>
      </c>
      <c r="F263" s="12" t="n">
        <v>1</v>
      </c>
      <c r="G263" s="12" t="n">
        <v>2</v>
      </c>
      <c r="H263" s="13">
        <f>IF(AND(F263=2,G263=2),"AMBOS",IF(AND(F263=2,G263&lt;2),"solo JP",IF(AND(F263&lt;2,G263=2),"solo Thais","-")))</f>
        <v/>
      </c>
      <c r="I263" s="14" t="n">
        <v>0</v>
      </c>
      <c r="J263" s="15" t="n">
        <v>0.5</v>
      </c>
      <c r="K263" s="13" t="inlineStr">
        <is>
          <t>SÍ</t>
        </is>
      </c>
      <c r="L263" s="16" t="inlineStr">
        <is>
          <t>—</t>
        </is>
      </c>
      <c r="M263" s="11" t="inlineStr">
        <is>
          <t>—</t>
        </is>
      </c>
      <c r="N263" s="16" t="inlineStr">
        <is>
          <t>—</t>
        </is>
      </c>
      <c r="O263" s="16" t="inlineStr">
        <is>
          <t>—</t>
        </is>
      </c>
      <c r="P263" s="16" t="inlineStr">
        <is>
          <t>5 Av/53 St (E,M)</t>
        </is>
      </c>
      <c r="Q263" s="16" t="inlineStr">
        <is>
          <t>Flagship de la Quinta. En la lista de Google, presumiblemente para compras.</t>
        </is>
      </c>
      <c r="R263" s="16" t="inlineStr">
        <is>
          <t>1 E 57th St</t>
        </is>
      </c>
      <c r="S263" s="16" t="inlineStr">
        <is>
          <t>—</t>
        </is>
      </c>
      <c r="T263" s="18" t="inlineStr">
        <is>
          <t>Abrir ↗</t>
        </is>
      </c>
      <c r="U263" s="19" t="inlineStr">
        <is>
          <t>lista google</t>
        </is>
      </c>
      <c r="V263" s="20" t="inlineStr"/>
    </row>
    <row r="264" ht="46" customHeight="1">
      <c r="A264" s="9" t="inlineStr">
        <is>
          <t>M&amp;M'S World New York</t>
        </is>
      </c>
      <c r="B264" s="10" t="inlineStr">
        <is>
          <t>Tienda con historia</t>
        </is>
      </c>
      <c r="C264" s="11" t="inlineStr">
        <is>
          <t>Arquitectura</t>
        </is>
      </c>
      <c r="D264" s="11" t="inlineStr">
        <is>
          <t>Times Square</t>
        </is>
      </c>
      <c r="E264" s="11" t="inlineStr">
        <is>
          <t>Manhattan</t>
        </is>
      </c>
      <c r="F264" s="12" t="n">
        <v>1</v>
      </c>
      <c r="G264" s="12" t="n">
        <v>1</v>
      </c>
      <c r="H264" s="13">
        <f>IF(AND(F264=2,G264=2),"AMBOS",IF(AND(F264=2,G264&lt;2),"solo JP",IF(AND(F264&lt;2,G264=2),"solo Thais","-")))</f>
        <v/>
      </c>
      <c r="I264" s="14" t="n">
        <v>0</v>
      </c>
      <c r="J264" s="15" t="n">
        <v>0.5</v>
      </c>
      <c r="K264" s="13" t="inlineStr">
        <is>
          <t>SÍ</t>
        </is>
      </c>
      <c r="L264" s="16" t="inlineStr">
        <is>
          <t>—</t>
        </is>
      </c>
      <c r="M264" s="11" t="inlineStr">
        <is>
          <t>—</t>
        </is>
      </c>
      <c r="N264" s="16" t="inlineStr">
        <is>
          <t>—</t>
        </is>
      </c>
      <c r="O264" s="16" t="inlineStr">
        <is>
          <t>—</t>
        </is>
      </c>
      <c r="P264" s="16" t="inlineStr">
        <is>
          <t>42 St-Times Sq</t>
        </is>
      </c>
      <c r="Q264" s="16" t="inlineStr">
        <is>
          <t>Tres pisos de merchandising en Times Square. Es lo que promete, ni más ni menos.</t>
        </is>
      </c>
      <c r="R264" s="16" t="inlineStr">
        <is>
          <t>1600 Broadway</t>
        </is>
      </c>
      <c r="S264" s="16" t="inlineStr">
        <is>
          <t>—</t>
        </is>
      </c>
      <c r="T264" s="18" t="inlineStr">
        <is>
          <t>Abrir ↗</t>
        </is>
      </c>
      <c r="U264" s="19" t="inlineStr">
        <is>
          <t>lista google</t>
        </is>
      </c>
      <c r="V264" s="20" t="inlineStr"/>
    </row>
    <row r="265" ht="46" customHeight="1">
      <c r="A265" s="9" t="inlineStr">
        <is>
          <t>McNally Jackson Books</t>
        </is>
      </c>
      <c r="B265" s="10" t="inlineStr">
        <is>
          <t>Tienda con historia</t>
        </is>
      </c>
      <c r="C265" s="11" t="inlineStr">
        <is>
          <t>Arquitectura</t>
        </is>
      </c>
      <c r="D265" s="11" t="inlineStr">
        <is>
          <t>SoHo</t>
        </is>
      </c>
      <c r="E265" s="11" t="inlineStr">
        <is>
          <t>Manhattan</t>
        </is>
      </c>
      <c r="F265" s="12" t="n">
        <v>1</v>
      </c>
      <c r="G265" s="12" t="n">
        <v>1</v>
      </c>
      <c r="H265" s="13">
        <f>IF(AND(F265=2,G265=2),"AMBOS",IF(AND(F265=2,G265&lt;2),"solo JP",IF(AND(F265&lt;2,G265=2),"solo Thais","-")))</f>
        <v/>
      </c>
      <c r="I265" s="14" t="n">
        <v>0</v>
      </c>
      <c r="J265" s="15" t="n">
        <v>0.5</v>
      </c>
      <c r="K265" s="13" t="inlineStr">
        <is>
          <t>no</t>
        </is>
      </c>
      <c r="L265" s="16" t="inlineStr">
        <is>
          <t>—</t>
        </is>
      </c>
      <c r="M265" s="11" t="inlineStr">
        <is>
          <t>—</t>
        </is>
      </c>
      <c r="N265" s="16" t="inlineStr">
        <is>
          <t>—</t>
        </is>
      </c>
      <c r="O265" s="16" t="inlineStr">
        <is>
          <t>—</t>
        </is>
      </c>
      <c r="P265" s="16" t="inlineStr">
        <is>
          <t>Prince St (N,R,W)</t>
        </is>
      </c>
      <c r="Q265" s="16" t="inlineStr">
        <is>
          <t>La libreria independiente que definio el SoHo literario: mesas curadas a mano y una seccion de traduccion que no tiene nadie.</t>
        </is>
      </c>
      <c r="R265" s="16" t="inlineStr">
        <is>
          <t>134 Prince St</t>
        </is>
      </c>
      <c r="S265" s="16" t="inlineStr">
        <is>
          <t>—</t>
        </is>
      </c>
      <c r="T265" s="18" t="inlineStr">
        <is>
          <t>Abrir ↗</t>
        </is>
      </c>
      <c r="U265" s="21" t="inlineStr">
        <is>
          <t>otros</t>
        </is>
      </c>
      <c r="V265" s="20" t="inlineStr"/>
    </row>
    <row r="266" ht="46" customHeight="1">
      <c r="A266" s="9" t="inlineStr">
        <is>
          <t>The Mills at Jersey Gardens</t>
        </is>
      </c>
      <c r="B266" s="10" t="inlineStr">
        <is>
          <t>Tienda con historia</t>
        </is>
      </c>
      <c r="C266" s="11" t="inlineStr">
        <is>
          <t>Arquitectura</t>
        </is>
      </c>
      <c r="D266" s="11" t="inlineStr">
        <is>
          <t>Elizabeth</t>
        </is>
      </c>
      <c r="E266" s="11" t="inlineStr">
        <is>
          <t>New Jersey</t>
        </is>
      </c>
      <c r="F266" s="12" t="n">
        <v>1</v>
      </c>
      <c r="G266" s="12" t="n">
        <v>1</v>
      </c>
      <c r="H266" s="13">
        <f>IF(AND(F266=2,G266=2),"AMBOS",IF(AND(F266=2,G266&lt;2),"solo JP",IF(AND(F266&lt;2,G266=2),"solo Thais","-")))</f>
        <v/>
      </c>
      <c r="I266" s="14" t="n">
        <v>0</v>
      </c>
      <c r="J266" s="15" t="n">
        <v>3</v>
      </c>
      <c r="K266" s="13" t="inlineStr">
        <is>
          <t>no</t>
        </is>
      </c>
      <c r="L266" s="16" t="inlineStr">
        <is>
          <t>—</t>
        </is>
      </c>
      <c r="M266" s="11" t="inlineStr">
        <is>
          <t>—</t>
        </is>
      </c>
      <c r="N266" s="16" t="inlineStr">
        <is>
          <t>—</t>
        </is>
      </c>
      <c r="O266" s="16" t="inlineStr">
        <is>
          <t>—</t>
        </is>
      </c>
      <c r="P266" s="16" t="inlineStr">
        <is>
          <t>NJ Transit bus 40 o shuttle desde EWR</t>
        </is>
      </c>
      <c r="Q266" s="16" t="inlineStr">
        <is>
          <t>El outlet mas grande de New Jersey, 200+ locales bajo techo y A CINCO MINUTOS DEL AEROPUERTO DE NEWARK, con shuttle propio desde la terminal. En New Jersey la ropa y el calzado NO pagan impuesto a las ventas. Sirve el domingo del vuelo si adelantan la salida, o cualquier dia que Thais este en NJ.</t>
        </is>
      </c>
      <c r="R266" s="16" t="inlineStr">
        <is>
          <t>651 Kapkowski Rd, Elizabeth, NJ</t>
        </is>
      </c>
      <c r="S266" s="16" t="inlineStr">
        <is>
          <t>—</t>
        </is>
      </c>
      <c r="T266" s="18" t="inlineStr">
        <is>
          <t>Abrir ↗</t>
        </is>
      </c>
      <c r="U266" s="21" t="inlineStr">
        <is>
          <t>otros</t>
        </is>
      </c>
      <c r="V266" s="20" t="inlineStr"/>
    </row>
    <row r="267" ht="46" customHeight="1">
      <c r="A267" s="9" t="inlineStr">
        <is>
          <t>Green-Wood Cemetery</t>
        </is>
      </c>
      <c r="B267" s="10" t="inlineStr">
        <is>
          <t>Cementerio-jardín</t>
        </is>
      </c>
      <c r="C267" s="11" t="inlineStr">
        <is>
          <t>Parque</t>
        </is>
      </c>
      <c r="D267" s="11" t="inlineStr">
        <is>
          <t>Greenwood Heights</t>
        </is>
      </c>
      <c r="E267" s="11" t="inlineStr">
        <is>
          <t>Brooklyn</t>
        </is>
      </c>
      <c r="F267" s="12" t="n">
        <v>0</v>
      </c>
      <c r="G267" s="12" t="n">
        <v>0</v>
      </c>
      <c r="H267" s="13">
        <f>IF(AND(F267=2,G267=2),"AMBOS",IF(AND(F267=2,G267&lt;2),"solo JP",IF(AND(F267&lt;2,G267=2),"solo Thais","-")))</f>
        <v/>
      </c>
      <c r="I267" s="14" t="n">
        <v>0</v>
      </c>
      <c r="J267" s="15" t="n">
        <v>2.5</v>
      </c>
      <c r="K267" s="13" t="inlineStr">
        <is>
          <t>no</t>
        </is>
      </c>
      <c r="L267" s="16" t="inlineStr">
        <is>
          <t>—</t>
        </is>
      </c>
      <c r="M267" s="11" t="inlineStr">
        <is>
          <t>—</t>
        </is>
      </c>
      <c r="N267" s="16" t="inlineStr">
        <is>
          <t>—</t>
        </is>
      </c>
      <c r="O267" s="16" t="inlineStr">
        <is>
          <t>—</t>
        </is>
      </c>
      <c r="P267" s="16" t="inlineStr">
        <is>
          <t>25 St (R)</t>
        </is>
      </c>
      <c r="Q267" s="16" t="inlineStr">
        <is>
          <t>190 hectareas de cementerio-jardin victoriano de 1838, con la colina mas alta de Brooklyn y vista de Manhattan. Hay guia gratuita en la app Bloomberg Connects. Es un parque enorme donde no hay nadie.</t>
        </is>
      </c>
      <c r="R267" s="16" t="inlineStr">
        <is>
          <t>500 25th St, Brooklyn</t>
        </is>
      </c>
      <c r="S267" s="16" t="inlineStr">
        <is>
          <t>—</t>
        </is>
      </c>
      <c r="T267" s="18" t="inlineStr">
        <is>
          <t>Abrir ↗</t>
        </is>
      </c>
      <c r="U267" s="21" t="inlineStr">
        <is>
          <t>otros</t>
        </is>
      </c>
      <c r="V267" s="20" t="inlineStr"/>
    </row>
    <row r="268" ht="46" customHeight="1">
      <c r="A268" s="9" t="inlineStr">
        <is>
          <t>Inwood Hill Park</t>
        </is>
      </c>
      <c r="B268" s="10" t="inlineStr">
        <is>
          <t>Naturaleza</t>
        </is>
      </c>
      <c r="C268" s="11" t="inlineStr">
        <is>
          <t>Parque</t>
        </is>
      </c>
      <c r="D268" s="11" t="inlineStr">
        <is>
          <t>Inwood</t>
        </is>
      </c>
      <c r="E268" s="11" t="inlineStr">
        <is>
          <t>Manhattan</t>
        </is>
      </c>
      <c r="F268" s="12" t="n">
        <v>1</v>
      </c>
      <c r="G268" s="12" t="n">
        <v>0</v>
      </c>
      <c r="H268" s="13">
        <f>IF(AND(F268=2,G268=2),"AMBOS",IF(AND(F268=2,G268&lt;2),"solo JP",IF(AND(F268&lt;2,G268=2),"solo Thais","-")))</f>
        <v/>
      </c>
      <c r="I268" s="14" t="n">
        <v>0</v>
      </c>
      <c r="J268" s="15" t="n">
        <v>2</v>
      </c>
      <c r="K268" s="13" t="inlineStr">
        <is>
          <t>no</t>
        </is>
      </c>
      <c r="L268" s="16" t="inlineStr">
        <is>
          <t>—</t>
        </is>
      </c>
      <c r="M268" s="11" t="inlineStr">
        <is>
          <t>—</t>
        </is>
      </c>
      <c r="N268" s="16" t="inlineStr">
        <is>
          <t>—</t>
        </is>
      </c>
      <c r="O268" s="16" t="inlineStr">
        <is>
          <t>—</t>
        </is>
      </c>
      <c r="P268" s="16" t="inlineStr">
        <is>
          <t>Dyckman St o 207 St (A)</t>
        </is>
      </c>
      <c r="Q268" s="16" t="inlineStr">
        <is>
          <t>El unico bosque primario que queda en Manhattan, con cuevas de roca usadas por los Lenape y vista del Hudson y los Palisades. Cuesta creer que sea la misma isla.</t>
        </is>
      </c>
      <c r="R268" s="16" t="inlineStr">
        <is>
          <t>Inwood Hill Park, Manhattan</t>
        </is>
      </c>
      <c r="S268" s="16" t="inlineStr">
        <is>
          <t>—</t>
        </is>
      </c>
      <c r="T268" s="18" t="inlineStr">
        <is>
          <t>Abrir ↗</t>
        </is>
      </c>
      <c r="U268" s="21" t="inlineStr">
        <is>
          <t>otros</t>
        </is>
      </c>
      <c r="V268" s="20" t="inlineStr"/>
    </row>
    <row r="269" ht="46" customHeight="1">
      <c r="A269" s="9" t="inlineStr">
        <is>
          <t>New York Botanical Garden</t>
        </is>
      </c>
      <c r="B269" s="10" t="inlineStr">
        <is>
          <t>Naturaleza</t>
        </is>
      </c>
      <c r="C269" s="11" t="inlineStr">
        <is>
          <t>Parque</t>
        </is>
      </c>
      <c r="D269" s="11" t="inlineStr">
        <is>
          <t>Bronx Park</t>
        </is>
      </c>
      <c r="E269" s="11" t="inlineStr">
        <is>
          <t>Bronx</t>
        </is>
      </c>
      <c r="F269" s="12" t="n">
        <v>1</v>
      </c>
      <c r="G269" s="12" t="n">
        <v>1</v>
      </c>
      <c r="H269" s="13">
        <f>IF(AND(F269=2,G269=2),"AMBOS",IF(AND(F269=2,G269&lt;2),"solo JP",IF(AND(F269&lt;2,G269=2),"solo Thais","-")))</f>
        <v/>
      </c>
      <c r="I269" s="14" t="n">
        <v>35</v>
      </c>
      <c r="J269" s="15" t="n">
        <v>3</v>
      </c>
      <c r="K269" s="13" t="inlineStr">
        <is>
          <t>no</t>
        </is>
      </c>
      <c r="L269" s="16" t="inlineStr">
        <is>
          <t>—</t>
        </is>
      </c>
      <c r="M269" s="11" t="inlineStr">
        <is>
          <t>—</t>
        </is>
      </c>
      <c r="N269" s="16" t="inlineStr">
        <is>
          <t>—</t>
        </is>
      </c>
      <c r="O269" s="16" t="inlineStr">
        <is>
          <t>—</t>
        </is>
      </c>
      <c r="P269" s="16" t="inlineStr">
        <is>
          <t>Metro-North a Botanical Garden, o Bx26</t>
        </is>
      </c>
      <c r="Q269" s="16" t="inlineStr">
        <is>
          <t>Un bosque original de 20 hectareas que nunca se talo, mas el invernadero victoriano. A diez cuadras de Arthur Avenue.</t>
        </is>
      </c>
      <c r="R269" s="16" t="inlineStr">
        <is>
          <t>2900 Southern Blvd, Bronx</t>
        </is>
      </c>
      <c r="S269" s="16" t="inlineStr">
        <is>
          <t>—</t>
        </is>
      </c>
      <c r="T269" s="18" t="inlineStr">
        <is>
          <t>Abrir ↗</t>
        </is>
      </c>
      <c r="U269" s="21" t="inlineStr">
        <is>
          <t>otros</t>
        </is>
      </c>
      <c r="V269" s="20" t="inlineStr"/>
    </row>
    <row r="270" ht="46" customHeight="1">
      <c r="A270" s="9" t="inlineStr">
        <is>
          <t>Wave Hill</t>
        </is>
      </c>
      <c r="B270" s="10" t="inlineStr">
        <is>
          <t>Naturaleza</t>
        </is>
      </c>
      <c r="C270" s="11" t="inlineStr">
        <is>
          <t>Parque</t>
        </is>
      </c>
      <c r="D270" s="11" t="inlineStr">
        <is>
          <t>Riverdale</t>
        </is>
      </c>
      <c r="E270" s="11" t="inlineStr">
        <is>
          <t>Bronx</t>
        </is>
      </c>
      <c r="F270" s="12" t="n">
        <v>1</v>
      </c>
      <c r="G270" s="12" t="n">
        <v>1</v>
      </c>
      <c r="H270" s="13">
        <f>IF(AND(F270=2,G270=2),"AMBOS",IF(AND(F270=2,G270&lt;2),"solo JP",IF(AND(F270&lt;2,G270=2),"solo Thais","-")))</f>
        <v/>
      </c>
      <c r="I270" s="14" t="n">
        <v>10</v>
      </c>
      <c r="J270" s="15" t="n">
        <v>2.5</v>
      </c>
      <c r="K270" s="13" t="inlineStr">
        <is>
          <t>no</t>
        </is>
      </c>
      <c r="L270" s="16" t="inlineStr">
        <is>
          <t>—</t>
        </is>
      </c>
      <c r="M270" s="11" t="inlineStr">
        <is>
          <t>lunes</t>
        </is>
      </c>
      <c r="N270" s="16" t="inlineStr">
        <is>
          <t>—</t>
        </is>
      </c>
      <c r="O270" s="16" t="inlineStr">
        <is>
          <t>—</t>
        </is>
      </c>
      <c r="P270" s="16" t="inlineStr">
        <is>
          <t>Metro-North a Riverdale + shuttle</t>
        </is>
      </c>
      <c r="Q270" s="16" t="inlineStr">
        <is>
          <t>Jardin botanico sobre un acantilado del Hudson, con los Palisades enfrente. Es el lugar mas tranquilo de los cinco boroughs.</t>
        </is>
      </c>
      <c r="R270" s="16" t="inlineStr">
        <is>
          <t>4900 Independence Ave, Bronx</t>
        </is>
      </c>
      <c r="S270" s="16" t="inlineStr">
        <is>
          <t>—</t>
        </is>
      </c>
      <c r="T270" s="18" t="inlineStr">
        <is>
          <t>Abrir ↗</t>
        </is>
      </c>
      <c r="U270" s="19" t="inlineStr">
        <is>
          <t>lista google</t>
        </is>
      </c>
      <c r="V270" s="20" t="inlineStr"/>
    </row>
    <row r="271" ht="46" customHeight="1">
      <c r="A271" s="9" t="inlineStr">
        <is>
          <t>Elizabeth Street Garden</t>
        </is>
      </c>
      <c r="B271" s="10" t="inlineStr">
        <is>
          <t>Parque de esculturas</t>
        </is>
      </c>
      <c r="C271" s="11" t="inlineStr">
        <is>
          <t>Parque</t>
        </is>
      </c>
      <c r="D271" s="11" t="inlineStr">
        <is>
          <t>Nolita</t>
        </is>
      </c>
      <c r="E271" s="11" t="inlineStr">
        <is>
          <t>Manhattan</t>
        </is>
      </c>
      <c r="F271" s="12" t="n">
        <v>1</v>
      </c>
      <c r="G271" s="12" t="n">
        <v>1</v>
      </c>
      <c r="H271" s="13">
        <f>IF(AND(F271=2,G271=2),"AMBOS",IF(AND(F271=2,G271&lt;2),"solo JP",IF(AND(F271&lt;2,G271=2),"solo Thais","-")))</f>
        <v/>
      </c>
      <c r="I271" s="14" t="n">
        <v>0</v>
      </c>
      <c r="J271" s="15" t="n">
        <v>0.4</v>
      </c>
      <c r="K271" s="13" t="inlineStr">
        <is>
          <t>no</t>
        </is>
      </c>
      <c r="L271" s="16" t="inlineStr">
        <is>
          <t>—</t>
        </is>
      </c>
      <c r="M271" s="11" t="inlineStr">
        <is>
          <t>—</t>
        </is>
      </c>
      <c r="N271" s="16" t="inlineStr">
        <is>
          <t>—</t>
        </is>
      </c>
      <c r="O271" s="16" t="inlineStr">
        <is>
          <t>—</t>
        </is>
      </c>
      <c r="P271" s="16" t="inlineStr">
        <is>
          <t>Spring St (6)</t>
        </is>
      </c>
      <c r="Q271" s="16" t="inlineStr">
        <is>
          <t>Jardin de esculturas metido entre edificios, con estatuas victorianas entre los yuyos. Gratis y lleno de vecinos, no de turistas.</t>
        </is>
      </c>
      <c r="R271" s="16" t="inlineStr">
        <is>
          <t>Elizabeth St entre Prince y Spring</t>
        </is>
      </c>
      <c r="S271" s="16" t="inlineStr">
        <is>
          <t>—</t>
        </is>
      </c>
      <c r="T271" s="18" t="inlineStr">
        <is>
          <t>Abrir ↗</t>
        </is>
      </c>
      <c r="U271" s="21" t="inlineStr">
        <is>
          <t>otros</t>
        </is>
      </c>
      <c r="V271" s="20" t="inlineStr"/>
    </row>
    <row r="272" ht="46" customHeight="1">
      <c r="A272" s="9" t="inlineStr">
        <is>
          <t>Socrates Sculpture Park</t>
        </is>
      </c>
      <c r="B272" s="10" t="inlineStr">
        <is>
          <t>Parque de esculturas</t>
        </is>
      </c>
      <c r="C272" s="11" t="inlineStr">
        <is>
          <t>Parque</t>
        </is>
      </c>
      <c r="D272" s="11" t="inlineStr">
        <is>
          <t>Long Island City</t>
        </is>
      </c>
      <c r="E272" s="11" t="inlineStr">
        <is>
          <t>Queens</t>
        </is>
      </c>
      <c r="F272" s="12" t="n">
        <v>0</v>
      </c>
      <c r="G272" s="12" t="n">
        <v>0</v>
      </c>
      <c r="H272" s="13">
        <f>IF(AND(F272=2,G272=2),"AMBOS",IF(AND(F272=2,G272&lt;2),"solo JP",IF(AND(F272&lt;2,G272=2),"solo Thais","-")))</f>
        <v/>
      </c>
      <c r="I272" s="14" t="n">
        <v>0</v>
      </c>
      <c r="J272" s="15" t="n">
        <v>1</v>
      </c>
      <c r="K272" s="13" t="inlineStr">
        <is>
          <t>no</t>
        </is>
      </c>
      <c r="L272" s="16" t="inlineStr">
        <is>
          <t>—</t>
        </is>
      </c>
      <c r="M272" s="11" t="inlineStr">
        <is>
          <t>—</t>
        </is>
      </c>
      <c r="N272" s="16" t="inlineStr">
        <is>
          <t>—</t>
        </is>
      </c>
      <c r="O272" s="16" t="inlineStr">
        <is>
          <t>—</t>
        </is>
      </c>
      <c r="P272" s="16" t="inlineStr">
        <is>
          <t>Broadway (N,W)</t>
        </is>
      </c>
      <c r="Q272" s="16" t="inlineStr">
        <is>
          <t>Ex basural convertido en parque de esculturas sobre el East River. 'Homecoming' de Chakaia Booker (esculturas de neumaticos) hasta abril 2027. A 5 minutos del Noguchi.</t>
        </is>
      </c>
      <c r="R272" s="16" t="inlineStr">
        <is>
          <t>32-01 Vernon Blvd, LIC</t>
        </is>
      </c>
      <c r="S272" s="16" t="inlineStr">
        <is>
          <t>—</t>
        </is>
      </c>
      <c r="T272" s="18" t="inlineStr">
        <is>
          <t>Abrir ↗</t>
        </is>
      </c>
      <c r="U272" s="21" t="inlineStr">
        <is>
          <t>otros</t>
        </is>
      </c>
      <c r="V272" s="20" t="inlineStr"/>
    </row>
    <row r="273" ht="46" customHeight="1">
      <c r="A273" s="9" t="inlineStr">
        <is>
          <t>Astoria Park</t>
        </is>
      </c>
      <c r="B273" s="10" t="inlineStr">
        <is>
          <t>Parque urbano</t>
        </is>
      </c>
      <c r="C273" s="11" t="inlineStr">
        <is>
          <t>Parque</t>
        </is>
      </c>
      <c r="D273" s="11" t="inlineStr">
        <is>
          <t>Astoria</t>
        </is>
      </c>
      <c r="E273" s="11" t="inlineStr">
        <is>
          <t>Queens</t>
        </is>
      </c>
      <c r="F273" s="12" t="n">
        <v>1</v>
      </c>
      <c r="G273" s="12" t="n">
        <v>1</v>
      </c>
      <c r="H273" s="13">
        <f>IF(AND(F273=2,G273=2),"AMBOS",IF(AND(F273=2,G273&lt;2),"solo JP",IF(AND(F273&lt;2,G273=2),"solo Thais","-")))</f>
        <v/>
      </c>
      <c r="I273" s="14" t="n">
        <v>0</v>
      </c>
      <c r="J273" s="15" t="n">
        <v>1</v>
      </c>
      <c r="K273" s="13" t="inlineStr">
        <is>
          <t>no</t>
        </is>
      </c>
      <c r="L273" s="16" t="inlineStr">
        <is>
          <t>—</t>
        </is>
      </c>
      <c r="M273" s="11" t="inlineStr">
        <is>
          <t>—</t>
        </is>
      </c>
      <c r="N273" s="16" t="inlineStr">
        <is>
          <t>—</t>
        </is>
      </c>
      <c r="O273" s="16" t="inlineStr">
        <is>
          <t>—</t>
        </is>
      </c>
      <c r="P273" s="16" t="inlineStr">
        <is>
          <t>Astoria Blvd (N,W) + caminata</t>
        </is>
      </c>
      <c r="Q273" s="16" t="inlineStr">
        <is>
          <t>Debajo del Hell Gate Bridge, con el Triborough al lado y Manhattan enfrente. Al atardecer es de los mejores lugares de la ciudad y solo hay vecinos corriendo.</t>
        </is>
      </c>
      <c r="R273" s="16" t="inlineStr">
        <is>
          <t>19th St &amp; 23rd Ave, Astoria</t>
        </is>
      </c>
      <c r="S273" s="16" t="inlineStr">
        <is>
          <t>—</t>
        </is>
      </c>
      <c r="T273" s="18" t="inlineStr">
        <is>
          <t>Abrir ↗</t>
        </is>
      </c>
      <c r="U273" s="21" t="inlineStr">
        <is>
          <t>otros</t>
        </is>
      </c>
      <c r="V273" s="20" t="inlineStr"/>
    </row>
    <row r="274" ht="46" customHeight="1">
      <c r="A274" s="9" t="inlineStr">
        <is>
          <t>Battery Park</t>
        </is>
      </c>
      <c r="B274" s="10" t="inlineStr">
        <is>
          <t>Parque urbano</t>
        </is>
      </c>
      <c r="C274" s="11" t="inlineStr">
        <is>
          <t>Parque</t>
        </is>
      </c>
      <c r="D274" s="11" t="inlineStr">
        <is>
          <t>Financial District</t>
        </is>
      </c>
      <c r="E274" s="11" t="inlineStr">
        <is>
          <t>Manhattan</t>
        </is>
      </c>
      <c r="F274" s="12" t="n">
        <v>1</v>
      </c>
      <c r="G274" s="12" t="n">
        <v>1</v>
      </c>
      <c r="H274" s="13">
        <f>IF(AND(F274=2,G274=2),"AMBOS",IF(AND(F274=2,G274&lt;2),"solo JP",IF(AND(F274&lt;2,G274=2),"solo Thais","-")))</f>
        <v/>
      </c>
      <c r="I274" s="14" t="n">
        <v>0</v>
      </c>
      <c r="J274" s="15" t="n">
        <v>0.75</v>
      </c>
      <c r="K274" s="13" t="inlineStr">
        <is>
          <t>SÍ</t>
        </is>
      </c>
      <c r="L274" s="16" t="inlineStr">
        <is>
          <t>—</t>
        </is>
      </c>
      <c r="M274" s="11" t="inlineStr">
        <is>
          <t>—</t>
        </is>
      </c>
      <c r="N274" s="16" t="inlineStr">
        <is>
          <t>—</t>
        </is>
      </c>
      <c r="O274" s="16" t="inlineStr">
        <is>
          <t>—</t>
        </is>
      </c>
      <c r="P274" s="16" t="inlineStr">
        <is>
          <t>Bowling Green (4,5), South Ferry (1)</t>
        </is>
      </c>
      <c r="Q274" s="16" t="inlineStr">
        <is>
          <t>La punta sur de la isla: la bahía, la Estatua a lo lejos y el embarcadero del ferry. Gratis.</t>
        </is>
      </c>
      <c r="R274" s="16" t="inlineStr"/>
      <c r="S274" s="16" t="inlineStr">
        <is>
          <t>—</t>
        </is>
      </c>
      <c r="T274" s="18" t="inlineStr">
        <is>
          <t>Abrir ↗</t>
        </is>
      </c>
      <c r="U274" s="19" t="inlineStr">
        <is>
          <t>lista google</t>
        </is>
      </c>
      <c r="V274" s="20" t="inlineStr"/>
    </row>
    <row r="275" ht="46" customHeight="1">
      <c r="A275" s="9" t="inlineStr">
        <is>
          <t>Brooklyn Bridge Park</t>
        </is>
      </c>
      <c r="B275" s="10" t="inlineStr">
        <is>
          <t>Parque urbano</t>
        </is>
      </c>
      <c r="C275" s="11" t="inlineStr">
        <is>
          <t>Parque</t>
        </is>
      </c>
      <c r="D275" s="11" t="inlineStr">
        <is>
          <t>DUMBO / Brooklyn Heights</t>
        </is>
      </c>
      <c r="E275" s="11" t="inlineStr">
        <is>
          <t>Brooklyn</t>
        </is>
      </c>
      <c r="F275" s="12" t="n">
        <v>2</v>
      </c>
      <c r="G275" s="12" t="n">
        <v>2</v>
      </c>
      <c r="H275" s="13">
        <f>IF(AND(F275=2,G275=2),"AMBOS",IF(AND(F275=2,G275&lt;2),"solo JP",IF(AND(F275&lt;2,G275=2),"solo Thais","-")))</f>
        <v/>
      </c>
      <c r="I275" s="14" t="n">
        <v>0</v>
      </c>
      <c r="J275" s="15" t="n">
        <v>1.5</v>
      </c>
      <c r="K275" s="13" t="inlineStr">
        <is>
          <t>SÍ</t>
        </is>
      </c>
      <c r="L275" s="16" t="inlineStr">
        <is>
          <t>—</t>
        </is>
      </c>
      <c r="M275" s="11" t="inlineStr">
        <is>
          <t>—</t>
        </is>
      </c>
      <c r="N275" s="16" t="inlineStr">
        <is>
          <t>—</t>
        </is>
      </c>
      <c r="O275" s="16" t="inlineStr">
        <is>
          <t>—</t>
        </is>
      </c>
      <c r="P275" s="16" t="inlineStr">
        <is>
          <t>York St (F), High St (A,C)</t>
        </is>
      </c>
      <c r="Q275" s="16" t="inlineStr">
        <is>
          <t>Muelles reconvertidos con el skyline de Lower Manhattan de frente. Woody De Othello, 'Guardian Spirit', en el Pier 1 hasta marzo 2027.</t>
        </is>
      </c>
      <c r="R275" s="16" t="inlineStr">
        <is>
          <t>334 Furman St, Brooklyn</t>
        </is>
      </c>
      <c r="S275" s="17" t="inlineStr">
        <is>
          <t>Día 8 · sáb 5/9</t>
        </is>
      </c>
      <c r="T275" s="18" t="inlineStr">
        <is>
          <t>Abrir ↗</t>
        </is>
      </c>
      <c r="U275" s="21" t="inlineStr">
        <is>
          <t>otros</t>
        </is>
      </c>
      <c r="V275" s="20" t="inlineStr">
        <is>
          <t>SÍ</t>
        </is>
      </c>
    </row>
    <row r="276" ht="46" customHeight="1">
      <c r="A276" s="9" t="inlineStr">
        <is>
          <t>Bryant Park</t>
        </is>
      </c>
      <c r="B276" s="10" t="inlineStr">
        <is>
          <t>Parque urbano</t>
        </is>
      </c>
      <c r="C276" s="11" t="inlineStr">
        <is>
          <t>Parque</t>
        </is>
      </c>
      <c r="D276" s="11" t="inlineStr">
        <is>
          <t>Midtown</t>
        </is>
      </c>
      <c r="E276" s="11" t="inlineStr">
        <is>
          <t>Manhattan</t>
        </is>
      </c>
      <c r="F276" s="12" t="n">
        <v>2</v>
      </c>
      <c r="G276" s="12" t="n">
        <v>0</v>
      </c>
      <c r="H276" s="13">
        <f>IF(AND(F276=2,G276=2),"AMBOS",IF(AND(F276=2,G276&lt;2),"solo JP",IF(AND(F276&lt;2,G276=2),"solo Thais","-")))</f>
        <v/>
      </c>
      <c r="I276" s="14" t="n">
        <v>0</v>
      </c>
      <c r="J276" s="15" t="n">
        <v>0.75</v>
      </c>
      <c r="K276" s="13" t="inlineStr">
        <is>
          <t>SÍ</t>
        </is>
      </c>
      <c r="L276" s="16" t="inlineStr">
        <is>
          <t>—</t>
        </is>
      </c>
      <c r="M276" s="11" t="inlineStr">
        <is>
          <t>—</t>
        </is>
      </c>
      <c r="N276" s="16" t="inlineStr">
        <is>
          <t>—</t>
        </is>
      </c>
      <c r="O276" s="16" t="inlineStr">
        <is>
          <t>—</t>
        </is>
      </c>
      <c r="P276" s="16" t="inlineStr">
        <is>
          <t>5 Av-Bryant Pk (7,B,D,F,M)</t>
        </is>
      </c>
      <c r="Q276" s="16" t="inlineStr">
        <is>
          <t>El patio trasero de la Biblioteca Publica. Picnic Performances gratis toda la temporada: sab 29/8 (Accordion Festival), jue 3 y vie 4/9 (Brass Festival).</t>
        </is>
      </c>
      <c r="R276" s="16" t="inlineStr">
        <is>
          <t>Bryant Park, New York</t>
        </is>
      </c>
      <c r="S276" s="17" t="inlineStr">
        <is>
          <t>Día 3 · lun 31/8</t>
        </is>
      </c>
      <c r="T276" s="18" t="inlineStr">
        <is>
          <t>Abrir ↗</t>
        </is>
      </c>
      <c r="U276" s="21" t="inlineStr">
        <is>
          <t>otros</t>
        </is>
      </c>
      <c r="V276" s="20" t="inlineStr">
        <is>
          <t>SÍ</t>
        </is>
      </c>
    </row>
    <row r="277" ht="46" customHeight="1">
      <c r="A277" s="9" t="inlineStr">
        <is>
          <t>Carl Schurz Park</t>
        </is>
      </c>
      <c r="B277" s="10" t="inlineStr">
        <is>
          <t>Parque urbano</t>
        </is>
      </c>
      <c r="C277" s="11" t="inlineStr">
        <is>
          <t>Parque</t>
        </is>
      </c>
      <c r="D277" s="11" t="inlineStr">
        <is>
          <t>Upper East Side</t>
        </is>
      </c>
      <c r="E277" s="11" t="inlineStr">
        <is>
          <t>Manhattan</t>
        </is>
      </c>
      <c r="F277" s="12" t="n">
        <v>1</v>
      </c>
      <c r="G277" s="12" t="n">
        <v>1</v>
      </c>
      <c r="H277" s="13">
        <f>IF(AND(F277=2,G277=2),"AMBOS",IF(AND(F277=2,G277&lt;2),"solo JP",IF(AND(F277&lt;2,G277=2),"solo Thais","-")))</f>
        <v/>
      </c>
      <c r="I277" s="14" t="n">
        <v>0</v>
      </c>
      <c r="J277" s="15" t="n">
        <v>0.6</v>
      </c>
      <c r="K277" s="13" t="inlineStr">
        <is>
          <t>no</t>
        </is>
      </c>
      <c r="L277" s="16" t="inlineStr">
        <is>
          <t>—</t>
        </is>
      </c>
      <c r="M277" s="11" t="inlineStr">
        <is>
          <t>—</t>
        </is>
      </c>
      <c r="N277" s="16" t="inlineStr">
        <is>
          <t>—</t>
        </is>
      </c>
      <c r="O277" s="16" t="inlineStr">
        <is>
          <t>—</t>
        </is>
      </c>
      <c r="P277" s="16" t="inlineStr">
        <is>
          <t>86 St (4,5,6) + M86 al este</t>
        </is>
      </c>
      <c r="Q277" s="16" t="inlineStr">
        <is>
          <t>Promenade sobre el East River con Gracie Mansion adentro, la casa del intendente. Lo usan los vecinos, no los turistas.</t>
        </is>
      </c>
      <c r="R277" s="16" t="inlineStr">
        <is>
          <t>East End Ave y E 86th St</t>
        </is>
      </c>
      <c r="S277" s="16" t="inlineStr">
        <is>
          <t>—</t>
        </is>
      </c>
      <c r="T277" s="18" t="inlineStr">
        <is>
          <t>Abrir ↗</t>
        </is>
      </c>
      <c r="U277" s="21" t="inlineStr">
        <is>
          <t>otros</t>
        </is>
      </c>
      <c r="V277" s="20" t="inlineStr"/>
    </row>
    <row r="278" ht="46" customHeight="1">
      <c r="A278" s="9" t="inlineStr">
        <is>
          <t>Central Park</t>
        </is>
      </c>
      <c r="B278" s="10" t="inlineStr">
        <is>
          <t>Parque urbano</t>
        </is>
      </c>
      <c r="C278" s="11" t="inlineStr">
        <is>
          <t>Parque</t>
        </is>
      </c>
      <c r="D278" s="11" t="inlineStr">
        <is>
          <t>Central Park</t>
        </is>
      </c>
      <c r="E278" s="11" t="inlineStr">
        <is>
          <t>Manhattan</t>
        </is>
      </c>
      <c r="F278" s="12" t="n">
        <v>2</v>
      </c>
      <c r="G278" s="12" t="n">
        <v>2</v>
      </c>
      <c r="H278" s="13">
        <f>IF(AND(F278=2,G278=2),"AMBOS",IF(AND(F278=2,G278&lt;2),"solo JP",IF(AND(F278&lt;2,G278=2),"solo Thais","-")))</f>
        <v/>
      </c>
      <c r="I278" s="14" t="n">
        <v>0</v>
      </c>
      <c r="J278" s="15" t="n">
        <v>3</v>
      </c>
      <c r="K278" s="13" t="inlineStr">
        <is>
          <t>SÍ</t>
        </is>
      </c>
      <c r="L278" s="16" t="inlineStr">
        <is>
          <t>—</t>
        </is>
      </c>
      <c r="M278" s="11" t="inlineStr">
        <is>
          <t>—</t>
        </is>
      </c>
      <c r="N278" s="16" t="inlineStr">
        <is>
          <t>—</t>
        </is>
      </c>
      <c r="O278" s="16" t="inlineStr">
        <is>
          <t>—</t>
        </is>
      </c>
      <c r="P278" s="16" t="inlineStr">
        <is>
          <t>multiples: 72 St (B,C), 59 St-Columbus Circle, 86 St</t>
        </is>
      </c>
      <c r="Q278" s="16" t="inlineStr">
        <is>
          <t>Bethesda Terrace, el Ramble, Bow Bridge, el Reservoir. La mitad norte (arriba de la 96) esta casi vacia y es la mejor. A dos cuadras del hotel The Beacon.</t>
        </is>
      </c>
      <c r="R278" s="16" t="inlineStr">
        <is>
          <t>Central Park, New York</t>
        </is>
      </c>
      <c r="S278" s="17" t="inlineStr">
        <is>
          <t>Día 9 · dom 6/9</t>
        </is>
      </c>
      <c r="T278" s="18" t="inlineStr">
        <is>
          <t>Abrir ↗</t>
        </is>
      </c>
      <c r="U278" s="21" t="inlineStr">
        <is>
          <t>otros</t>
        </is>
      </c>
      <c r="V278" s="20" t="inlineStr">
        <is>
          <t>SÍ</t>
        </is>
      </c>
    </row>
    <row r="279" ht="46" customHeight="1">
      <c r="A279" s="9" t="inlineStr">
        <is>
          <t>Clinton Community Garden</t>
        </is>
      </c>
      <c r="B279" s="10" t="inlineStr">
        <is>
          <t>Parque urbano</t>
        </is>
      </c>
      <c r="C279" s="11" t="inlineStr">
        <is>
          <t>Parque</t>
        </is>
      </c>
      <c r="D279" s="11" t="inlineStr">
        <is>
          <t>Hell's Kitchen</t>
        </is>
      </c>
      <c r="E279" s="11" t="inlineStr">
        <is>
          <t>Manhattan</t>
        </is>
      </c>
      <c r="F279" s="12" t="n">
        <v>1</v>
      </c>
      <c r="G279" s="12" t="n">
        <v>1</v>
      </c>
      <c r="H279" s="13">
        <f>IF(AND(F279=2,G279=2),"AMBOS",IF(AND(F279=2,G279&lt;2),"solo JP",IF(AND(F279&lt;2,G279=2),"solo Thais","-")))</f>
        <v/>
      </c>
      <c r="I279" s="14" t="n">
        <v>0</v>
      </c>
      <c r="J279" s="15" t="n">
        <v>0.3</v>
      </c>
      <c r="K279" s="13" t="inlineStr">
        <is>
          <t>no</t>
        </is>
      </c>
      <c r="L279" s="16" t="inlineStr">
        <is>
          <t>—</t>
        </is>
      </c>
      <c r="M279" s="11" t="inlineStr">
        <is>
          <t>—</t>
        </is>
      </c>
      <c r="N279" s="16" t="inlineStr">
        <is>
          <t>—</t>
        </is>
      </c>
      <c r="O279" s="16" t="inlineStr">
        <is>
          <t>—</t>
        </is>
      </c>
      <c r="P279" s="16" t="inlineStr">
        <is>
          <t>50 St (C,E)</t>
        </is>
      </c>
      <c r="Q279" s="16" t="inlineStr">
        <is>
          <t>1978, el barrio estaba lleno de terrenos baldíos y los vecinos ocuparon uno. Cuando la ciudad quiso rematarlo, juntaron US$ 1 el pie cuadrado vendiendo llaves del portón y se lo compraron. Fue el primer jardín comunitario de Nueva York que pasó a ser parque municipal.</t>
        </is>
      </c>
      <c r="R279" s="16" t="inlineStr">
        <is>
          <t>434 W 48th St</t>
        </is>
      </c>
      <c r="S279" s="16" t="inlineStr">
        <is>
          <t>—</t>
        </is>
      </c>
      <c r="T279" s="18" t="inlineStr">
        <is>
          <t>Abrir ↗</t>
        </is>
      </c>
      <c r="U279" s="21" t="inlineStr">
        <is>
          <t>otros</t>
        </is>
      </c>
      <c r="V279" s="20" t="inlineStr"/>
    </row>
    <row r="280" ht="46" customHeight="1">
      <c r="A280" s="9" t="inlineStr">
        <is>
          <t>Columbus Park</t>
        </is>
      </c>
      <c r="B280" s="10" t="inlineStr">
        <is>
          <t>Parque urbano</t>
        </is>
      </c>
      <c r="C280" s="11" t="inlineStr">
        <is>
          <t>Parque</t>
        </is>
      </c>
      <c r="D280" s="11" t="inlineStr">
        <is>
          <t>Chinatown</t>
        </is>
      </c>
      <c r="E280" s="11" t="inlineStr">
        <is>
          <t>Manhattan</t>
        </is>
      </c>
      <c r="F280" s="12" t="n">
        <v>1</v>
      </c>
      <c r="G280" s="12" t="n">
        <v>1</v>
      </c>
      <c r="H280" s="13">
        <f>IF(AND(F280=2,G280=2),"AMBOS",IF(AND(F280=2,G280&lt;2),"solo JP",IF(AND(F280&lt;2,G280=2),"solo Thais","-")))</f>
        <v/>
      </c>
      <c r="I280" s="14" t="n">
        <v>0</v>
      </c>
      <c r="J280" s="15" t="n">
        <v>0.4</v>
      </c>
      <c r="K280" s="13" t="inlineStr">
        <is>
          <t>no</t>
        </is>
      </c>
      <c r="L280" s="16" t="inlineStr">
        <is>
          <t>—</t>
        </is>
      </c>
      <c r="M280" s="11" t="inlineStr">
        <is>
          <t>—</t>
        </is>
      </c>
      <c r="N280" s="16" t="inlineStr">
        <is>
          <t>—</t>
        </is>
      </c>
      <c r="O280" s="16" t="inlineStr">
        <is>
          <t>—</t>
        </is>
      </c>
      <c r="P280" s="16" t="inlineStr">
        <is>
          <t>Canal St (J,N,Q,R,W,6)</t>
        </is>
      </c>
      <c r="Q280" s="16" t="inlineStr">
        <is>
          <t>acá estaba Mulberry Bend, el corazón de Five Points — el peor conventillo de la historia de Nueva York, al que Jacob Riis le dedicó un capítulo entero de *How the Other Half Lives* llamándolo "el núcleo podrido de los suburbios de Nueva York".</t>
        </is>
      </c>
      <c r="R280" s="16" t="inlineStr">
        <is>
          <t>Columbus Park, Baxter St</t>
        </is>
      </c>
      <c r="S280" s="16" t="inlineStr">
        <is>
          <t>—</t>
        </is>
      </c>
      <c r="T280" s="18" t="inlineStr">
        <is>
          <t>Abrir ↗</t>
        </is>
      </c>
      <c r="U280" s="21" t="inlineStr">
        <is>
          <t>otros</t>
        </is>
      </c>
      <c r="V280" s="20" t="inlineStr"/>
    </row>
    <row r="281" ht="46" customHeight="1">
      <c r="A281" s="9" t="inlineStr">
        <is>
          <t>Greenacre Park</t>
        </is>
      </c>
      <c r="B281" s="10" t="inlineStr">
        <is>
          <t>Parque urbano</t>
        </is>
      </c>
      <c r="C281" s="11" t="inlineStr">
        <is>
          <t>Parque</t>
        </is>
      </c>
      <c r="D281" s="11" t="inlineStr">
        <is>
          <t>Midtown East</t>
        </is>
      </c>
      <c r="E281" s="11" t="inlineStr">
        <is>
          <t>Manhattan</t>
        </is>
      </c>
      <c r="F281" s="12" t="n">
        <v>1</v>
      </c>
      <c r="G281" s="12" t="n">
        <v>1</v>
      </c>
      <c r="H281" s="13">
        <f>IF(AND(F281=2,G281=2),"AMBOS",IF(AND(F281=2,G281&lt;2),"solo JP",IF(AND(F281&lt;2,G281=2),"solo Thais","-")))</f>
        <v/>
      </c>
      <c r="I281" s="14" t="n">
        <v>0</v>
      </c>
      <c r="J281" s="15" t="n">
        <v>0.3</v>
      </c>
      <c r="K281" s="13" t="inlineStr">
        <is>
          <t>no</t>
        </is>
      </c>
      <c r="L281" s="16" t="inlineStr">
        <is>
          <t>—</t>
        </is>
      </c>
      <c r="M281" s="11" t="inlineStr">
        <is>
          <t>—</t>
        </is>
      </c>
      <c r="N281" s="16" t="inlineStr">
        <is>
          <t>—</t>
        </is>
      </c>
      <c r="O281" s="16" t="inlineStr">
        <is>
          <t>—</t>
        </is>
      </c>
      <c r="P281" s="16" t="inlineStr">
        <is>
          <t>51 St (6), Lexington Av-53 St (E,M)</t>
        </is>
      </c>
      <c r="Q281" s="16" t="inlineStr">
        <is>
          <t>El hermano escondido de Paley: cascada de 8 metros en un hueco entre edificios. Casi siempre vacio.</t>
        </is>
      </c>
      <c r="R281" s="16" t="inlineStr">
        <is>
          <t>217 E 51st St</t>
        </is>
      </c>
      <c r="S281" s="16" t="inlineStr">
        <is>
          <t>—</t>
        </is>
      </c>
      <c r="T281" s="18" t="inlineStr">
        <is>
          <t>Abrir ↗</t>
        </is>
      </c>
      <c r="U281" s="21" t="inlineStr">
        <is>
          <t>otros</t>
        </is>
      </c>
      <c r="V281" s="20" t="inlineStr"/>
    </row>
    <row r="282" ht="46" customHeight="1">
      <c r="A282" s="9" t="inlineStr">
        <is>
          <t>Hudson River Park Pier 84</t>
        </is>
      </c>
      <c r="B282" s="10" t="inlineStr">
        <is>
          <t>Parque urbano</t>
        </is>
      </c>
      <c r="C282" s="11" t="inlineStr">
        <is>
          <t>Parque</t>
        </is>
      </c>
      <c r="D282" s="11" t="inlineStr">
        <is>
          <t>Hell's Kitchen</t>
        </is>
      </c>
      <c r="E282" s="11" t="inlineStr">
        <is>
          <t>Manhattan</t>
        </is>
      </c>
      <c r="F282" s="12" t="n">
        <v>1</v>
      </c>
      <c r="G282" s="12" t="n">
        <v>1</v>
      </c>
      <c r="H282" s="13">
        <f>IF(AND(F282=2,G282=2),"AMBOS",IF(AND(F282=2,G282&lt;2),"solo JP",IF(AND(F282&lt;2,G282=2),"solo Thais","-")))</f>
        <v/>
      </c>
      <c r="I282" s="14" t="n">
        <v>0</v>
      </c>
      <c r="J282" s="15" t="n">
        <v>0.5</v>
      </c>
      <c r="K282" s="13" t="inlineStr">
        <is>
          <t>no</t>
        </is>
      </c>
      <c r="L282" s="16" t="inlineStr">
        <is>
          <t>—</t>
        </is>
      </c>
      <c r="M282" s="11" t="inlineStr">
        <is>
          <t>—</t>
        </is>
      </c>
      <c r="N282" s="16" t="inlineStr">
        <is>
          <t>—</t>
        </is>
      </c>
      <c r="O282" s="16" t="inlineStr">
        <is>
          <t>—</t>
        </is>
      </c>
      <c r="P282" s="16" t="inlineStr">
        <is>
          <t>42 St-Port Authority (A,C,E)</t>
        </is>
      </c>
      <c r="Q282" s="16" t="inlineStr">
        <is>
          <t>El muelle publico mas grande del rio, con el Intrepid al lado y el atardecer sobre New Jersey de frente.</t>
        </is>
      </c>
      <c r="R282" s="16" t="inlineStr">
        <is>
          <t>W 44th St y 12th Ave</t>
        </is>
      </c>
      <c r="S282" s="16" t="inlineStr">
        <is>
          <t>—</t>
        </is>
      </c>
      <c r="T282" s="18" t="inlineStr">
        <is>
          <t>Abrir ↗</t>
        </is>
      </c>
      <c r="U282" s="21" t="inlineStr">
        <is>
          <t>otros</t>
        </is>
      </c>
      <c r="V282" s="20" t="inlineStr"/>
    </row>
    <row r="283" ht="46" customHeight="1">
      <c r="A283" s="9" t="inlineStr">
        <is>
          <t>Paley Park</t>
        </is>
      </c>
      <c r="B283" s="10" t="inlineStr">
        <is>
          <t>Parque urbano</t>
        </is>
      </c>
      <c r="C283" s="11" t="inlineStr">
        <is>
          <t>Parque</t>
        </is>
      </c>
      <c r="D283" s="11" t="inlineStr">
        <is>
          <t>Midtown</t>
        </is>
      </c>
      <c r="E283" s="11" t="inlineStr">
        <is>
          <t>Manhattan</t>
        </is>
      </c>
      <c r="F283" s="12" t="n">
        <v>1</v>
      </c>
      <c r="G283" s="12" t="n">
        <v>1</v>
      </c>
      <c r="H283" s="13">
        <f>IF(AND(F283=2,G283=2),"AMBOS",IF(AND(F283=2,G283&lt;2),"solo JP",IF(AND(F283&lt;2,G283=2),"solo Thais","-")))</f>
        <v/>
      </c>
      <c r="I283" s="14" t="n">
        <v>0</v>
      </c>
      <c r="J283" s="15" t="n">
        <v>0.3</v>
      </c>
      <c r="K283" s="13" t="inlineStr">
        <is>
          <t>no</t>
        </is>
      </c>
      <c r="L283" s="16" t="inlineStr">
        <is>
          <t>—</t>
        </is>
      </c>
      <c r="M283" s="11" t="inlineStr">
        <is>
          <t>—</t>
        </is>
      </c>
      <c r="N283" s="16" t="inlineStr">
        <is>
          <t>—</t>
        </is>
      </c>
      <c r="O283" s="16" t="inlineStr">
        <is>
          <t>—</t>
        </is>
      </c>
      <c r="P283" s="16" t="inlineStr">
        <is>
          <t>5 Av-53 St (E,M)</t>
        </is>
      </c>
      <c r="Q283" s="16" t="inlineStr">
        <is>
          <t>Pocket park de 1967 con una cascada que tapa el ruido de la calle. El mejor invento urbano de Nueva York y entra en media cuadra.</t>
        </is>
      </c>
      <c r="R283" s="16" t="inlineStr">
        <is>
          <t>3 E 53rd St</t>
        </is>
      </c>
      <c r="S283" s="16" t="inlineStr">
        <is>
          <t>—</t>
        </is>
      </c>
      <c r="T283" s="18" t="inlineStr">
        <is>
          <t>Abrir ↗</t>
        </is>
      </c>
      <c r="U283" s="21" t="inlineStr">
        <is>
          <t>otros</t>
        </is>
      </c>
      <c r="V283" s="20" t="inlineStr"/>
    </row>
    <row r="284" ht="46" customHeight="1">
      <c r="A284" s="9" t="inlineStr">
        <is>
          <t>Prospect Park</t>
        </is>
      </c>
      <c r="B284" s="10" t="inlineStr">
        <is>
          <t>Parque urbano</t>
        </is>
      </c>
      <c r="C284" s="11" t="inlineStr">
        <is>
          <t>Parque</t>
        </is>
      </c>
      <c r="D284" s="11" t="inlineStr">
        <is>
          <t>Park Slope</t>
        </is>
      </c>
      <c r="E284" s="11" t="inlineStr">
        <is>
          <t>Brooklyn</t>
        </is>
      </c>
      <c r="F284" s="12" t="n">
        <v>1</v>
      </c>
      <c r="G284" s="12" t="n">
        <v>1</v>
      </c>
      <c r="H284" s="13">
        <f>IF(AND(F284=2,G284=2),"AMBOS",IF(AND(F284=2,G284&lt;2),"solo JP",IF(AND(F284&lt;2,G284=2),"solo Thais","-")))</f>
        <v/>
      </c>
      <c r="I284" s="14" t="n">
        <v>0</v>
      </c>
      <c r="J284" s="15" t="n">
        <v>1.5</v>
      </c>
      <c r="K284" s="13" t="inlineStr">
        <is>
          <t>no</t>
        </is>
      </c>
      <c r="L284" s="16" t="inlineStr">
        <is>
          <t>—</t>
        </is>
      </c>
      <c r="M284" s="11" t="inlineStr">
        <is>
          <t>—</t>
        </is>
      </c>
      <c r="N284" s="16" t="inlineStr">
        <is>
          <t>—</t>
        </is>
      </c>
      <c r="O284" s="16" t="inlineStr">
        <is>
          <t>—</t>
        </is>
      </c>
      <c r="P284" s="16" t="inlineStr">
        <is>
          <t>Grand Army Plaza (2,3)</t>
        </is>
      </c>
      <c r="Q284" s="16" t="inlineStr">
        <is>
          <t>El parque que Olmsted y Vaux consideraban SU obra maestra, mejor que Central Park: más bosque y menos turistas.</t>
        </is>
      </c>
      <c r="R284" s="16" t="inlineStr"/>
      <c r="S284" s="16" t="inlineStr">
        <is>
          <t>—</t>
        </is>
      </c>
      <c r="T284" s="18" t="inlineStr">
        <is>
          <t>Abrir ↗</t>
        </is>
      </c>
      <c r="U284" s="19" t="inlineStr">
        <is>
          <t>lista google</t>
        </is>
      </c>
      <c r="V284" s="20" t="inlineStr"/>
    </row>
    <row r="285" ht="46" customHeight="1">
      <c r="A285" s="9" t="inlineStr">
        <is>
          <t>Straus Park</t>
        </is>
      </c>
      <c r="B285" s="10" t="inlineStr">
        <is>
          <t>Parque urbano</t>
        </is>
      </c>
      <c r="C285" s="11" t="inlineStr">
        <is>
          <t>Parque</t>
        </is>
      </c>
      <c r="D285" s="11" t="inlineStr">
        <is>
          <t>Upper West Side</t>
        </is>
      </c>
      <c r="E285" s="11" t="inlineStr">
        <is>
          <t>Manhattan</t>
        </is>
      </c>
      <c r="F285" s="12" t="n">
        <v>1</v>
      </c>
      <c r="G285" s="12" t="n">
        <v>1</v>
      </c>
      <c r="H285" s="13">
        <f>IF(AND(F285=2,G285=2),"AMBOS",IF(AND(F285=2,G285&lt;2),"solo JP",IF(AND(F285&lt;2,G285=2),"solo Thais","-")))</f>
        <v/>
      </c>
      <c r="I285" s="14" t="n">
        <v>0</v>
      </c>
      <c r="J285" s="15" t="n">
        <v>0.3</v>
      </c>
      <c r="K285" s="13" t="inlineStr">
        <is>
          <t>no</t>
        </is>
      </c>
      <c r="L285" s="16" t="inlineStr">
        <is>
          <t>—</t>
        </is>
      </c>
      <c r="M285" s="11" t="inlineStr">
        <is>
          <t>—</t>
        </is>
      </c>
      <c r="N285" s="16" t="inlineStr">
        <is>
          <t>—</t>
        </is>
      </c>
      <c r="O285" s="16" t="inlineStr">
        <is>
          <t>—</t>
        </is>
      </c>
      <c r="P285" s="16" t="inlineStr">
        <is>
          <t>103 St (1)</t>
        </is>
      </c>
      <c r="Q285" s="16" t="inlineStr">
        <is>
          <t>Isidor Straus era dueño de Macy's y murió en el Titanic. Su mujer Ida se negó a subir al bote salvavidas y se quedó con él.</t>
        </is>
      </c>
      <c r="R285" s="16" t="inlineStr">
        <is>
          <t>Broadway &amp; W 106th St</t>
        </is>
      </c>
      <c r="S285" s="16" t="inlineStr">
        <is>
          <t>—</t>
        </is>
      </c>
      <c r="T285" s="18" t="inlineStr">
        <is>
          <t>Abrir ↗</t>
        </is>
      </c>
      <c r="U285" s="21" t="inlineStr">
        <is>
          <t>otros</t>
        </is>
      </c>
      <c r="V285" s="20" t="inlineStr"/>
    </row>
    <row r="286" ht="46" customHeight="1">
      <c r="A286" s="9" t="inlineStr">
        <is>
          <t>Tudor City Greens</t>
        </is>
      </c>
      <c r="B286" s="10" t="inlineStr">
        <is>
          <t>Parque urbano</t>
        </is>
      </c>
      <c r="C286" s="11" t="inlineStr">
        <is>
          <t>Parque</t>
        </is>
      </c>
      <c r="D286" s="11" t="inlineStr">
        <is>
          <t>Midtown East</t>
        </is>
      </c>
      <c r="E286" s="11" t="inlineStr">
        <is>
          <t>Manhattan</t>
        </is>
      </c>
      <c r="F286" s="12" t="n">
        <v>1</v>
      </c>
      <c r="G286" s="12" t="n">
        <v>1</v>
      </c>
      <c r="H286" s="13">
        <f>IF(AND(F286=2,G286=2),"AMBOS",IF(AND(F286=2,G286&lt;2),"solo JP",IF(AND(F286&lt;2,G286=2),"solo Thais","-")))</f>
        <v/>
      </c>
      <c r="I286" s="14" t="n">
        <v>0</v>
      </c>
      <c r="J286" s="15" t="n">
        <v>0.3</v>
      </c>
      <c r="K286" s="13" t="inlineStr">
        <is>
          <t>no</t>
        </is>
      </c>
      <c r="L286" s="16" t="inlineStr">
        <is>
          <t>—</t>
        </is>
      </c>
      <c r="M286" s="11" t="inlineStr">
        <is>
          <t>—</t>
        </is>
      </c>
      <c r="N286" s="16" t="inlineStr">
        <is>
          <t>—</t>
        </is>
      </c>
      <c r="O286" s="16" t="inlineStr">
        <is>
          <t>—</t>
        </is>
      </c>
      <c r="P286" s="16" t="inlineStr">
        <is>
          <t>Grand Central-42 St (4,5,6,7,S)</t>
        </is>
      </c>
      <c r="Q286" s="16" t="inlineStr">
        <is>
          <t>dos parques privados abiertos al público arriba de un barranco, con el mirador que da directo sobre la 42 hacia el este — es la postal del puente de la 42 sobre el cañón de la calle.</t>
        </is>
      </c>
      <c r="R286" s="16" t="inlineStr">
        <is>
          <t>Tudor City Pl</t>
        </is>
      </c>
      <c r="S286" s="16" t="inlineStr">
        <is>
          <t>—</t>
        </is>
      </c>
      <c r="T286" s="18" t="inlineStr">
        <is>
          <t>Abrir ↗</t>
        </is>
      </c>
      <c r="U286" s="21" t="inlineStr">
        <is>
          <t>otros</t>
        </is>
      </c>
      <c r="V286" s="20" t="inlineStr"/>
    </row>
    <row r="287" ht="46" customHeight="1">
      <c r="A287" s="9" t="inlineStr">
        <is>
          <t>Washington Square Park</t>
        </is>
      </c>
      <c r="B287" s="10" t="inlineStr">
        <is>
          <t>Parque urbano</t>
        </is>
      </c>
      <c r="C287" s="11" t="inlineStr">
        <is>
          <t>Parque</t>
        </is>
      </c>
      <c r="D287" s="11" t="inlineStr">
        <is>
          <t>Greenwich Village</t>
        </is>
      </c>
      <c r="E287" s="11" t="inlineStr">
        <is>
          <t>Manhattan</t>
        </is>
      </c>
      <c r="F287" s="12" t="n">
        <v>2</v>
      </c>
      <c r="G287" s="12" t="n">
        <v>0</v>
      </c>
      <c r="H287" s="13">
        <f>IF(AND(F287=2,G287=2),"AMBOS",IF(AND(F287=2,G287&lt;2),"solo JP",IF(AND(F287&lt;2,G287=2),"solo Thais","-")))</f>
        <v/>
      </c>
      <c r="I287" s="14" t="n">
        <v>0</v>
      </c>
      <c r="J287" s="15" t="n">
        <v>0.75</v>
      </c>
      <c r="K287" s="13" t="inlineStr">
        <is>
          <t>SÍ</t>
        </is>
      </c>
      <c r="L287" s="16" t="inlineStr">
        <is>
          <t>—</t>
        </is>
      </c>
      <c r="M287" s="11" t="inlineStr">
        <is>
          <t>—</t>
        </is>
      </c>
      <c r="N287" s="16" t="inlineStr">
        <is>
          <t>—</t>
        </is>
      </c>
      <c r="O287" s="16" t="inlineStr">
        <is>
          <t>—</t>
        </is>
      </c>
      <c r="P287" s="16" t="inlineStr">
        <is>
          <t>W 4 St (A,B,C,D,E,F,M), 8 St-NYU (R,W)</t>
        </is>
      </c>
      <c r="Q287" s="16" t="inlineStr">
        <is>
          <t>El arco, el piano ambulante, los ajedrecistas y NYU alrededor. Es el mejor lugar de la ciudad para sentarse una hora a mirar gente.</t>
        </is>
      </c>
      <c r="R287" s="16" t="inlineStr">
        <is>
          <t>Washington Square Park</t>
        </is>
      </c>
      <c r="S287" s="17" t="inlineStr">
        <is>
          <t>Día 4 · mar 1/9</t>
        </is>
      </c>
      <c r="T287" s="18" t="inlineStr">
        <is>
          <t>Abrir ↗</t>
        </is>
      </c>
      <c r="U287" s="19" t="inlineStr">
        <is>
          <t>lista google</t>
        </is>
      </c>
      <c r="V287" s="20" t="inlineStr"/>
    </row>
    <row r="288" ht="46" customHeight="1">
      <c r="A288" s="9" t="inlineStr">
        <is>
          <t>The High Line</t>
        </is>
      </c>
      <c r="B288" s="10" t="inlineStr">
        <is>
          <t>Paseo elevado</t>
        </is>
      </c>
      <c r="C288" s="11" t="inlineStr">
        <is>
          <t>Parque</t>
        </is>
      </c>
      <c r="D288" s="11" t="inlineStr">
        <is>
          <t>Chelsea / Meatpacking</t>
        </is>
      </c>
      <c r="E288" s="11" t="inlineStr">
        <is>
          <t>Manhattan</t>
        </is>
      </c>
      <c r="F288" s="12" t="n">
        <v>2</v>
      </c>
      <c r="G288" s="12" t="n">
        <v>2</v>
      </c>
      <c r="H288" s="13">
        <f>IF(AND(F288=2,G288=2),"AMBOS",IF(AND(F288=2,G288&lt;2),"solo JP",IF(AND(F288&lt;2,G288=2),"solo Thais","-")))</f>
        <v/>
      </c>
      <c r="I288" s="14" t="n">
        <v>0</v>
      </c>
      <c r="J288" s="15" t="n">
        <v>1.5</v>
      </c>
      <c r="K288" s="13" t="inlineStr">
        <is>
          <t>SÍ</t>
        </is>
      </c>
      <c r="L288" s="16" t="inlineStr">
        <is>
          <t>—</t>
        </is>
      </c>
      <c r="M288" s="11" t="inlineStr">
        <is>
          <t>—</t>
        </is>
      </c>
      <c r="N288" s="16" t="inlineStr">
        <is>
          <t>—</t>
        </is>
      </c>
      <c r="O288" s="16" t="inlineStr">
        <is>
          <t>—</t>
        </is>
      </c>
      <c r="P288" s="16" t="inlineStr">
        <is>
          <t>14 St (A,C,E), 34 St-Hudson Yards (7)</t>
        </is>
      </c>
      <c r="Q288" s="16" t="inlineStr">
        <is>
          <t>Via ferroviaria elevada convertida en parque lineal de 2,3 km. Recorrer de sur a norte por la luz. Incluye 'The Light That Shines Through the Universe' de Tuan Andrew Nguyen, un Buda de arenisca de 9 metros.</t>
        </is>
      </c>
      <c r="R288" s="16" t="inlineStr">
        <is>
          <t>High Line, Gansevoort St a W 34th St</t>
        </is>
      </c>
      <c r="S288" s="17" t="inlineStr">
        <is>
          <t>Día 5 · mié 2/9, Día 7 · vie 4/9</t>
        </is>
      </c>
      <c r="T288" s="18" t="inlineStr">
        <is>
          <t>Abrir ↗</t>
        </is>
      </c>
      <c r="U288" s="19" t="inlineStr">
        <is>
          <t>lista google</t>
        </is>
      </c>
      <c r="V288" s="20" t="inlineStr">
        <is>
          <t>SÍ</t>
        </is>
      </c>
    </row>
    <row r="289" ht="46" customHeight="1">
      <c r="A289" s="23" t="inlineStr">
        <is>
          <t>US Open (primeras rondas)</t>
        </is>
      </c>
      <c r="B289" s="24" t="inlineStr">
        <is>
          <t>Deporte</t>
        </is>
      </c>
      <c r="C289" s="25" t="inlineStr">
        <is>
          <t>Evento</t>
        </is>
      </c>
      <c r="D289" s="25" t="inlineStr">
        <is>
          <t>Flushing Meadows</t>
        </is>
      </c>
      <c r="E289" s="25" t="inlineStr">
        <is>
          <t>Queens</t>
        </is>
      </c>
      <c r="F289" s="12" t="n">
        <v>0</v>
      </c>
      <c r="G289" s="12" t="n">
        <v>0</v>
      </c>
      <c r="H289" s="26">
        <f>IF(AND(F289=2,G289=2),"AMBOS",IF(AND(F289=2,G289&lt;2),"solo JP",IF(AND(F289&lt;2,G289=2),"solo Thais","-")))</f>
        <v/>
      </c>
      <c r="I289" s="27" t="n">
        <v>80</v>
      </c>
      <c r="J289" s="28" t="n">
        <v>7</v>
      </c>
      <c r="K289" s="26" t="inlineStr">
        <is>
          <t>no</t>
        </is>
      </c>
      <c r="L289" s="29" t="inlineStr">
        <is>
          <t>—</t>
        </is>
      </c>
      <c r="M289" s="25" t="inlineStr">
        <is>
          <t>—</t>
        </is>
      </c>
      <c r="N289" s="29" t="inlineStr">
        <is>
          <t>—</t>
        </is>
      </c>
      <c r="O289" s="29" t="inlineStr">
        <is>
          <t>Ticketmaster</t>
        </is>
      </c>
      <c r="P289" s="29" t="inlineStr">
        <is>
          <t>Mets-Willets Point (7)</t>
        </is>
      </c>
      <c r="Q289" s="29" t="inlineStr">
        <is>
          <t>Cuadro principal del 30 de agosto al 13 de septiembre. Las primeras rondas (30 ago - 2 sep) son cuando mas partidos simultaneos hay y el grounds pass rinde mas: se ve a metros en las canchas exteriores. Se come un dia entero.</t>
        </is>
      </c>
      <c r="R289" s="29" t="inlineStr">
        <is>
          <t>USTA Billie Jean King NTC, Flushing</t>
        </is>
      </c>
      <c r="S289" s="29" t="inlineStr">
        <is>
          <t>—</t>
        </is>
      </c>
      <c r="T289" s="30" t="inlineStr">
        <is>
          <t>Abrir ↗</t>
        </is>
      </c>
      <c r="U289" s="31" t="inlineStr">
        <is>
          <t>otros</t>
        </is>
      </c>
      <c r="V289" s="20" t="inlineStr"/>
    </row>
    <row r="290" ht="46" customHeight="1">
      <c r="A290" s="23" t="inlineStr">
        <is>
          <t>Charlie Parker Jazz Festival - East Village</t>
        </is>
      </c>
      <c r="B290" s="24" t="inlineStr">
        <is>
          <t>Festival gratis</t>
        </is>
      </c>
      <c r="C290" s="25" t="inlineStr">
        <is>
          <t>Evento</t>
        </is>
      </c>
      <c r="D290" s="25" t="inlineStr">
        <is>
          <t>East Village</t>
        </is>
      </c>
      <c r="E290" s="25" t="inlineStr">
        <is>
          <t>Manhattan</t>
        </is>
      </c>
      <c r="F290" s="12" t="n">
        <v>0</v>
      </c>
      <c r="G290" s="12" t="n">
        <v>0</v>
      </c>
      <c r="H290" s="26">
        <f>IF(AND(F290=2,G290=2),"AMBOS",IF(AND(F290=2,G290&lt;2),"solo JP",IF(AND(F290&lt;2,G290=2),"solo Thais","-")))</f>
        <v/>
      </c>
      <c r="I290" s="27" t="n">
        <v>0</v>
      </c>
      <c r="J290" s="28" t="n">
        <v>4</v>
      </c>
      <c r="K290" s="26" t="inlineStr">
        <is>
          <t>no</t>
        </is>
      </c>
      <c r="L290" s="29" t="inlineStr">
        <is>
          <t>—</t>
        </is>
      </c>
      <c r="M290" s="25" t="inlineStr">
        <is>
          <t>—</t>
        </is>
      </c>
      <c r="N290" s="29" t="inlineStr">
        <is>
          <t>—</t>
        </is>
      </c>
      <c r="O290" s="29" t="inlineStr">
        <is>
          <t>—</t>
        </is>
      </c>
      <c r="P290" s="29" t="inlineStr">
        <is>
          <t>1 Av (L), Astor Pl (6)</t>
        </is>
      </c>
      <c r="Q290" s="29" t="inlineStr">
        <is>
          <t>DOMINGO 30 DE AGOSTO, 15-19h. Ravi Coltrane (headliner), Billy Hart Quartet, Kassa Overall, Vanisha Gould. Segundo dia del festival, en el East Village.</t>
        </is>
      </c>
      <c r="R290" s="29" t="inlineStr">
        <is>
          <t>Tompkins Square Park</t>
        </is>
      </c>
      <c r="S290" s="29" t="inlineStr">
        <is>
          <t>—</t>
        </is>
      </c>
      <c r="T290" s="30" t="inlineStr">
        <is>
          <t>Abrir ↗</t>
        </is>
      </c>
      <c r="U290" s="31" t="inlineStr">
        <is>
          <t>otros</t>
        </is>
      </c>
      <c r="V290" s="20" t="inlineStr"/>
    </row>
    <row r="291" ht="46" customHeight="1">
      <c r="A291" s="23" t="inlineStr">
        <is>
          <t>Charlie Parker Jazz Festival - Harlem</t>
        </is>
      </c>
      <c r="B291" s="24" t="inlineStr">
        <is>
          <t>Festival gratis</t>
        </is>
      </c>
      <c r="C291" s="25" t="inlineStr">
        <is>
          <t>Evento</t>
        </is>
      </c>
      <c r="D291" s="25" t="inlineStr">
        <is>
          <t>Harlem</t>
        </is>
      </c>
      <c r="E291" s="25" t="inlineStr">
        <is>
          <t>Manhattan</t>
        </is>
      </c>
      <c r="F291" s="12" t="n">
        <v>2</v>
      </c>
      <c r="G291" s="12" t="n">
        <v>2</v>
      </c>
      <c r="H291" s="26">
        <f>IF(AND(F291=2,G291=2),"AMBOS",IF(AND(F291=2,G291&lt;2),"solo JP",IF(AND(F291&lt;2,G291=2),"solo Thais","-")))</f>
        <v/>
      </c>
      <c r="I291" s="27" t="n">
        <v>0</v>
      </c>
      <c r="J291" s="28" t="n">
        <v>4</v>
      </c>
      <c r="K291" s="26" t="inlineStr">
        <is>
          <t>no</t>
        </is>
      </c>
      <c r="L291" s="29" t="inlineStr">
        <is>
          <t>—</t>
        </is>
      </c>
      <c r="M291" s="25" t="inlineStr">
        <is>
          <t>—</t>
        </is>
      </c>
      <c r="N291" s="29" t="inlineStr">
        <is>
          <t>—</t>
        </is>
      </c>
      <c r="O291" s="29" t="inlineStr">
        <is>
          <t>—</t>
        </is>
      </c>
      <c r="P291" s="29" t="inlineStr">
        <is>
          <t>125 St (2,3)</t>
        </is>
      </c>
      <c r="Q291" s="29" t="inlineStr">
        <is>
          <t>SABADO 29 DE AGOSTO, 14-19h. Joshua Redman (headliner), Nat Adderley Jr., Catherine Russell, Nicole Glover. Gratis, al aire libre, con el mismo nivel artistico que se paga $60-80 en un club. Llevar manta y llegar 1-2 h antes del headliner.</t>
        </is>
      </c>
      <c r="R291" s="29" t="inlineStr">
        <is>
          <t>Marcus Garvey Park, Harlem</t>
        </is>
      </c>
      <c r="S291" s="17" t="inlineStr">
        <is>
          <t>Día 1 · sáb 29/8</t>
        </is>
      </c>
      <c r="T291" s="30" t="inlineStr">
        <is>
          <t>Abrir ↗</t>
        </is>
      </c>
      <c r="U291" s="31" t="inlineStr">
        <is>
          <t>otros</t>
        </is>
      </c>
      <c r="V291" s="20" t="inlineStr">
        <is>
          <t>SÍ</t>
        </is>
      </c>
    </row>
    <row r="292" ht="46" customHeight="1">
      <c r="A292" s="23" t="inlineStr">
        <is>
          <t>SummerStage: Christian McBride (gratis)</t>
        </is>
      </c>
      <c r="B292" s="24" t="inlineStr">
        <is>
          <t>Festival gratis</t>
        </is>
      </c>
      <c r="C292" s="25" t="inlineStr">
        <is>
          <t>Evento</t>
        </is>
      </c>
      <c r="D292" s="25" t="inlineStr">
        <is>
          <t>Central Park</t>
        </is>
      </c>
      <c r="E292" s="25" t="inlineStr">
        <is>
          <t>Manhattan</t>
        </is>
      </c>
      <c r="F292" s="12" t="n">
        <v>2</v>
      </c>
      <c r="G292" s="12" t="n">
        <v>0</v>
      </c>
      <c r="H292" s="26">
        <f>IF(AND(F292=2,G292=2),"AMBOS",IF(AND(F292=2,G292&lt;2),"solo JP",IF(AND(F292&lt;2,G292=2),"solo Thais","-")))</f>
        <v/>
      </c>
      <c r="I292" s="27" t="n">
        <v>0</v>
      </c>
      <c r="J292" s="28" t="n">
        <v>3</v>
      </c>
      <c r="K292" s="26" t="inlineStr">
        <is>
          <t>no</t>
        </is>
      </c>
      <c r="L292" s="29" t="inlineStr">
        <is>
          <t>—</t>
        </is>
      </c>
      <c r="M292" s="25" t="inlineStr">
        <is>
          <t>—</t>
        </is>
      </c>
      <c r="N292" s="29" t="inlineStr">
        <is>
          <t>—</t>
        </is>
      </c>
      <c r="O292" s="29" t="inlineStr">
        <is>
          <t>—</t>
        </is>
      </c>
      <c r="P292" s="29" t="inlineStr">
        <is>
          <t>72 St (B,C)</t>
        </is>
      </c>
      <c r="Q292" s="29" t="inlineStr">
        <is>
          <t>MIERCOLES 2 DE SEPTIEMBRE. Christian McBride + SAMARA JOY (Verve 70 aniversario) + Mei Semones &amp; Friends tocando Getz/Gilberto. Puertas 18:00, show 19:00-22:00. Gratis, sin ticket, por orden de llegada: con ese cartel hay que llegar bastante antes de las 18:00.</t>
        </is>
      </c>
      <c r="R292" s="29" t="inlineStr">
        <is>
          <t>Rumsey Playfield, Central Park</t>
        </is>
      </c>
      <c r="S292" s="17" t="inlineStr">
        <is>
          <t>Día 5 · mié 2/9</t>
        </is>
      </c>
      <c r="T292" s="30" t="inlineStr">
        <is>
          <t>Abrir ↗</t>
        </is>
      </c>
      <c r="U292" s="31" t="inlineStr">
        <is>
          <t>otros</t>
        </is>
      </c>
      <c r="V292" s="20" t="inlineStr">
        <is>
          <t>SÍ</t>
        </is>
      </c>
    </row>
    <row r="293" ht="46" customHeight="1">
      <c r="A293" s="23" t="inlineStr">
        <is>
          <t>NY Caribbean Carnival Week (Panorama)</t>
        </is>
      </c>
      <c r="B293" s="24" t="inlineStr">
        <is>
          <t>Festival pago</t>
        </is>
      </c>
      <c r="C293" s="25" t="inlineStr">
        <is>
          <t>Evento</t>
        </is>
      </c>
      <c r="D293" s="25" t="inlineStr">
        <is>
          <t>Prospect Heights</t>
        </is>
      </c>
      <c r="E293" s="25" t="inlineStr">
        <is>
          <t>Brooklyn</t>
        </is>
      </c>
      <c r="F293" s="12" t="n">
        <v>1</v>
      </c>
      <c r="G293" s="12" t="n">
        <v>1</v>
      </c>
      <c r="H293" s="26">
        <f>IF(AND(F293=2,G293=2),"AMBOS",IF(AND(F293=2,G293&lt;2),"solo JP",IF(AND(F293&lt;2,G293=2),"solo Thais","-")))</f>
        <v/>
      </c>
      <c r="I293" s="27" t="n">
        <v>30</v>
      </c>
      <c r="J293" s="28" t="n">
        <v>4</v>
      </c>
      <c r="K293" s="26" t="inlineStr">
        <is>
          <t>no</t>
        </is>
      </c>
      <c r="L293" s="29" t="inlineStr">
        <is>
          <t>—</t>
        </is>
      </c>
      <c r="M293" s="25" t="inlineStr">
        <is>
          <t>—</t>
        </is>
      </c>
      <c r="N293" s="29" t="inlineStr">
        <is>
          <t>—</t>
        </is>
      </c>
      <c r="O293" s="29" t="inlineStr">
        <is>
          <t>—</t>
        </is>
      </c>
      <c r="P293" s="29" t="inlineStr">
        <is>
          <t>Eastern Pkwy-Brooklyn Museum (2,3)</t>
        </is>
      </c>
      <c r="Q293" s="29" t="inlineStr">
        <is>
          <t>Del 3 al 7 de septiembre en el Brooklyn Museum: Blocko Mania (jue 3), Soca Fest (vie 4), Junior Carnival y Panorama (sab 5 / dom 6). El Panorama es la competencia de steel pan mas grande de Norteamerica. Fechas de fuente secundaria: VERIFICAR.</t>
        </is>
      </c>
      <c r="R293" s="29" t="inlineStr">
        <is>
          <t>Brooklyn Museum, 200 Eastern Pkwy</t>
        </is>
      </c>
      <c r="S293" s="29" t="inlineStr">
        <is>
          <t>—</t>
        </is>
      </c>
      <c r="T293" s="30" t="inlineStr">
        <is>
          <t>Abrir ↗</t>
        </is>
      </c>
      <c r="U293" s="31" t="inlineStr">
        <is>
          <t>otros</t>
        </is>
      </c>
      <c r="V293" s="20" t="inlineStr"/>
    </row>
    <row r="294" ht="46" customHeight="1">
      <c r="A294" s="23" t="inlineStr">
        <is>
          <t>Paint 'N Pour</t>
        </is>
      </c>
      <c r="B294" s="24" t="inlineStr">
        <is>
          <t>Taller y experiencia</t>
        </is>
      </c>
      <c r="C294" s="25" t="inlineStr">
        <is>
          <t>Evento</t>
        </is>
      </c>
      <c r="D294" s="25" t="inlineStr">
        <is>
          <t>Manhattan</t>
        </is>
      </c>
      <c r="E294" s="25" t="inlineStr">
        <is>
          <t>Manhattan</t>
        </is>
      </c>
      <c r="F294" s="12" t="n">
        <v>1</v>
      </c>
      <c r="G294" s="12" t="n">
        <v>1</v>
      </c>
      <c r="H294" s="26">
        <f>IF(AND(F294=2,G294=2),"AMBOS",IF(AND(F294=2,G294&lt;2),"solo JP",IF(AND(F294&lt;2,G294=2),"solo Thais","-")))</f>
        <v/>
      </c>
      <c r="I294" s="27" t="n">
        <v>45</v>
      </c>
      <c r="J294" s="28" t="n">
        <v>2</v>
      </c>
      <c r="K294" s="26" t="inlineStr">
        <is>
          <t>no</t>
        </is>
      </c>
      <c r="L294" s="29" t="inlineStr">
        <is>
          <t>—</t>
        </is>
      </c>
      <c r="M294" s="25" t="inlineStr">
        <is>
          <t>—</t>
        </is>
      </c>
      <c r="N294" s="29" t="inlineStr">
        <is>
          <t>—</t>
        </is>
      </c>
      <c r="O294" s="29" t="inlineStr">
        <is>
          <t>—</t>
        </is>
      </c>
      <c r="P294" s="29" t="inlineStr">
        <is>
          <t>-</t>
        </is>
      </c>
      <c r="Q294" s="29" t="inlineStr">
        <is>
          <t>Taller de pintura con copa de vino. Se reserva por sesión.</t>
        </is>
      </c>
      <c r="R294" s="29" t="inlineStr"/>
      <c r="S294" s="29" t="inlineStr">
        <is>
          <t>—</t>
        </is>
      </c>
      <c r="T294" s="30" t="inlineStr">
        <is>
          <t>Abrir ↗</t>
        </is>
      </c>
      <c r="U294" s="32" t="inlineStr">
        <is>
          <t>lista google</t>
        </is>
      </c>
      <c r="V294" s="20" t="inlineStr"/>
    </row>
    <row r="295" ht="46" customHeight="1">
      <c r="A295" s="23" t="inlineStr">
        <is>
          <t>Time To Paint - Painting Studio</t>
        </is>
      </c>
      <c r="B295" s="24" t="inlineStr">
        <is>
          <t>Taller y experiencia</t>
        </is>
      </c>
      <c r="C295" s="25" t="inlineStr">
        <is>
          <t>Evento</t>
        </is>
      </c>
      <c r="D295" s="25" t="inlineStr">
        <is>
          <t>Manhattan</t>
        </is>
      </c>
      <c r="E295" s="25" t="inlineStr">
        <is>
          <t>Manhattan</t>
        </is>
      </c>
      <c r="F295" s="12" t="n">
        <v>1</v>
      </c>
      <c r="G295" s="12" t="n">
        <v>1</v>
      </c>
      <c r="H295" s="26">
        <f>IF(AND(F295=2,G295=2),"AMBOS",IF(AND(F295=2,G295&lt;2),"solo JP",IF(AND(F295&lt;2,G295=2),"solo Thais","-")))</f>
        <v/>
      </c>
      <c r="I295" s="27" t="n">
        <v>45</v>
      </c>
      <c r="J295" s="28" t="n">
        <v>2</v>
      </c>
      <c r="K295" s="26" t="inlineStr">
        <is>
          <t>no</t>
        </is>
      </c>
      <c r="L295" s="29" t="inlineStr">
        <is>
          <t>—</t>
        </is>
      </c>
      <c r="M295" s="25" t="inlineStr">
        <is>
          <t>—</t>
        </is>
      </c>
      <c r="N295" s="29" t="inlineStr">
        <is>
          <t>—</t>
        </is>
      </c>
      <c r="O295" s="29" t="inlineStr">
        <is>
          <t>—</t>
        </is>
      </c>
      <c r="P295" s="29" t="inlineStr">
        <is>
          <t>-</t>
        </is>
      </c>
      <c r="Q295" s="29" t="inlineStr">
        <is>
          <t>Estudio para pintar por sesión, mismo formato que Paint 'N Pour.</t>
        </is>
      </c>
      <c r="R295" s="29" t="inlineStr"/>
      <c r="S295" s="29" t="inlineStr">
        <is>
          <t>—</t>
        </is>
      </c>
      <c r="T295" s="30" t="inlineStr">
        <is>
          <t>Abrir ↗</t>
        </is>
      </c>
      <c r="U295" s="32" t="inlineStr">
        <is>
          <t>lista google</t>
        </is>
      </c>
      <c r="V295" s="20" t="inlineStr"/>
    </row>
    <row r="296" ht="46" customHeight="1">
      <c r="A296" s="23" t="inlineStr">
        <is>
          <t>Green-Wood Discover Trolley Tour</t>
        </is>
      </c>
      <c r="B296" s="24" t="inlineStr">
        <is>
          <t>Tour guiado</t>
        </is>
      </c>
      <c r="C296" s="25" t="inlineStr">
        <is>
          <t>Evento</t>
        </is>
      </c>
      <c r="D296" s="25" t="inlineStr">
        <is>
          <t>Greenwood Heights</t>
        </is>
      </c>
      <c r="E296" s="25" t="inlineStr">
        <is>
          <t>Brooklyn</t>
        </is>
      </c>
      <c r="F296" s="12" t="n">
        <v>0</v>
      </c>
      <c r="G296" s="12" t="n">
        <v>0</v>
      </c>
      <c r="H296" s="26">
        <f>IF(AND(F296=2,G296=2),"AMBOS",IF(AND(F296=2,G296&lt;2),"solo JP",IF(AND(F296&lt;2,G296=2),"solo Thais","-")))</f>
        <v/>
      </c>
      <c r="I296" s="27" t="n">
        <v>25</v>
      </c>
      <c r="J296" s="28" t="n">
        <v>2</v>
      </c>
      <c r="K296" s="26" t="inlineStr">
        <is>
          <t>no</t>
        </is>
      </c>
      <c r="L296" s="29" t="inlineStr">
        <is>
          <t>—</t>
        </is>
      </c>
      <c r="M296" s="25" t="inlineStr">
        <is>
          <t>—</t>
        </is>
      </c>
      <c r="N296" s="29" t="inlineStr">
        <is>
          <t>—</t>
        </is>
      </c>
      <c r="O296" s="29" t="inlineStr">
        <is>
          <t>reservar</t>
        </is>
      </c>
      <c r="P296" s="29" t="inlineStr">
        <is>
          <t>25 St (R)</t>
        </is>
      </c>
      <c r="Q296" s="29" t="inlineStr">
        <is>
          <t>SABADO 29 DE AGOSTO y SABADO 5 DE SEPTIEMBRE, 13-15h. Recorrido en trolley por las 190 hectareas con guia. Es la forma de ver el cementerio entero sin caminar seis horas.</t>
        </is>
      </c>
      <c r="R296" s="29" t="inlineStr">
        <is>
          <t>500 25th St, Brooklyn</t>
        </is>
      </c>
      <c r="S296" s="29" t="inlineStr">
        <is>
          <t>—</t>
        </is>
      </c>
      <c r="T296" s="30" t="inlineStr">
        <is>
          <t>Abrir ↗</t>
        </is>
      </c>
      <c r="U296" s="31" t="inlineStr">
        <is>
          <t>otros</t>
        </is>
      </c>
      <c r="V296" s="20" t="inlineStr"/>
    </row>
    <row r="297" ht="46" customHeight="1">
      <c r="A297" s="23" t="inlineStr">
        <is>
          <t>Hamilton</t>
        </is>
      </c>
      <c r="B297" s="24" t="inlineStr">
        <is>
          <t>Musical de Broadway</t>
        </is>
      </c>
      <c r="C297" s="25" t="inlineStr">
        <is>
          <t>Teatro</t>
        </is>
      </c>
      <c r="D297" s="25" t="inlineStr">
        <is>
          <t>Theater District</t>
        </is>
      </c>
      <c r="E297" s="25" t="inlineStr">
        <is>
          <t>Manhattan</t>
        </is>
      </c>
      <c r="F297" s="12" t="n">
        <v>0</v>
      </c>
      <c r="G297" s="12" t="n">
        <v>0</v>
      </c>
      <c r="H297" s="26">
        <f>IF(AND(F297=2,G297=2),"AMBOS",IF(AND(F297=2,G297&lt;2),"solo JP",IF(AND(F297&lt;2,G297=2),"solo Thais","-")))</f>
        <v/>
      </c>
      <c r="I297" s="27" t="n">
        <v>112</v>
      </c>
      <c r="J297" s="28" t="n">
        <v>3</v>
      </c>
      <c r="K297" s="26" t="inlineStr">
        <is>
          <t>SÍ</t>
        </is>
      </c>
      <c r="L297" s="29" t="inlineStr">
        <is>
          <t>—</t>
        </is>
      </c>
      <c r="M297" s="25" t="inlineStr">
        <is>
          <t>—</t>
        </is>
      </c>
      <c r="N297" s="29" t="inlineStr">
        <is>
          <t>—</t>
        </is>
      </c>
      <c r="O297" s="29" t="inlineStr">
        <is>
          <t>—</t>
        </is>
      </c>
      <c r="P297" s="29" t="inlineStr">
        <is>
          <t>50 St (1), 49 St (N,R,W)</t>
        </is>
      </c>
      <c r="Q297" s="29" t="inlineStr">
        <is>
          <t>Sigue siendo el show mas dificil de conseguir barato, pero la loteria de $10 es gratis de intentar y asigna butacas de primera fila. Anotarse todos los dias desde ya.</t>
        </is>
      </c>
      <c r="R297" s="29" t="inlineStr">
        <is>
          <t>Richard Rodgers Theatre, 226 W 46th St</t>
        </is>
      </c>
      <c r="S297" s="29" t="inlineStr">
        <is>
          <t>—</t>
        </is>
      </c>
      <c r="T297" s="30" t="inlineStr">
        <is>
          <t>Abrir ↗</t>
        </is>
      </c>
      <c r="U297" s="31" t="inlineStr">
        <is>
          <t>otros</t>
        </is>
      </c>
      <c r="V297" s="20" t="inlineStr"/>
    </row>
    <row r="298" ht="46" customHeight="1">
      <c r="A298" s="23" t="inlineStr">
        <is>
          <t>Maybe Happy Ending</t>
        </is>
      </c>
      <c r="B298" s="24" t="inlineStr">
        <is>
          <t>Musical de Broadway</t>
        </is>
      </c>
      <c r="C298" s="25" t="inlineStr">
        <is>
          <t>Teatro</t>
        </is>
      </c>
      <c r="D298" s="25" t="inlineStr">
        <is>
          <t>Theater District</t>
        </is>
      </c>
      <c r="E298" s="25" t="inlineStr">
        <is>
          <t>Manhattan</t>
        </is>
      </c>
      <c r="F298" s="12" t="n">
        <v>0</v>
      </c>
      <c r="G298" s="12" t="n">
        <v>0</v>
      </c>
      <c r="H298" s="26">
        <f>IF(AND(F298=2,G298=2),"AMBOS",IF(AND(F298=2,G298&lt;2),"solo JP",IF(AND(F298&lt;2,G298=2),"solo Thais","-")))</f>
        <v/>
      </c>
      <c r="I298" s="27" t="n">
        <v>59</v>
      </c>
      <c r="J298" s="28" t="n">
        <v>2.5</v>
      </c>
      <c r="K298" s="26" t="inlineStr">
        <is>
          <t>no</t>
        </is>
      </c>
      <c r="L298" s="29" t="inlineStr">
        <is>
          <t>—</t>
        </is>
      </c>
      <c r="M298" s="25" t="inlineStr">
        <is>
          <t>—</t>
        </is>
      </c>
      <c r="N298" s="29" t="inlineStr">
        <is>
          <t>—</t>
        </is>
      </c>
      <c r="O298" s="29" t="inlineStr">
        <is>
          <t>—</t>
        </is>
      </c>
      <c r="P298" s="29" t="inlineStr">
        <is>
          <t>49 St (N,R,W)</t>
        </is>
      </c>
      <c r="Q298" s="29" t="inlineStr">
        <is>
          <t>Musical sobre dos robots obsoletos en Seul. Es la mejor relacion calidad/precio de la cartelera actual y la loteria de $20 es de las mas accesibles.</t>
        </is>
      </c>
      <c r="R298" s="29" t="inlineStr">
        <is>
          <t>Belasco Theatre, 111 W 44th St</t>
        </is>
      </c>
      <c r="S298" s="29" t="inlineStr">
        <is>
          <t>—</t>
        </is>
      </c>
      <c r="T298" s="30" t="inlineStr">
        <is>
          <t>Abrir ↗</t>
        </is>
      </c>
      <c r="U298" s="31" t="inlineStr">
        <is>
          <t>otros</t>
        </is>
      </c>
      <c r="V298" s="20" t="inlineStr"/>
    </row>
    <row r="299" ht="46" customHeight="1">
      <c r="A299" s="23" t="inlineStr">
        <is>
          <t>Moulin Rouge! (ULTIMAS FUNCIONES)</t>
        </is>
      </c>
      <c r="B299" s="24" t="inlineStr">
        <is>
          <t>Musical de Broadway</t>
        </is>
      </c>
      <c r="C299" s="25" t="inlineStr">
        <is>
          <t>Teatro</t>
        </is>
      </c>
      <c r="D299" s="25" t="inlineStr">
        <is>
          <t>Theater District</t>
        </is>
      </c>
      <c r="E299" s="25" t="inlineStr">
        <is>
          <t>Manhattan</t>
        </is>
      </c>
      <c r="F299" s="12" t="n">
        <v>1</v>
      </c>
      <c r="G299" s="12" t="n">
        <v>1</v>
      </c>
      <c r="H299" s="26">
        <f>IF(AND(F299=2,G299=2),"AMBOS",IF(AND(F299=2,G299&lt;2),"solo JP",IF(AND(F299&lt;2,G299=2),"solo Thais","-")))</f>
        <v/>
      </c>
      <c r="I299" s="27" t="n">
        <v>90</v>
      </c>
      <c r="J299" s="28" t="n">
        <v>3</v>
      </c>
      <c r="K299" s="26" t="inlineStr">
        <is>
          <t>no</t>
        </is>
      </c>
      <c r="L299" s="29" t="inlineStr">
        <is>
          <t>—</t>
        </is>
      </c>
      <c r="M299" s="25" t="inlineStr">
        <is>
          <t>—</t>
        </is>
      </c>
      <c r="N299" s="29" t="inlineStr">
        <is>
          <t>—</t>
        </is>
      </c>
      <c r="O299" s="29" t="inlineStr">
        <is>
          <t>urgente si lo quieren</t>
        </is>
      </c>
      <c r="P299" s="29" t="inlineStr">
        <is>
          <t>42 St-Port Authority (A,C,E)</t>
        </is>
      </c>
      <c r="Q299" s="29" t="inlineStr">
        <is>
          <t>CIERRA EL 30 DE AGOSTO DE 2026 (ya postergo el cierre una vez, de julio a agosto: puede volver a extender). Las dos ultimas funciones caen en el fin de semana de llegada, con demanda y precios en pico. Aaron Tveit protagoniza del 18 al 29 de agosto.</t>
        </is>
      </c>
      <c r="R299" s="29" t="inlineStr">
        <is>
          <t>Al Hirschfeld Theatre, 302 W 45th St</t>
        </is>
      </c>
      <c r="S299" s="29" t="inlineStr">
        <is>
          <t>—</t>
        </is>
      </c>
      <c r="T299" s="30" t="inlineStr">
        <is>
          <t>Abrir ↗</t>
        </is>
      </c>
      <c r="U299" s="31" t="inlineStr">
        <is>
          <t>otros</t>
        </is>
      </c>
      <c r="V299" s="20" t="inlineStr"/>
    </row>
    <row r="300" ht="46" customHeight="1">
      <c r="A300" s="23" t="inlineStr">
        <is>
          <t>Operation Mincemeat</t>
        </is>
      </c>
      <c r="B300" s="24" t="inlineStr">
        <is>
          <t>Musical de Broadway</t>
        </is>
      </c>
      <c r="C300" s="25" t="inlineStr">
        <is>
          <t>Teatro</t>
        </is>
      </c>
      <c r="D300" s="25" t="inlineStr">
        <is>
          <t>Theater District</t>
        </is>
      </c>
      <c r="E300" s="25" t="inlineStr">
        <is>
          <t>Manhattan</t>
        </is>
      </c>
      <c r="F300" s="12" t="n">
        <v>0</v>
      </c>
      <c r="G300" s="12" t="n">
        <v>0</v>
      </c>
      <c r="H300" s="26">
        <f>IF(AND(F300=2,G300=2),"AMBOS",IF(AND(F300=2,G300&lt;2),"solo JP",IF(AND(F300&lt;2,G300=2),"solo Thais","-")))</f>
        <v/>
      </c>
      <c r="I300" s="27" t="n">
        <v>63</v>
      </c>
      <c r="J300" s="28" t="n">
        <v>2.5</v>
      </c>
      <c r="K300" s="26" t="inlineStr">
        <is>
          <t>no</t>
        </is>
      </c>
      <c r="L300" s="29" t="inlineStr">
        <is>
          <t>—</t>
        </is>
      </c>
      <c r="M300" s="25" t="inlineStr">
        <is>
          <t>—</t>
        </is>
      </c>
      <c r="N300" s="29" t="inlineStr">
        <is>
          <t>—</t>
        </is>
      </c>
      <c r="O300" s="29" t="inlineStr">
        <is>
          <t>—</t>
        </is>
      </c>
      <c r="P300" s="29" t="inlineStr">
        <is>
          <t>49 St (N,R,W)</t>
        </is>
      </c>
      <c r="Q300" s="29" t="inlineStr">
        <is>
          <t>Comedia musical britanica sobre una operacion de contrainteligencia real de la Segunda Guerra. Cinco actores haciendo ochenta personajes. Muy bien recibida y mas barata que los grandes musicales.</t>
        </is>
      </c>
      <c r="R300" s="29" t="inlineStr">
        <is>
          <t>John Golden Theatre, 252 W 45th St</t>
        </is>
      </c>
      <c r="S300" s="29" t="inlineStr">
        <is>
          <t>—</t>
        </is>
      </c>
      <c r="T300" s="30" t="inlineStr">
        <is>
          <t>Abrir ↗</t>
        </is>
      </c>
      <c r="U300" s="31" t="inlineStr">
        <is>
          <t>otros</t>
        </is>
      </c>
      <c r="V300" s="20" t="inlineStr"/>
    </row>
    <row r="301" ht="46" customHeight="1">
      <c r="A301" s="23" t="inlineStr">
        <is>
          <t>Little Shop of Horrors (Off-Broadway)</t>
        </is>
      </c>
      <c r="B301" s="24" t="inlineStr">
        <is>
          <t>Off-Broadway</t>
        </is>
      </c>
      <c r="C301" s="25" t="inlineStr">
        <is>
          <t>Teatro</t>
        </is>
      </c>
      <c r="D301" s="25" t="inlineStr">
        <is>
          <t>Theater District</t>
        </is>
      </c>
      <c r="E301" s="25" t="inlineStr">
        <is>
          <t>Manhattan</t>
        </is>
      </c>
      <c r="F301" s="12" t="n">
        <v>0</v>
      </c>
      <c r="G301" s="12" t="n">
        <v>0</v>
      </c>
      <c r="H301" s="26">
        <f>IF(AND(F301=2,G301=2),"AMBOS",IF(AND(F301=2,G301&lt;2),"solo JP",IF(AND(F301&lt;2,G301=2),"solo Thais","-")))</f>
        <v/>
      </c>
      <c r="I301" s="27" t="n">
        <v>40</v>
      </c>
      <c r="J301" s="28" t="n">
        <v>2</v>
      </c>
      <c r="K301" s="26" t="inlineStr">
        <is>
          <t>no</t>
        </is>
      </c>
      <c r="L301" s="29" t="inlineStr">
        <is>
          <t>—</t>
        </is>
      </c>
      <c r="M301" s="25" t="inlineStr">
        <is>
          <t>—</t>
        </is>
      </c>
      <c r="N301" s="29" t="inlineStr">
        <is>
          <t>—</t>
        </is>
      </c>
      <c r="O301" s="29" t="inlineStr">
        <is>
          <t>—</t>
        </is>
      </c>
      <c r="P301" s="29" t="inlineStr">
        <is>
          <t>50 St (C,E)</t>
        </is>
      </c>
      <c r="Q301" s="29" t="inlineStr">
        <is>
          <t>Sala chica, produccion excelente, y a un cuarto del precio de un musical grande. Off-Broadway hecho bien.</t>
        </is>
      </c>
      <c r="R301" s="29" t="inlineStr">
        <is>
          <t>Westside Theatre, 407 W 43rd St</t>
        </is>
      </c>
      <c r="S301" s="29" t="inlineStr">
        <is>
          <t>—</t>
        </is>
      </c>
      <c r="T301" s="30" t="inlineStr">
        <is>
          <t>Abrir ↗</t>
        </is>
      </c>
      <c r="U301" s="31" t="inlineStr">
        <is>
          <t>otros</t>
        </is>
      </c>
      <c r="V301" s="20" t="inlineStr"/>
    </row>
    <row r="302" ht="46" customHeight="1">
      <c r="A302" s="23" t="inlineStr">
        <is>
          <t>Stranger Things: The First Shadow (play)</t>
        </is>
      </c>
      <c r="B302" s="24" t="inlineStr">
        <is>
          <t>Play de Broadway</t>
        </is>
      </c>
      <c r="C302" s="25" t="inlineStr">
        <is>
          <t>Teatro</t>
        </is>
      </c>
      <c r="D302" s="25" t="inlineStr">
        <is>
          <t>Midtown</t>
        </is>
      </c>
      <c r="E302" s="25" t="inlineStr">
        <is>
          <t>Manhattan</t>
        </is>
      </c>
      <c r="F302" s="12" t="n">
        <v>2</v>
      </c>
      <c r="G302" s="12" t="n">
        <v>2</v>
      </c>
      <c r="H302" s="26">
        <f>IF(AND(F302=2,G302=2),"AMBOS",IF(AND(F302=2,G302&lt;2),"solo JP",IF(AND(F302&lt;2,G302=2),"solo Thais","-")))</f>
        <v/>
      </c>
      <c r="I302" s="27" t="n">
        <v>90</v>
      </c>
      <c r="J302" s="28" t="n">
        <v>2.5</v>
      </c>
      <c r="K302" s="26" t="inlineStr">
        <is>
          <t>SÍ</t>
        </is>
      </c>
      <c r="L302" s="29" t="inlineStr">
        <is>
          <t>—</t>
        </is>
      </c>
      <c r="M302" s="25" t="inlineStr">
        <is>
          <t>—</t>
        </is>
      </c>
      <c r="N302" s="29" t="inlineStr">
        <is>
          <t>—</t>
        </is>
      </c>
      <c r="O302" s="29" t="inlineStr">
        <is>
          <t>compra firme esta semana - verificar horario de funcion (19:00/19:30/20:00)</t>
        </is>
      </c>
      <c r="P302" s="29" t="inlineStr">
        <is>
          <t>Times Sq-42 St</t>
        </is>
      </c>
      <c r="Q302" s="29" t="inlineStr">
        <is>
          <t>EL play-espectaculo de Broadway: la precuela de Stranger Things con la maquinaria escenica que gano el Tony. Para quien viene de Mercer Labs, es el mismo musculo llevado al teatro.</t>
        </is>
      </c>
      <c r="R302" s="29" t="inlineStr">
        <is>
          <t>Marquis Theatre, 210 W 46th St</t>
        </is>
      </c>
      <c r="S302" s="17" t="inlineStr">
        <is>
          <t>Día 8 · sáb 5/9</t>
        </is>
      </c>
      <c r="T302" s="30" t="inlineStr">
        <is>
          <t>Abrir ↗</t>
        </is>
      </c>
      <c r="U302" s="31" t="inlineStr">
        <is>
          <t>otros</t>
        </is>
      </c>
      <c r="V302" s="20" t="inlineStr"/>
    </row>
    <row r="303" ht="46" customHeight="1">
      <c r="A303" s="23" t="inlineStr">
        <is>
          <t>TKTS Lincoln Center</t>
        </is>
      </c>
      <c r="B303" s="24" t="inlineStr">
        <is>
          <t>Tickets con descuento</t>
        </is>
      </c>
      <c r="C303" s="25" t="inlineStr">
        <is>
          <t>Teatro</t>
        </is>
      </c>
      <c r="D303" s="25" t="inlineStr">
        <is>
          <t>Lincoln Square</t>
        </is>
      </c>
      <c r="E303" s="25" t="inlineStr">
        <is>
          <t>Manhattan</t>
        </is>
      </c>
      <c r="F303" s="12" t="n">
        <v>0</v>
      </c>
      <c r="G303" s="12" t="n">
        <v>0</v>
      </c>
      <c r="H303" s="26">
        <f>IF(AND(F303=2,G303=2),"AMBOS",IF(AND(F303=2,G303&lt;2),"solo JP",IF(AND(F303&lt;2,G303=2),"solo Thais","-")))</f>
        <v/>
      </c>
      <c r="I303" s="27" t="n">
        <v>0</v>
      </c>
      <c r="J303" s="28" t="n">
        <v>0.75</v>
      </c>
      <c r="K303" s="26" t="inlineStr">
        <is>
          <t>no</t>
        </is>
      </c>
      <c r="L303" s="29" t="inlineStr">
        <is>
          <t>lunes: cerrado · martes a sábado: 11:00–18:00 · domingo: cerrado</t>
        </is>
      </c>
      <c r="M303" s="25" t="inlineStr">
        <is>
          <t>lunes y domingos</t>
        </is>
      </c>
      <c r="N303" s="29" t="inlineStr">
        <is>
          <t>—</t>
        </is>
      </c>
      <c r="O303" s="29" t="inlineStr">
        <is>
          <t>—</t>
        </is>
      </c>
      <c r="P303" s="29" t="inlineStr">
        <is>
          <t>66 St-Lincoln Center (1)</t>
        </is>
      </c>
      <c r="Q303" s="29" t="inlineStr">
        <is>
          <t>Mismo inventario que el booth de Times Square y casi siempre sin cola. Mar-sab 11-18h. Usar la app de TKTS para ver el inventario en tiempo real ANTES de ir. A 10 cuadras del hotel The Beacon.</t>
        </is>
      </c>
      <c r="R303" s="29" t="inlineStr">
        <is>
          <t>61 W 62nd St</t>
        </is>
      </c>
      <c r="S303" s="29" t="inlineStr">
        <is>
          <t>—</t>
        </is>
      </c>
      <c r="T303" s="30" t="inlineStr">
        <is>
          <t>Abrir ↗</t>
        </is>
      </c>
      <c r="U303" s="32" t="inlineStr">
        <is>
          <t>lista google</t>
        </is>
      </c>
      <c r="V303" s="20" t="inlineStr"/>
    </row>
    <row r="304" ht="46" customHeight="1">
      <c r="A304" s="9" t="inlineStr">
        <is>
          <t>NYC Ferry DUMBO → Wall St</t>
        </is>
      </c>
      <c r="B304" s="10" t="inlineStr">
        <is>
          <t>Ferry y teleférico</t>
        </is>
      </c>
      <c r="C304" s="11" t="inlineStr">
        <is>
          <t>Logística</t>
        </is>
      </c>
      <c r="D304" s="11" t="inlineStr">
        <is>
          <t>East River</t>
        </is>
      </c>
      <c r="E304" s="11" t="inlineStr">
        <is>
          <t>Manhattan</t>
        </is>
      </c>
      <c r="F304" s="12" t="n">
        <v>1</v>
      </c>
      <c r="G304" s="12" t="n">
        <v>1</v>
      </c>
      <c r="H304" s="13">
        <f>IF(AND(F304=2,G304=2),"AMBOS",IF(AND(F304=2,G304&lt;2),"solo JP",IF(AND(F304&lt;2,G304=2),"solo Thais","-")))</f>
        <v/>
      </c>
      <c r="I304" s="14" t="n">
        <v>4</v>
      </c>
      <c r="J304" s="15" t="n">
        <v>0.5</v>
      </c>
      <c r="K304" s="13" t="inlineStr">
        <is>
          <t>no</t>
        </is>
      </c>
      <c r="L304" s="16" t="inlineStr">
        <is>
          <t>—</t>
        </is>
      </c>
      <c r="M304" s="11" t="inlineStr">
        <is>
          <t>—</t>
        </is>
      </c>
      <c r="N304" s="16" t="inlineStr">
        <is>
          <t>—</t>
        </is>
      </c>
      <c r="O304" s="16" t="inlineStr">
        <is>
          <t>—</t>
        </is>
      </c>
      <c r="P304" s="16" t="inlineStr">
        <is>
          <t>Pier 1 DUMBO / Pier 11 Wall St</t>
        </is>
      </c>
      <c r="Q304" s="16" t="inlineStr">
        <is>
          <t>$4,50 y cruza el East River con el puente de Brooklyn de frente: la vista del crucero turístico por precio de subte.</t>
        </is>
      </c>
      <c r="R304" s="16" t="inlineStr"/>
      <c r="S304" s="16" t="inlineStr">
        <is>
          <t>—</t>
        </is>
      </c>
      <c r="T304" s="18" t="inlineStr">
        <is>
          <t>Abrir ↗</t>
        </is>
      </c>
      <c r="U304" s="19" t="inlineStr">
        <is>
          <t>lista google</t>
        </is>
      </c>
      <c r="V304" s="20" t="inlineStr"/>
    </row>
    <row r="305" ht="46" customHeight="1">
      <c r="A305" s="9" t="inlineStr">
        <is>
          <t>Hotel Ink48 (29-31 ago)</t>
        </is>
      </c>
      <c r="B305" s="10" t="inlineStr">
        <is>
          <t>Hotel</t>
        </is>
      </c>
      <c r="C305" s="11" t="inlineStr">
        <is>
          <t>Logística</t>
        </is>
      </c>
      <c r="D305" s="11" t="inlineStr">
        <is>
          <t>Hell's Kitchen</t>
        </is>
      </c>
      <c r="E305" s="11" t="inlineStr">
        <is>
          <t>Manhattan</t>
        </is>
      </c>
      <c r="F305" s="12" t="n">
        <v>2</v>
      </c>
      <c r="G305" s="12" t="n">
        <v>2</v>
      </c>
      <c r="H305" s="13">
        <f>IF(AND(F305=2,G305=2),"AMBOS",IF(AND(F305=2,G305&lt;2),"solo JP",IF(AND(F305&lt;2,G305=2),"solo Thais","-")))</f>
        <v/>
      </c>
      <c r="I305" s="14" t="n">
        <v>0</v>
      </c>
      <c r="J305" s="15" t="n">
        <v>0</v>
      </c>
      <c r="K305" s="13" t="inlineStr">
        <is>
          <t>no</t>
        </is>
      </c>
      <c r="L305" s="16" t="inlineStr">
        <is>
          <t>—</t>
        </is>
      </c>
      <c r="M305" s="11" t="inlineStr">
        <is>
          <t>—</t>
        </is>
      </c>
      <c r="N305" s="16" t="inlineStr">
        <is>
          <t>—</t>
        </is>
      </c>
      <c r="O305" s="16" t="inlineStr">
        <is>
          <t>—</t>
        </is>
      </c>
      <c r="P305" s="16" t="inlineStr">
        <is>
          <t>50 St (C,E) a ~12 min caminando</t>
        </is>
      </c>
      <c r="Q305" s="16" t="inlineStr">
        <is>
          <t>Base 29-31 de agosto. Esta lejos del subte (12 min al este hasta la 8va Av). Cerca: Intrepid, High Line norte, Hudson Yards, Birdland.</t>
        </is>
      </c>
      <c r="R305" s="16" t="inlineStr">
        <is>
          <t>653 11th Ave</t>
        </is>
      </c>
      <c r="S305" s="17" t="inlineStr">
        <is>
          <t>Día 1 · sáb 29/8, Día 3 · lun 31/8</t>
        </is>
      </c>
      <c r="T305" s="18" t="inlineStr">
        <is>
          <t>Abrir ↗</t>
        </is>
      </c>
      <c r="U305" s="19" t="inlineStr">
        <is>
          <t>lista google</t>
        </is>
      </c>
      <c r="V305" s="20" t="inlineStr"/>
    </row>
    <row r="306" ht="46" customHeight="1">
      <c r="A306" s="9" t="inlineStr">
        <is>
          <t>Hotel The Beacon (3-6 sep)</t>
        </is>
      </c>
      <c r="B306" s="10" t="inlineStr">
        <is>
          <t>Hotel</t>
        </is>
      </c>
      <c r="C306" s="11" t="inlineStr">
        <is>
          <t>Logística</t>
        </is>
      </c>
      <c r="D306" s="11" t="inlineStr">
        <is>
          <t>Upper West Side</t>
        </is>
      </c>
      <c r="E306" s="11" t="inlineStr">
        <is>
          <t>Manhattan</t>
        </is>
      </c>
      <c r="F306" s="12" t="n">
        <v>2</v>
      </c>
      <c r="G306" s="12" t="n">
        <v>2</v>
      </c>
      <c r="H306" s="13">
        <f>IF(AND(F306=2,G306=2),"AMBOS",IF(AND(F306=2,G306&lt;2),"solo JP",IF(AND(F306&lt;2,G306=2),"solo Thais","-")))</f>
        <v/>
      </c>
      <c r="I306" s="14" t="n">
        <v>0</v>
      </c>
      <c r="J306" s="15" t="n">
        <v>0</v>
      </c>
      <c r="K306" s="13" t="inlineStr">
        <is>
          <t>no</t>
        </is>
      </c>
      <c r="L306" s="16" t="inlineStr">
        <is>
          <t>—</t>
        </is>
      </c>
      <c r="M306" s="11" t="inlineStr">
        <is>
          <t>—</t>
        </is>
      </c>
      <c r="N306" s="16" t="inlineStr">
        <is>
          <t>—</t>
        </is>
      </c>
      <c r="O306" s="16" t="inlineStr">
        <is>
          <t>—</t>
        </is>
      </c>
      <c r="P306" s="16" t="inlineStr">
        <is>
          <t>72 St (1,2,3) a 3 cuadras</t>
        </is>
      </c>
      <c r="Q306" s="16" t="inlineStr">
        <is>
          <t>Base 3-6 de septiembre. Ubicacion excelente: la 1/2/3 llega a Penn Station en 10 min. Cerca: Central Park, AMNH, TKTS Lincoln Center, Dizzy's.</t>
        </is>
      </c>
      <c r="R306" s="16" t="inlineStr">
        <is>
          <t>2130 Broadway</t>
        </is>
      </c>
      <c r="S306" s="17" t="inlineStr">
        <is>
          <t>Día 6 · jue 3/9, Día 9 · dom 6/9</t>
        </is>
      </c>
      <c r="T306" s="18" t="inlineStr">
        <is>
          <t>Abrir ↗</t>
        </is>
      </c>
      <c r="U306" s="19" t="inlineStr">
        <is>
          <t>lista google</t>
        </is>
      </c>
      <c r="V306" s="20" t="inlineStr"/>
    </row>
    <row r="307" ht="46" customHeight="1">
      <c r="A307" s="9" t="inlineStr">
        <is>
          <t>JGSTAY SoHo (JP: 31 ago-2 sep)</t>
        </is>
      </c>
      <c r="B307" s="10" t="inlineStr">
        <is>
          <t>Hotel</t>
        </is>
      </c>
      <c r="C307" s="11" t="inlineStr">
        <is>
          <t>Logística</t>
        </is>
      </c>
      <c r="D307" s="11" t="inlineStr">
        <is>
          <t>SoHo</t>
        </is>
      </c>
      <c r="E307" s="11" t="inlineStr">
        <is>
          <t>Manhattan</t>
        </is>
      </c>
      <c r="F307" s="12" t="n">
        <v>2</v>
      </c>
      <c r="G307" s="12" t="n">
        <v>0</v>
      </c>
      <c r="H307" s="13">
        <f>IF(AND(F307=2,G307=2),"AMBOS",IF(AND(F307=2,G307&lt;2),"solo JP",IF(AND(F307&lt;2,G307=2),"solo Thais","-")))</f>
        <v/>
      </c>
      <c r="I307" s="14" t="n">
        <v>0</v>
      </c>
      <c r="J307" s="15" t="n">
        <v>0</v>
      </c>
      <c r="K307" s="13" t="inlineStr">
        <is>
          <t>no</t>
        </is>
      </c>
      <c r="L307" s="16" t="inlineStr">
        <is>
          <t>—</t>
        </is>
      </c>
      <c r="M307" s="11" t="inlineStr">
        <is>
          <t>—</t>
        </is>
      </c>
      <c r="N307" s="16" t="inlineStr">
        <is>
          <t>—</t>
        </is>
      </c>
      <c r="O307" s="16" t="inlineStr">
        <is>
          <t>—</t>
        </is>
      </c>
      <c r="P307" s="16" t="inlineStr">
        <is>
          <t>Canal St: la del 6/J/Z esta EN la esquina (Lafayette y Canal); N/Q/R/W a 2 cuadras</t>
        </is>
      </c>
      <c r="Q307" s="16" t="inlineStr">
        <is>
          <t>Base de JP lunes y martes a la noche: se acabaron las dos vueltas nocturnas a New Jersey. Recepcion 24 h, CONSIGNA de equipaje y desayuno incluido 7-9 AM. Canal St al lado = 6 directo al MET y Grand Central, A/C al AMNH, y el Village a 15-20 min a pie.</t>
        </is>
      </c>
      <c r="R307" s="16" t="inlineStr">
        <is>
          <t>120 Lafayette St, NY 10013</t>
        </is>
      </c>
      <c r="S307" s="17" t="inlineStr">
        <is>
          <t>Día 3 · lun 31/8, Día 4 · mar 1/9, Día 5 · mié 2/9, Día 6 · jue 3/9</t>
        </is>
      </c>
      <c r="T307" s="18" t="inlineStr">
        <is>
          <t>Abrir ↗</t>
        </is>
      </c>
      <c r="U307" s="21" t="inlineStr">
        <is>
          <t>otros</t>
        </is>
      </c>
      <c r="V307" s="20" t="inlineStr"/>
    </row>
    <row r="308" ht="46" customHeight="1">
      <c r="A308" s="9" t="inlineStr">
        <is>
          <t>Residence Inn Branchburg (Thais 31/8-3/9 · JP solo la noche del 2)</t>
        </is>
      </c>
      <c r="B308" s="10" t="inlineStr">
        <is>
          <t>Hotel</t>
        </is>
      </c>
      <c r="C308" s="11" t="inlineStr">
        <is>
          <t>Logística</t>
        </is>
      </c>
      <c r="D308" s="11" t="inlineStr">
        <is>
          <t>Branchburg</t>
        </is>
      </c>
      <c r="E308" s="11" t="inlineStr">
        <is>
          <t>New Jersey</t>
        </is>
      </c>
      <c r="F308" s="12" t="n">
        <v>2</v>
      </c>
      <c r="G308" s="12" t="n">
        <v>2</v>
      </c>
      <c r="H308" s="13">
        <f>IF(AND(F308=2,G308=2),"AMBOS",IF(AND(F308=2,G308&lt;2),"solo JP",IF(AND(F308&lt;2,G308=2),"solo Thais","-")))</f>
        <v/>
      </c>
      <c r="I308" s="14" t="n">
        <v>0</v>
      </c>
      <c r="J308" s="15" t="n">
        <v>0</v>
      </c>
      <c r="K308" s="13" t="inlineStr">
        <is>
          <t>no</t>
        </is>
      </c>
      <c r="L308" s="16" t="inlineStr">
        <is>
          <t>—</t>
        </is>
      </c>
      <c r="M308" s="11" t="inlineStr">
        <is>
          <t>—</t>
        </is>
      </c>
      <c r="N308" s="16" t="inlineStr">
        <is>
          <t>—</t>
        </is>
      </c>
      <c r="O308" s="16" t="inlineStr">
        <is>
          <t>—</t>
        </is>
      </c>
      <c r="P308" s="16" t="inlineStr">
        <is>
          <t>Estacion Raritan (NJ Transit RVL) a 6,4 km</t>
        </is>
      </c>
      <c r="Q308" s="16" t="inlineStr">
        <is>
          <t>Base en NJ. NO tiene shuttle (confirmado por Marriott). Estacionamiento propio gratis. Para llegar al tren hay que tomar Uber (~$14-20 por tramo a Raritan).</t>
        </is>
      </c>
      <c r="R308" s="16" t="inlineStr">
        <is>
          <t>3241 US Highway 22 East, Branchburg NJ</t>
        </is>
      </c>
      <c r="S308" s="16" t="inlineStr">
        <is>
          <t>—</t>
        </is>
      </c>
      <c r="T308" s="18" t="inlineStr">
        <is>
          <t>Abrir ↗</t>
        </is>
      </c>
      <c r="U308" s="19" t="inlineStr">
        <is>
          <t>lista google</t>
        </is>
      </c>
      <c r="V308" s="20" t="inlineStr"/>
    </row>
  </sheetData>
  <autoFilter ref="A4:V308"/>
  <mergeCells count="2">
    <mergeCell ref="A2:V2"/>
    <mergeCell ref="A1:V1"/>
  </mergeCells>
  <conditionalFormatting sqref="H5:H308">
    <cfRule type="cellIs" priority="1" operator="equal" dxfId="0">
      <formula>"AMBOS"</formula>
    </cfRule>
  </conditionalFormatting>
  <dataValidations count="2">
    <dataValidation sqref="F5:G308" showDropDown="0" showInputMessage="0" showErrorMessage="0" allowBlank="0" errorTitle="Valor inválido" error="Solo 0, 1 o 2" promptTitle="Nivel de interés" prompt="0 = no me interesa · 1 = quizás · 2 = sí quiero" type="list">
      <formula1>"0,1,2"</formula1>
    </dataValidation>
    <dataValidation sqref="V5:V308" showDropDown="0" showInputMessage="0" showErrorMessage="0" allowBlank="1" errorTitle="Valor inválido" error="Escribí SÍ, NO, o dejalo vacío" promptTitle="Imprescindible" prompt="SÍ = tiene que entrar sí o sí. NO = lo descartás a propósito. Vacío = sin decidir." type="list">
      <formula1>"SÍ,NO"</formula1>
    </dataValidation>
  </dataValidations>
  <hyperlinks>
    <hyperlink xmlns:r="http://schemas.openxmlformats.org/officeDocument/2006/relationships" ref="T5" r:id="rId1"/>
    <hyperlink xmlns:r="http://schemas.openxmlformats.org/officeDocument/2006/relationships" ref="T6" r:id="rId2"/>
    <hyperlink xmlns:r="http://schemas.openxmlformats.org/officeDocument/2006/relationships" ref="T7" r:id="rId3"/>
    <hyperlink xmlns:r="http://schemas.openxmlformats.org/officeDocument/2006/relationships" ref="T8" r:id="rId4"/>
    <hyperlink xmlns:r="http://schemas.openxmlformats.org/officeDocument/2006/relationships" ref="T9" r:id="rId5"/>
    <hyperlink xmlns:r="http://schemas.openxmlformats.org/officeDocument/2006/relationships" ref="T10" r:id="rId6"/>
    <hyperlink xmlns:r="http://schemas.openxmlformats.org/officeDocument/2006/relationships" ref="T11" r:id="rId7"/>
    <hyperlink xmlns:r="http://schemas.openxmlformats.org/officeDocument/2006/relationships" ref="T12" r:id="rId8"/>
    <hyperlink xmlns:r="http://schemas.openxmlformats.org/officeDocument/2006/relationships" ref="T13" r:id="rId9"/>
    <hyperlink xmlns:r="http://schemas.openxmlformats.org/officeDocument/2006/relationships" ref="T14" r:id="rId10"/>
    <hyperlink xmlns:r="http://schemas.openxmlformats.org/officeDocument/2006/relationships" ref="T15" r:id="rId11"/>
    <hyperlink xmlns:r="http://schemas.openxmlformats.org/officeDocument/2006/relationships" ref="T16" r:id="rId12"/>
    <hyperlink xmlns:r="http://schemas.openxmlformats.org/officeDocument/2006/relationships" ref="T17" r:id="rId13"/>
    <hyperlink xmlns:r="http://schemas.openxmlformats.org/officeDocument/2006/relationships" ref="T18" r:id="rId14"/>
    <hyperlink xmlns:r="http://schemas.openxmlformats.org/officeDocument/2006/relationships" ref="T19" r:id="rId15"/>
    <hyperlink xmlns:r="http://schemas.openxmlformats.org/officeDocument/2006/relationships" ref="T20" r:id="rId16"/>
    <hyperlink xmlns:r="http://schemas.openxmlformats.org/officeDocument/2006/relationships" ref="T21" r:id="rId17"/>
    <hyperlink xmlns:r="http://schemas.openxmlformats.org/officeDocument/2006/relationships" ref="T22" r:id="rId18"/>
    <hyperlink xmlns:r="http://schemas.openxmlformats.org/officeDocument/2006/relationships" ref="T23" r:id="rId19"/>
    <hyperlink xmlns:r="http://schemas.openxmlformats.org/officeDocument/2006/relationships" ref="T24" r:id="rId20"/>
    <hyperlink xmlns:r="http://schemas.openxmlformats.org/officeDocument/2006/relationships" ref="T25" r:id="rId21"/>
    <hyperlink xmlns:r="http://schemas.openxmlformats.org/officeDocument/2006/relationships" ref="T26" r:id="rId22"/>
    <hyperlink xmlns:r="http://schemas.openxmlformats.org/officeDocument/2006/relationships" ref="T27" r:id="rId23"/>
    <hyperlink xmlns:r="http://schemas.openxmlformats.org/officeDocument/2006/relationships" ref="T28" r:id="rId24"/>
    <hyperlink xmlns:r="http://schemas.openxmlformats.org/officeDocument/2006/relationships" ref="T29" r:id="rId25"/>
    <hyperlink xmlns:r="http://schemas.openxmlformats.org/officeDocument/2006/relationships" ref="T30" r:id="rId26"/>
    <hyperlink xmlns:r="http://schemas.openxmlformats.org/officeDocument/2006/relationships" ref="T31" r:id="rId27"/>
    <hyperlink xmlns:r="http://schemas.openxmlformats.org/officeDocument/2006/relationships" ref="T32" r:id="rId28"/>
    <hyperlink xmlns:r="http://schemas.openxmlformats.org/officeDocument/2006/relationships" ref="T33" r:id="rId29"/>
    <hyperlink xmlns:r="http://schemas.openxmlformats.org/officeDocument/2006/relationships" ref="T34" r:id="rId30"/>
    <hyperlink xmlns:r="http://schemas.openxmlformats.org/officeDocument/2006/relationships" ref="T35" r:id="rId31"/>
    <hyperlink xmlns:r="http://schemas.openxmlformats.org/officeDocument/2006/relationships" ref="T36" r:id="rId32"/>
    <hyperlink xmlns:r="http://schemas.openxmlformats.org/officeDocument/2006/relationships" ref="T37" r:id="rId33"/>
    <hyperlink xmlns:r="http://schemas.openxmlformats.org/officeDocument/2006/relationships" ref="T38" r:id="rId34"/>
    <hyperlink xmlns:r="http://schemas.openxmlformats.org/officeDocument/2006/relationships" ref="T39" r:id="rId35"/>
    <hyperlink xmlns:r="http://schemas.openxmlformats.org/officeDocument/2006/relationships" ref="T40" r:id="rId36"/>
    <hyperlink xmlns:r="http://schemas.openxmlformats.org/officeDocument/2006/relationships" ref="T41" r:id="rId37"/>
    <hyperlink xmlns:r="http://schemas.openxmlformats.org/officeDocument/2006/relationships" ref="T42" r:id="rId38"/>
    <hyperlink xmlns:r="http://schemas.openxmlformats.org/officeDocument/2006/relationships" ref="T43" r:id="rId39"/>
    <hyperlink xmlns:r="http://schemas.openxmlformats.org/officeDocument/2006/relationships" ref="T44" r:id="rId40"/>
    <hyperlink xmlns:r="http://schemas.openxmlformats.org/officeDocument/2006/relationships" ref="T45" r:id="rId41"/>
    <hyperlink xmlns:r="http://schemas.openxmlformats.org/officeDocument/2006/relationships" ref="T46" r:id="rId42"/>
    <hyperlink xmlns:r="http://schemas.openxmlformats.org/officeDocument/2006/relationships" ref="T47" r:id="rId43"/>
    <hyperlink xmlns:r="http://schemas.openxmlformats.org/officeDocument/2006/relationships" ref="T48" r:id="rId44"/>
    <hyperlink xmlns:r="http://schemas.openxmlformats.org/officeDocument/2006/relationships" ref="T49" r:id="rId45"/>
    <hyperlink xmlns:r="http://schemas.openxmlformats.org/officeDocument/2006/relationships" ref="T50" r:id="rId46"/>
    <hyperlink xmlns:r="http://schemas.openxmlformats.org/officeDocument/2006/relationships" ref="T51" r:id="rId47"/>
    <hyperlink xmlns:r="http://schemas.openxmlformats.org/officeDocument/2006/relationships" ref="T52" r:id="rId48"/>
    <hyperlink xmlns:r="http://schemas.openxmlformats.org/officeDocument/2006/relationships" ref="T53" r:id="rId49"/>
    <hyperlink xmlns:r="http://schemas.openxmlformats.org/officeDocument/2006/relationships" ref="T54" r:id="rId50"/>
    <hyperlink xmlns:r="http://schemas.openxmlformats.org/officeDocument/2006/relationships" ref="T55" r:id="rId51"/>
    <hyperlink xmlns:r="http://schemas.openxmlformats.org/officeDocument/2006/relationships" ref="T56" r:id="rId52"/>
    <hyperlink xmlns:r="http://schemas.openxmlformats.org/officeDocument/2006/relationships" ref="T57" r:id="rId53"/>
    <hyperlink xmlns:r="http://schemas.openxmlformats.org/officeDocument/2006/relationships" ref="T58" r:id="rId54"/>
    <hyperlink xmlns:r="http://schemas.openxmlformats.org/officeDocument/2006/relationships" ref="T59" r:id="rId55"/>
    <hyperlink xmlns:r="http://schemas.openxmlformats.org/officeDocument/2006/relationships" ref="T60" r:id="rId56"/>
    <hyperlink xmlns:r="http://schemas.openxmlformats.org/officeDocument/2006/relationships" ref="T61" r:id="rId57"/>
    <hyperlink xmlns:r="http://schemas.openxmlformats.org/officeDocument/2006/relationships" ref="T62" r:id="rId58"/>
    <hyperlink xmlns:r="http://schemas.openxmlformats.org/officeDocument/2006/relationships" ref="T63" r:id="rId59"/>
    <hyperlink xmlns:r="http://schemas.openxmlformats.org/officeDocument/2006/relationships" ref="T64" r:id="rId60"/>
    <hyperlink xmlns:r="http://schemas.openxmlformats.org/officeDocument/2006/relationships" ref="T65" r:id="rId61"/>
    <hyperlink xmlns:r="http://schemas.openxmlformats.org/officeDocument/2006/relationships" ref="T66" r:id="rId62"/>
    <hyperlink xmlns:r="http://schemas.openxmlformats.org/officeDocument/2006/relationships" ref="T67" r:id="rId63"/>
    <hyperlink xmlns:r="http://schemas.openxmlformats.org/officeDocument/2006/relationships" ref="T68" r:id="rId64"/>
    <hyperlink xmlns:r="http://schemas.openxmlformats.org/officeDocument/2006/relationships" ref="T69" r:id="rId65"/>
    <hyperlink xmlns:r="http://schemas.openxmlformats.org/officeDocument/2006/relationships" ref="T70" r:id="rId66"/>
    <hyperlink xmlns:r="http://schemas.openxmlformats.org/officeDocument/2006/relationships" ref="T71" r:id="rId67"/>
    <hyperlink xmlns:r="http://schemas.openxmlformats.org/officeDocument/2006/relationships" ref="T72" r:id="rId68"/>
    <hyperlink xmlns:r="http://schemas.openxmlformats.org/officeDocument/2006/relationships" ref="T73" r:id="rId69"/>
    <hyperlink xmlns:r="http://schemas.openxmlformats.org/officeDocument/2006/relationships" ref="T74" r:id="rId70"/>
    <hyperlink xmlns:r="http://schemas.openxmlformats.org/officeDocument/2006/relationships" ref="T75" r:id="rId71"/>
    <hyperlink xmlns:r="http://schemas.openxmlformats.org/officeDocument/2006/relationships" ref="T76" r:id="rId72"/>
    <hyperlink xmlns:r="http://schemas.openxmlformats.org/officeDocument/2006/relationships" ref="T77" r:id="rId73"/>
    <hyperlink xmlns:r="http://schemas.openxmlformats.org/officeDocument/2006/relationships" ref="T78" r:id="rId74"/>
    <hyperlink xmlns:r="http://schemas.openxmlformats.org/officeDocument/2006/relationships" ref="T79" r:id="rId75"/>
    <hyperlink xmlns:r="http://schemas.openxmlformats.org/officeDocument/2006/relationships" ref="T80" r:id="rId76"/>
    <hyperlink xmlns:r="http://schemas.openxmlformats.org/officeDocument/2006/relationships" ref="T81" r:id="rId77"/>
    <hyperlink xmlns:r="http://schemas.openxmlformats.org/officeDocument/2006/relationships" ref="T82" r:id="rId78"/>
    <hyperlink xmlns:r="http://schemas.openxmlformats.org/officeDocument/2006/relationships" ref="T83" r:id="rId79"/>
    <hyperlink xmlns:r="http://schemas.openxmlformats.org/officeDocument/2006/relationships" ref="T84" r:id="rId80"/>
    <hyperlink xmlns:r="http://schemas.openxmlformats.org/officeDocument/2006/relationships" ref="T85" r:id="rId81"/>
    <hyperlink xmlns:r="http://schemas.openxmlformats.org/officeDocument/2006/relationships" ref="T86" r:id="rId82"/>
    <hyperlink xmlns:r="http://schemas.openxmlformats.org/officeDocument/2006/relationships" ref="T87" r:id="rId83"/>
    <hyperlink xmlns:r="http://schemas.openxmlformats.org/officeDocument/2006/relationships" ref="T88" r:id="rId84"/>
    <hyperlink xmlns:r="http://schemas.openxmlformats.org/officeDocument/2006/relationships" ref="T89" r:id="rId85"/>
    <hyperlink xmlns:r="http://schemas.openxmlformats.org/officeDocument/2006/relationships" ref="T90" r:id="rId86"/>
    <hyperlink xmlns:r="http://schemas.openxmlformats.org/officeDocument/2006/relationships" ref="T91" r:id="rId87"/>
    <hyperlink xmlns:r="http://schemas.openxmlformats.org/officeDocument/2006/relationships" ref="T92" r:id="rId88"/>
    <hyperlink xmlns:r="http://schemas.openxmlformats.org/officeDocument/2006/relationships" ref="T93" r:id="rId89"/>
    <hyperlink xmlns:r="http://schemas.openxmlformats.org/officeDocument/2006/relationships" ref="T94" r:id="rId90"/>
    <hyperlink xmlns:r="http://schemas.openxmlformats.org/officeDocument/2006/relationships" ref="T95" r:id="rId91"/>
    <hyperlink xmlns:r="http://schemas.openxmlformats.org/officeDocument/2006/relationships" ref="T96" r:id="rId92"/>
    <hyperlink xmlns:r="http://schemas.openxmlformats.org/officeDocument/2006/relationships" ref="T97" r:id="rId93"/>
    <hyperlink xmlns:r="http://schemas.openxmlformats.org/officeDocument/2006/relationships" ref="T98" r:id="rId94"/>
    <hyperlink xmlns:r="http://schemas.openxmlformats.org/officeDocument/2006/relationships" ref="T99" r:id="rId95"/>
    <hyperlink xmlns:r="http://schemas.openxmlformats.org/officeDocument/2006/relationships" ref="T100" r:id="rId96"/>
    <hyperlink xmlns:r="http://schemas.openxmlformats.org/officeDocument/2006/relationships" ref="T101" r:id="rId97"/>
    <hyperlink xmlns:r="http://schemas.openxmlformats.org/officeDocument/2006/relationships" ref="T102" r:id="rId98"/>
    <hyperlink xmlns:r="http://schemas.openxmlformats.org/officeDocument/2006/relationships" ref="T103" r:id="rId99"/>
    <hyperlink xmlns:r="http://schemas.openxmlformats.org/officeDocument/2006/relationships" ref="T104" r:id="rId100"/>
    <hyperlink xmlns:r="http://schemas.openxmlformats.org/officeDocument/2006/relationships" ref="T105" r:id="rId101"/>
    <hyperlink xmlns:r="http://schemas.openxmlformats.org/officeDocument/2006/relationships" ref="T106" r:id="rId102"/>
    <hyperlink xmlns:r="http://schemas.openxmlformats.org/officeDocument/2006/relationships" ref="T107" r:id="rId103"/>
    <hyperlink xmlns:r="http://schemas.openxmlformats.org/officeDocument/2006/relationships" ref="T108" r:id="rId104"/>
    <hyperlink xmlns:r="http://schemas.openxmlformats.org/officeDocument/2006/relationships" ref="T109" r:id="rId105"/>
    <hyperlink xmlns:r="http://schemas.openxmlformats.org/officeDocument/2006/relationships" ref="T110" r:id="rId106"/>
    <hyperlink xmlns:r="http://schemas.openxmlformats.org/officeDocument/2006/relationships" ref="T111" r:id="rId107"/>
    <hyperlink xmlns:r="http://schemas.openxmlformats.org/officeDocument/2006/relationships" ref="T112" r:id="rId108"/>
    <hyperlink xmlns:r="http://schemas.openxmlformats.org/officeDocument/2006/relationships" ref="T113" r:id="rId109"/>
    <hyperlink xmlns:r="http://schemas.openxmlformats.org/officeDocument/2006/relationships" ref="T114" r:id="rId110"/>
    <hyperlink xmlns:r="http://schemas.openxmlformats.org/officeDocument/2006/relationships" ref="T115" r:id="rId111"/>
    <hyperlink xmlns:r="http://schemas.openxmlformats.org/officeDocument/2006/relationships" ref="T116" r:id="rId112"/>
    <hyperlink xmlns:r="http://schemas.openxmlformats.org/officeDocument/2006/relationships" ref="T117" r:id="rId113"/>
    <hyperlink xmlns:r="http://schemas.openxmlformats.org/officeDocument/2006/relationships" ref="T118" r:id="rId114"/>
    <hyperlink xmlns:r="http://schemas.openxmlformats.org/officeDocument/2006/relationships" ref="T119" r:id="rId115"/>
    <hyperlink xmlns:r="http://schemas.openxmlformats.org/officeDocument/2006/relationships" ref="T120" r:id="rId116"/>
    <hyperlink xmlns:r="http://schemas.openxmlformats.org/officeDocument/2006/relationships" ref="T121" r:id="rId117"/>
    <hyperlink xmlns:r="http://schemas.openxmlformats.org/officeDocument/2006/relationships" ref="T122" r:id="rId118"/>
    <hyperlink xmlns:r="http://schemas.openxmlformats.org/officeDocument/2006/relationships" ref="T123" r:id="rId119"/>
    <hyperlink xmlns:r="http://schemas.openxmlformats.org/officeDocument/2006/relationships" ref="T124" r:id="rId120"/>
    <hyperlink xmlns:r="http://schemas.openxmlformats.org/officeDocument/2006/relationships" ref="T125" r:id="rId121"/>
    <hyperlink xmlns:r="http://schemas.openxmlformats.org/officeDocument/2006/relationships" ref="T126" r:id="rId122"/>
    <hyperlink xmlns:r="http://schemas.openxmlformats.org/officeDocument/2006/relationships" ref="T127" r:id="rId123"/>
    <hyperlink xmlns:r="http://schemas.openxmlformats.org/officeDocument/2006/relationships" ref="T128" r:id="rId124"/>
    <hyperlink xmlns:r="http://schemas.openxmlformats.org/officeDocument/2006/relationships" ref="T129" r:id="rId125"/>
    <hyperlink xmlns:r="http://schemas.openxmlformats.org/officeDocument/2006/relationships" ref="T130" r:id="rId126"/>
    <hyperlink xmlns:r="http://schemas.openxmlformats.org/officeDocument/2006/relationships" ref="T131" r:id="rId127"/>
    <hyperlink xmlns:r="http://schemas.openxmlformats.org/officeDocument/2006/relationships" ref="T132" r:id="rId128"/>
    <hyperlink xmlns:r="http://schemas.openxmlformats.org/officeDocument/2006/relationships" ref="T133" r:id="rId129"/>
    <hyperlink xmlns:r="http://schemas.openxmlformats.org/officeDocument/2006/relationships" ref="T134" r:id="rId130"/>
    <hyperlink xmlns:r="http://schemas.openxmlformats.org/officeDocument/2006/relationships" ref="T135" r:id="rId131"/>
    <hyperlink xmlns:r="http://schemas.openxmlformats.org/officeDocument/2006/relationships" ref="T136" r:id="rId132"/>
    <hyperlink xmlns:r="http://schemas.openxmlformats.org/officeDocument/2006/relationships" ref="T137" r:id="rId133"/>
    <hyperlink xmlns:r="http://schemas.openxmlformats.org/officeDocument/2006/relationships" ref="T138" r:id="rId134"/>
    <hyperlink xmlns:r="http://schemas.openxmlformats.org/officeDocument/2006/relationships" ref="T139" r:id="rId135"/>
    <hyperlink xmlns:r="http://schemas.openxmlformats.org/officeDocument/2006/relationships" ref="T140" r:id="rId136"/>
    <hyperlink xmlns:r="http://schemas.openxmlformats.org/officeDocument/2006/relationships" ref="T141" r:id="rId137"/>
    <hyperlink xmlns:r="http://schemas.openxmlformats.org/officeDocument/2006/relationships" ref="T142" r:id="rId138"/>
    <hyperlink xmlns:r="http://schemas.openxmlformats.org/officeDocument/2006/relationships" ref="T143" r:id="rId139"/>
    <hyperlink xmlns:r="http://schemas.openxmlformats.org/officeDocument/2006/relationships" ref="T144" r:id="rId140"/>
    <hyperlink xmlns:r="http://schemas.openxmlformats.org/officeDocument/2006/relationships" ref="T145" r:id="rId141"/>
    <hyperlink xmlns:r="http://schemas.openxmlformats.org/officeDocument/2006/relationships" ref="T146" r:id="rId142"/>
    <hyperlink xmlns:r="http://schemas.openxmlformats.org/officeDocument/2006/relationships" ref="T147" r:id="rId143"/>
    <hyperlink xmlns:r="http://schemas.openxmlformats.org/officeDocument/2006/relationships" ref="T148" r:id="rId144"/>
    <hyperlink xmlns:r="http://schemas.openxmlformats.org/officeDocument/2006/relationships" ref="T149" r:id="rId145"/>
    <hyperlink xmlns:r="http://schemas.openxmlformats.org/officeDocument/2006/relationships" ref="T150" r:id="rId146"/>
    <hyperlink xmlns:r="http://schemas.openxmlformats.org/officeDocument/2006/relationships" ref="T151" r:id="rId147"/>
    <hyperlink xmlns:r="http://schemas.openxmlformats.org/officeDocument/2006/relationships" ref="T152" r:id="rId148"/>
    <hyperlink xmlns:r="http://schemas.openxmlformats.org/officeDocument/2006/relationships" ref="T153" r:id="rId149"/>
    <hyperlink xmlns:r="http://schemas.openxmlformats.org/officeDocument/2006/relationships" ref="T154" r:id="rId150"/>
    <hyperlink xmlns:r="http://schemas.openxmlformats.org/officeDocument/2006/relationships" ref="T155" r:id="rId151"/>
    <hyperlink xmlns:r="http://schemas.openxmlformats.org/officeDocument/2006/relationships" ref="T156" r:id="rId152"/>
    <hyperlink xmlns:r="http://schemas.openxmlformats.org/officeDocument/2006/relationships" ref="T157" r:id="rId153"/>
    <hyperlink xmlns:r="http://schemas.openxmlformats.org/officeDocument/2006/relationships" ref="T158" r:id="rId154"/>
    <hyperlink xmlns:r="http://schemas.openxmlformats.org/officeDocument/2006/relationships" ref="T159" r:id="rId155"/>
    <hyperlink xmlns:r="http://schemas.openxmlformats.org/officeDocument/2006/relationships" ref="T160" r:id="rId156"/>
    <hyperlink xmlns:r="http://schemas.openxmlformats.org/officeDocument/2006/relationships" ref="T161" r:id="rId157"/>
    <hyperlink xmlns:r="http://schemas.openxmlformats.org/officeDocument/2006/relationships" ref="T162" r:id="rId158"/>
    <hyperlink xmlns:r="http://schemas.openxmlformats.org/officeDocument/2006/relationships" ref="T163" r:id="rId159"/>
    <hyperlink xmlns:r="http://schemas.openxmlformats.org/officeDocument/2006/relationships" ref="T164" r:id="rId160"/>
    <hyperlink xmlns:r="http://schemas.openxmlformats.org/officeDocument/2006/relationships" ref="T165" r:id="rId161"/>
    <hyperlink xmlns:r="http://schemas.openxmlformats.org/officeDocument/2006/relationships" ref="T166" r:id="rId162"/>
    <hyperlink xmlns:r="http://schemas.openxmlformats.org/officeDocument/2006/relationships" ref="T167" r:id="rId163"/>
    <hyperlink xmlns:r="http://schemas.openxmlformats.org/officeDocument/2006/relationships" ref="T168" r:id="rId164"/>
    <hyperlink xmlns:r="http://schemas.openxmlformats.org/officeDocument/2006/relationships" ref="T169" r:id="rId165"/>
    <hyperlink xmlns:r="http://schemas.openxmlformats.org/officeDocument/2006/relationships" ref="T170" r:id="rId166"/>
    <hyperlink xmlns:r="http://schemas.openxmlformats.org/officeDocument/2006/relationships" ref="T171" r:id="rId167"/>
    <hyperlink xmlns:r="http://schemas.openxmlformats.org/officeDocument/2006/relationships" ref="T172" r:id="rId168"/>
    <hyperlink xmlns:r="http://schemas.openxmlformats.org/officeDocument/2006/relationships" ref="T173" r:id="rId169"/>
    <hyperlink xmlns:r="http://schemas.openxmlformats.org/officeDocument/2006/relationships" ref="T174" r:id="rId170"/>
    <hyperlink xmlns:r="http://schemas.openxmlformats.org/officeDocument/2006/relationships" ref="T175" r:id="rId171"/>
    <hyperlink xmlns:r="http://schemas.openxmlformats.org/officeDocument/2006/relationships" ref="T176" r:id="rId172"/>
    <hyperlink xmlns:r="http://schemas.openxmlformats.org/officeDocument/2006/relationships" ref="T177" r:id="rId173"/>
    <hyperlink xmlns:r="http://schemas.openxmlformats.org/officeDocument/2006/relationships" ref="T178" r:id="rId174"/>
    <hyperlink xmlns:r="http://schemas.openxmlformats.org/officeDocument/2006/relationships" ref="T179" r:id="rId175"/>
    <hyperlink xmlns:r="http://schemas.openxmlformats.org/officeDocument/2006/relationships" ref="T180" r:id="rId176"/>
    <hyperlink xmlns:r="http://schemas.openxmlformats.org/officeDocument/2006/relationships" ref="T181" r:id="rId177"/>
    <hyperlink xmlns:r="http://schemas.openxmlformats.org/officeDocument/2006/relationships" ref="T182" r:id="rId178"/>
    <hyperlink xmlns:r="http://schemas.openxmlformats.org/officeDocument/2006/relationships" ref="T183" r:id="rId179"/>
    <hyperlink xmlns:r="http://schemas.openxmlformats.org/officeDocument/2006/relationships" ref="T184" r:id="rId180"/>
    <hyperlink xmlns:r="http://schemas.openxmlformats.org/officeDocument/2006/relationships" ref="T185" r:id="rId181"/>
    <hyperlink xmlns:r="http://schemas.openxmlformats.org/officeDocument/2006/relationships" ref="T186" r:id="rId182"/>
    <hyperlink xmlns:r="http://schemas.openxmlformats.org/officeDocument/2006/relationships" ref="T187" r:id="rId183"/>
    <hyperlink xmlns:r="http://schemas.openxmlformats.org/officeDocument/2006/relationships" ref="T188" r:id="rId184"/>
    <hyperlink xmlns:r="http://schemas.openxmlformats.org/officeDocument/2006/relationships" ref="T189" r:id="rId185"/>
    <hyperlink xmlns:r="http://schemas.openxmlformats.org/officeDocument/2006/relationships" ref="T190" r:id="rId186"/>
    <hyperlink xmlns:r="http://schemas.openxmlformats.org/officeDocument/2006/relationships" ref="T191" r:id="rId187"/>
    <hyperlink xmlns:r="http://schemas.openxmlformats.org/officeDocument/2006/relationships" ref="T192" r:id="rId188"/>
    <hyperlink xmlns:r="http://schemas.openxmlformats.org/officeDocument/2006/relationships" ref="T193" r:id="rId189"/>
    <hyperlink xmlns:r="http://schemas.openxmlformats.org/officeDocument/2006/relationships" ref="T194" r:id="rId190"/>
    <hyperlink xmlns:r="http://schemas.openxmlformats.org/officeDocument/2006/relationships" ref="T195" r:id="rId191"/>
    <hyperlink xmlns:r="http://schemas.openxmlformats.org/officeDocument/2006/relationships" ref="T196" r:id="rId192"/>
    <hyperlink xmlns:r="http://schemas.openxmlformats.org/officeDocument/2006/relationships" ref="T197" r:id="rId193"/>
    <hyperlink xmlns:r="http://schemas.openxmlformats.org/officeDocument/2006/relationships" ref="T198" r:id="rId194"/>
    <hyperlink xmlns:r="http://schemas.openxmlformats.org/officeDocument/2006/relationships" ref="T199" r:id="rId195"/>
    <hyperlink xmlns:r="http://schemas.openxmlformats.org/officeDocument/2006/relationships" ref="T200" r:id="rId196"/>
    <hyperlink xmlns:r="http://schemas.openxmlformats.org/officeDocument/2006/relationships" ref="T201" r:id="rId197"/>
    <hyperlink xmlns:r="http://schemas.openxmlformats.org/officeDocument/2006/relationships" ref="T202" r:id="rId198"/>
    <hyperlink xmlns:r="http://schemas.openxmlformats.org/officeDocument/2006/relationships" ref="T203" r:id="rId199"/>
    <hyperlink xmlns:r="http://schemas.openxmlformats.org/officeDocument/2006/relationships" ref="T204" r:id="rId200"/>
    <hyperlink xmlns:r="http://schemas.openxmlformats.org/officeDocument/2006/relationships" ref="T205" r:id="rId201"/>
    <hyperlink xmlns:r="http://schemas.openxmlformats.org/officeDocument/2006/relationships" ref="T206" r:id="rId202"/>
    <hyperlink xmlns:r="http://schemas.openxmlformats.org/officeDocument/2006/relationships" ref="T207" r:id="rId203"/>
    <hyperlink xmlns:r="http://schemas.openxmlformats.org/officeDocument/2006/relationships" ref="T208" r:id="rId204"/>
    <hyperlink xmlns:r="http://schemas.openxmlformats.org/officeDocument/2006/relationships" ref="T209" r:id="rId205"/>
    <hyperlink xmlns:r="http://schemas.openxmlformats.org/officeDocument/2006/relationships" ref="T210" r:id="rId206"/>
    <hyperlink xmlns:r="http://schemas.openxmlformats.org/officeDocument/2006/relationships" ref="T211" r:id="rId207"/>
    <hyperlink xmlns:r="http://schemas.openxmlformats.org/officeDocument/2006/relationships" ref="T212" r:id="rId208"/>
    <hyperlink xmlns:r="http://schemas.openxmlformats.org/officeDocument/2006/relationships" ref="T213" r:id="rId209"/>
    <hyperlink xmlns:r="http://schemas.openxmlformats.org/officeDocument/2006/relationships" ref="T214" r:id="rId210"/>
    <hyperlink xmlns:r="http://schemas.openxmlformats.org/officeDocument/2006/relationships" ref="T215" r:id="rId211"/>
    <hyperlink xmlns:r="http://schemas.openxmlformats.org/officeDocument/2006/relationships" ref="T216" r:id="rId212"/>
    <hyperlink xmlns:r="http://schemas.openxmlformats.org/officeDocument/2006/relationships" ref="T217" r:id="rId213"/>
    <hyperlink xmlns:r="http://schemas.openxmlformats.org/officeDocument/2006/relationships" ref="T218" r:id="rId214"/>
    <hyperlink xmlns:r="http://schemas.openxmlformats.org/officeDocument/2006/relationships" ref="T219" r:id="rId215"/>
    <hyperlink xmlns:r="http://schemas.openxmlformats.org/officeDocument/2006/relationships" ref="T220" r:id="rId216"/>
    <hyperlink xmlns:r="http://schemas.openxmlformats.org/officeDocument/2006/relationships" ref="T221" r:id="rId217"/>
    <hyperlink xmlns:r="http://schemas.openxmlformats.org/officeDocument/2006/relationships" ref="T222" r:id="rId218"/>
    <hyperlink xmlns:r="http://schemas.openxmlformats.org/officeDocument/2006/relationships" ref="T223" r:id="rId219"/>
    <hyperlink xmlns:r="http://schemas.openxmlformats.org/officeDocument/2006/relationships" ref="T224" r:id="rId220"/>
    <hyperlink xmlns:r="http://schemas.openxmlformats.org/officeDocument/2006/relationships" ref="T225" r:id="rId221"/>
    <hyperlink xmlns:r="http://schemas.openxmlformats.org/officeDocument/2006/relationships" ref="T226" r:id="rId222"/>
    <hyperlink xmlns:r="http://schemas.openxmlformats.org/officeDocument/2006/relationships" ref="T227" r:id="rId223"/>
    <hyperlink xmlns:r="http://schemas.openxmlformats.org/officeDocument/2006/relationships" ref="T228" r:id="rId224"/>
    <hyperlink xmlns:r="http://schemas.openxmlformats.org/officeDocument/2006/relationships" ref="T229" r:id="rId225"/>
    <hyperlink xmlns:r="http://schemas.openxmlformats.org/officeDocument/2006/relationships" ref="T230" r:id="rId226"/>
    <hyperlink xmlns:r="http://schemas.openxmlformats.org/officeDocument/2006/relationships" ref="T231" r:id="rId227"/>
    <hyperlink xmlns:r="http://schemas.openxmlformats.org/officeDocument/2006/relationships" ref="T232" r:id="rId228"/>
    <hyperlink xmlns:r="http://schemas.openxmlformats.org/officeDocument/2006/relationships" ref="T233" r:id="rId229"/>
    <hyperlink xmlns:r="http://schemas.openxmlformats.org/officeDocument/2006/relationships" ref="T234" r:id="rId230"/>
    <hyperlink xmlns:r="http://schemas.openxmlformats.org/officeDocument/2006/relationships" ref="T235" r:id="rId231"/>
    <hyperlink xmlns:r="http://schemas.openxmlformats.org/officeDocument/2006/relationships" ref="T236" r:id="rId232"/>
    <hyperlink xmlns:r="http://schemas.openxmlformats.org/officeDocument/2006/relationships" ref="T237" r:id="rId233"/>
    <hyperlink xmlns:r="http://schemas.openxmlformats.org/officeDocument/2006/relationships" ref="T238" r:id="rId234"/>
    <hyperlink xmlns:r="http://schemas.openxmlformats.org/officeDocument/2006/relationships" ref="T239" r:id="rId235"/>
    <hyperlink xmlns:r="http://schemas.openxmlformats.org/officeDocument/2006/relationships" ref="T240" r:id="rId236"/>
    <hyperlink xmlns:r="http://schemas.openxmlformats.org/officeDocument/2006/relationships" ref="T241" r:id="rId237"/>
    <hyperlink xmlns:r="http://schemas.openxmlformats.org/officeDocument/2006/relationships" ref="T242" r:id="rId238"/>
    <hyperlink xmlns:r="http://schemas.openxmlformats.org/officeDocument/2006/relationships" ref="T243" r:id="rId239"/>
    <hyperlink xmlns:r="http://schemas.openxmlformats.org/officeDocument/2006/relationships" ref="T244" r:id="rId240"/>
    <hyperlink xmlns:r="http://schemas.openxmlformats.org/officeDocument/2006/relationships" ref="T245" r:id="rId241"/>
    <hyperlink xmlns:r="http://schemas.openxmlformats.org/officeDocument/2006/relationships" ref="T246" r:id="rId242"/>
    <hyperlink xmlns:r="http://schemas.openxmlformats.org/officeDocument/2006/relationships" ref="T247" r:id="rId243"/>
    <hyperlink xmlns:r="http://schemas.openxmlformats.org/officeDocument/2006/relationships" ref="T248" r:id="rId244"/>
    <hyperlink xmlns:r="http://schemas.openxmlformats.org/officeDocument/2006/relationships" ref="T249" r:id="rId245"/>
    <hyperlink xmlns:r="http://schemas.openxmlformats.org/officeDocument/2006/relationships" ref="T250" r:id="rId246"/>
    <hyperlink xmlns:r="http://schemas.openxmlformats.org/officeDocument/2006/relationships" ref="T251" r:id="rId247"/>
    <hyperlink xmlns:r="http://schemas.openxmlformats.org/officeDocument/2006/relationships" ref="T252" r:id="rId248"/>
    <hyperlink xmlns:r="http://schemas.openxmlformats.org/officeDocument/2006/relationships" ref="T253" r:id="rId249"/>
    <hyperlink xmlns:r="http://schemas.openxmlformats.org/officeDocument/2006/relationships" ref="T254" r:id="rId250"/>
    <hyperlink xmlns:r="http://schemas.openxmlformats.org/officeDocument/2006/relationships" ref="T255" r:id="rId251"/>
    <hyperlink xmlns:r="http://schemas.openxmlformats.org/officeDocument/2006/relationships" ref="T256" r:id="rId252"/>
    <hyperlink xmlns:r="http://schemas.openxmlformats.org/officeDocument/2006/relationships" ref="T257" r:id="rId253"/>
    <hyperlink xmlns:r="http://schemas.openxmlformats.org/officeDocument/2006/relationships" ref="T258" r:id="rId254"/>
    <hyperlink xmlns:r="http://schemas.openxmlformats.org/officeDocument/2006/relationships" ref="T259" r:id="rId255"/>
    <hyperlink xmlns:r="http://schemas.openxmlformats.org/officeDocument/2006/relationships" ref="T260" r:id="rId256"/>
    <hyperlink xmlns:r="http://schemas.openxmlformats.org/officeDocument/2006/relationships" ref="T261" r:id="rId257"/>
    <hyperlink xmlns:r="http://schemas.openxmlformats.org/officeDocument/2006/relationships" ref="T262" r:id="rId258"/>
    <hyperlink xmlns:r="http://schemas.openxmlformats.org/officeDocument/2006/relationships" ref="T263" r:id="rId259"/>
    <hyperlink xmlns:r="http://schemas.openxmlformats.org/officeDocument/2006/relationships" ref="T264" r:id="rId260"/>
    <hyperlink xmlns:r="http://schemas.openxmlformats.org/officeDocument/2006/relationships" ref="T265" r:id="rId261"/>
    <hyperlink xmlns:r="http://schemas.openxmlformats.org/officeDocument/2006/relationships" ref="T266" r:id="rId262"/>
    <hyperlink xmlns:r="http://schemas.openxmlformats.org/officeDocument/2006/relationships" ref="T267" r:id="rId263"/>
    <hyperlink xmlns:r="http://schemas.openxmlformats.org/officeDocument/2006/relationships" ref="T268" r:id="rId264"/>
    <hyperlink xmlns:r="http://schemas.openxmlformats.org/officeDocument/2006/relationships" ref="T269" r:id="rId265"/>
    <hyperlink xmlns:r="http://schemas.openxmlformats.org/officeDocument/2006/relationships" ref="T270" r:id="rId266"/>
    <hyperlink xmlns:r="http://schemas.openxmlformats.org/officeDocument/2006/relationships" ref="T271" r:id="rId267"/>
    <hyperlink xmlns:r="http://schemas.openxmlformats.org/officeDocument/2006/relationships" ref="T272" r:id="rId268"/>
    <hyperlink xmlns:r="http://schemas.openxmlformats.org/officeDocument/2006/relationships" ref="T273" r:id="rId269"/>
    <hyperlink xmlns:r="http://schemas.openxmlformats.org/officeDocument/2006/relationships" ref="T274" r:id="rId270"/>
    <hyperlink xmlns:r="http://schemas.openxmlformats.org/officeDocument/2006/relationships" ref="T275" r:id="rId271"/>
    <hyperlink xmlns:r="http://schemas.openxmlformats.org/officeDocument/2006/relationships" ref="T276" r:id="rId272"/>
    <hyperlink xmlns:r="http://schemas.openxmlformats.org/officeDocument/2006/relationships" ref="T277" r:id="rId273"/>
    <hyperlink xmlns:r="http://schemas.openxmlformats.org/officeDocument/2006/relationships" ref="T278" r:id="rId274"/>
    <hyperlink xmlns:r="http://schemas.openxmlformats.org/officeDocument/2006/relationships" ref="T279" r:id="rId275"/>
    <hyperlink xmlns:r="http://schemas.openxmlformats.org/officeDocument/2006/relationships" ref="T280" r:id="rId276"/>
    <hyperlink xmlns:r="http://schemas.openxmlformats.org/officeDocument/2006/relationships" ref="T281" r:id="rId277"/>
    <hyperlink xmlns:r="http://schemas.openxmlformats.org/officeDocument/2006/relationships" ref="T282" r:id="rId278"/>
    <hyperlink xmlns:r="http://schemas.openxmlformats.org/officeDocument/2006/relationships" ref="T283" r:id="rId279"/>
    <hyperlink xmlns:r="http://schemas.openxmlformats.org/officeDocument/2006/relationships" ref="T284" r:id="rId280"/>
    <hyperlink xmlns:r="http://schemas.openxmlformats.org/officeDocument/2006/relationships" ref="T285" r:id="rId281"/>
    <hyperlink xmlns:r="http://schemas.openxmlformats.org/officeDocument/2006/relationships" ref="T286" r:id="rId282"/>
    <hyperlink xmlns:r="http://schemas.openxmlformats.org/officeDocument/2006/relationships" ref="T287" r:id="rId283"/>
    <hyperlink xmlns:r="http://schemas.openxmlformats.org/officeDocument/2006/relationships" ref="T288" r:id="rId284"/>
    <hyperlink xmlns:r="http://schemas.openxmlformats.org/officeDocument/2006/relationships" ref="T289" r:id="rId285"/>
    <hyperlink xmlns:r="http://schemas.openxmlformats.org/officeDocument/2006/relationships" ref="T290" r:id="rId286"/>
    <hyperlink xmlns:r="http://schemas.openxmlformats.org/officeDocument/2006/relationships" ref="T291" r:id="rId287"/>
    <hyperlink xmlns:r="http://schemas.openxmlformats.org/officeDocument/2006/relationships" ref="T292" r:id="rId288"/>
    <hyperlink xmlns:r="http://schemas.openxmlformats.org/officeDocument/2006/relationships" ref="T293" r:id="rId289"/>
    <hyperlink xmlns:r="http://schemas.openxmlformats.org/officeDocument/2006/relationships" ref="T294" r:id="rId290"/>
    <hyperlink xmlns:r="http://schemas.openxmlformats.org/officeDocument/2006/relationships" ref="T295" r:id="rId291"/>
    <hyperlink xmlns:r="http://schemas.openxmlformats.org/officeDocument/2006/relationships" ref="T296" r:id="rId292"/>
    <hyperlink xmlns:r="http://schemas.openxmlformats.org/officeDocument/2006/relationships" ref="T297" r:id="rId293"/>
    <hyperlink xmlns:r="http://schemas.openxmlformats.org/officeDocument/2006/relationships" ref="T298" r:id="rId294"/>
    <hyperlink xmlns:r="http://schemas.openxmlformats.org/officeDocument/2006/relationships" ref="T299" r:id="rId295"/>
    <hyperlink xmlns:r="http://schemas.openxmlformats.org/officeDocument/2006/relationships" ref="T300" r:id="rId296"/>
    <hyperlink xmlns:r="http://schemas.openxmlformats.org/officeDocument/2006/relationships" ref="T301" r:id="rId297"/>
    <hyperlink xmlns:r="http://schemas.openxmlformats.org/officeDocument/2006/relationships" ref="T302" r:id="rId298"/>
    <hyperlink xmlns:r="http://schemas.openxmlformats.org/officeDocument/2006/relationships" ref="T303" r:id="rId299"/>
    <hyperlink xmlns:r="http://schemas.openxmlformats.org/officeDocument/2006/relationships" ref="T304" r:id="rId300"/>
    <hyperlink xmlns:r="http://schemas.openxmlformats.org/officeDocument/2006/relationships" ref="T305" r:id="rId301"/>
    <hyperlink xmlns:r="http://schemas.openxmlformats.org/officeDocument/2006/relationships" ref="T306" r:id="rId302"/>
    <hyperlink xmlns:r="http://schemas.openxmlformats.org/officeDocument/2006/relationships" ref="T307" r:id="rId303"/>
    <hyperlink xmlns:r="http://schemas.openxmlformats.org/officeDocument/2006/relationships" ref="T308" r:id="rId304"/>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184"/>
  <sheetViews>
    <sheetView showGridLines="0" workbookViewId="0">
      <pane ySplit="4" topLeftCell="A5" activePane="bottomLeft" state="frozen"/>
      <selection pane="bottomLeft" activeCell="A1" sqref="A1"/>
    </sheetView>
  </sheetViews>
  <sheetFormatPr baseColWidth="8" defaultRowHeight="15"/>
  <cols>
    <col width="22" customWidth="1" min="1" max="1"/>
    <col width="8" customWidth="1" min="2" max="2"/>
    <col width="8" customWidth="1" min="3" max="3"/>
    <col width="10" customWidth="1" min="4" max="4"/>
    <col width="92" customWidth="1" min="5" max="5"/>
    <col width="28" customWidth="1" min="6" max="6"/>
    <col width="30" customWidth="1" min="7" max="7"/>
    <col width="13" customWidth="1" min="8" max="8"/>
    <col width="36" customWidth="1" min="9" max="9"/>
  </cols>
  <sheetData>
    <row r="1" ht="26" customHeight="1">
      <c r="A1" s="1" t="inlineStr">
        <is>
          <t>Itinerario día por día</t>
        </is>
      </c>
    </row>
    <row r="2" ht="30" customHeight="1">
      <c r="A2" s="2" t="inlineStr">
        <is>
          <t>Editá 'Estado' y 'Mis notas'. Cada día tiene una alternativa al final.</t>
        </is>
      </c>
    </row>
    <row r="4" ht="30" customHeight="1">
      <c r="A4" s="8" t="inlineStr">
        <is>
          <t>Día</t>
        </is>
      </c>
      <c r="B4" s="8" t="inlineStr">
        <is>
          <t>Hora</t>
        </is>
      </c>
      <c r="C4" s="8" t="inlineStr">
        <is>
          <t>Fin</t>
        </is>
      </c>
      <c r="D4" s="8" t="inlineStr">
        <is>
          <t>Quién</t>
        </is>
      </c>
      <c r="E4" s="8" t="inlineStr">
        <is>
          <t>Qué</t>
        </is>
      </c>
      <c r="F4" s="8" t="inlineStr">
        <is>
          <t>Lugar (ref. hoja Lugares)</t>
        </is>
      </c>
      <c r="G4" s="8" t="inlineStr">
        <is>
          <t>Traslado desde el anterior (estimado)</t>
        </is>
      </c>
      <c r="H4" s="8" t="inlineStr">
        <is>
          <t>Estado</t>
        </is>
      </c>
      <c r="I4" s="8" t="inlineStr">
        <is>
          <t>Mis notas</t>
        </is>
      </c>
    </row>
    <row r="5" ht="22" customHeight="1">
      <c r="A5" s="33" t="inlineStr">
        <is>
          <t>DÍA 1 · Sábado 29/08 · Harlem + Arthur Avenue + festival (2h) + Hudson VU  —  base: Ink48  ·  Ambos</t>
        </is>
      </c>
    </row>
    <row r="6" ht="32" customHeight="1">
      <c r="A6" s="34" t="inlineStr">
        <is>
          <t>La reserva de Hudson VU (rooftop del propio Ink48) NO es modificable y exige estar en el hotel 19:20, así que el festival queda en la franja 16:30-18:30 — dos horas justas, con salida obligada 20-30 min antes del cierre. La tarde liberada la ocupa ARTHUR AVENUE, la Little Italy real del Bronx — los dos la marcaron 2 y no entraba en ningún día. Desde Harlem es un tiro de subte D (~20 min), y el sábado es EL día: el mercado cierra ~18h y los domingos no abre. Bogotá está a una hora de NYC: no hay jet lag, solo noche corta de avión. PEDIR EARLY CHECK-IN a Ink48 por mail. CAMBIO EN LA LLEGADA: entra el UBER SHUTTLE en vez de AirTrain + NJ Transit + taxi. Para dos personas sale más barato —$41,40 contra $46-52— y sobre todo es UN solo transporte con las valijas en vez de tres, a las siete de la mañana y después de un vuelo nocturno. Lo que se paga: llegan al hotel ~9:10 en vez de ~8:20, y los shuttles salen cada 40-50 minutos mientras que el tren sale cada 10-15. Si migraciones se estira más de lo previsto, EL PLAN VIEJO SIGUE SIENDO MEJOR y está escrito en las alternativas del día.</t>
        </is>
      </c>
    </row>
    <row r="7" ht="16" customHeight="1">
      <c r="A7" s="35" t="n"/>
      <c r="B7" s="36" t="inlineStr">
        <is>
          <t>06:00</t>
        </is>
      </c>
      <c r="C7" s="37" t="inlineStr">
        <is>
          <t>07:20</t>
        </is>
      </c>
      <c r="D7" s="38" t="inlineStr">
        <is>
          <t>Ambos</t>
        </is>
      </c>
      <c r="E7" s="39" t="inlineStr">
        <is>
          <t>Aterrizaje en EWR. Migraciones + equipaje de vuelo internacional: 45-75 min.</t>
        </is>
      </c>
      <c r="F7" s="37" t="inlineStr"/>
      <c r="G7" s="40" t="inlineStr"/>
      <c r="H7" s="41" t="inlineStr"/>
      <c r="I7" s="41" t="inlineStr"/>
    </row>
    <row r="8" ht="30" customHeight="1">
      <c r="A8" s="35" t="n"/>
      <c r="B8" s="36" t="inlineStr">
        <is>
          <t>07:20</t>
        </is>
      </c>
      <c r="C8" s="37" t="inlineStr">
        <is>
          <t>07:40</t>
        </is>
      </c>
      <c r="D8" s="38" t="inlineStr">
        <is>
          <t>Ambos</t>
        </is>
      </c>
      <c r="E8" s="39" t="inlineStr">
        <is>
          <t>Caminar a la zona de recogida del UBER SHUTTLE: Terminal B, Zona 5 — son ~6 min desde la puerta de llegadas. Pedirlo en la app apenas salgan de migraciones.</t>
        </is>
      </c>
      <c r="F8" s="37" t="inlineStr"/>
      <c r="G8" s="40" t="inlineStr"/>
      <c r="H8" s="41" t="inlineStr"/>
      <c r="I8" s="41" t="inlineStr"/>
    </row>
    <row r="9" ht="30" customHeight="1">
      <c r="A9" s="35" t="n"/>
      <c r="B9" s="36" t="inlineStr">
        <is>
          <t>07:40</t>
        </is>
      </c>
      <c r="C9" s="37" t="inlineStr">
        <is>
          <t>08:54</t>
        </is>
      </c>
      <c r="D9" s="38" t="inlineStr">
        <is>
          <t>Ambos</t>
        </is>
      </c>
      <c r="E9" s="39" t="inlineStr">
        <is>
          <t>★ UBER SHUTTLE EWR → THEATRE DISTRICT (50th St y 8th Ave). $20,70 POR PERSONA = $41,40 los dos, precio fijo y asiento reservado. Llega 8:54. UN SOLO transporte con las valijas, después de un vuelo nocturno: sin AirTrain, sin transbordo en Penn Station y sin taxi. Horarios del sábado desde Terminal B: 7:40 · 7:50 (a Port Authority) · 8:30 · 8:35.</t>
        </is>
      </c>
      <c r="F9" s="37" t="inlineStr"/>
      <c r="G9" s="40" t="inlineStr"/>
      <c r="H9" s="41" t="inlineStr"/>
      <c r="I9" s="41" t="inlineStr"/>
    </row>
    <row r="10" ht="30" customHeight="1">
      <c r="A10" s="35" t="n"/>
      <c r="B10" s="36" t="inlineStr">
        <is>
          <t>08:54</t>
        </is>
      </c>
      <c r="C10" s="37" t="inlineStr">
        <is>
          <t>09:10</t>
        </is>
      </c>
      <c r="D10" s="38" t="inlineStr">
        <is>
          <t>Ambos</t>
        </is>
      </c>
      <c r="E10" s="39" t="inlineStr">
        <is>
          <t>Bajar en Theatre District y caminar 13 min al Ink48 (50th y 8ª → 48th y 11ª, todo derecho por la 48). Con valijas es lo único que cuesta de esta opción.</t>
        </is>
      </c>
      <c r="F10" s="37" t="inlineStr"/>
      <c r="G10" s="40" t="inlineStr"/>
      <c r="H10" s="41" t="inlineStr"/>
      <c r="I10" s="41" t="inlineStr"/>
    </row>
    <row r="11" ht="16" customHeight="1">
      <c r="A11" s="35" t="n"/>
      <c r="B11" s="36" t="inlineStr">
        <is>
          <t>09:10</t>
        </is>
      </c>
      <c r="C11" s="37" t="inlineStr">
        <is>
          <t>09:25</t>
        </is>
      </c>
      <c r="D11" s="38" t="inlineStr">
        <is>
          <t>Ambos</t>
        </is>
      </c>
      <c r="E11" s="39" t="inlineStr">
        <is>
          <t>Ink48: dejar valijas y, si consiguieron el early check-in, ducha y ropa limpia.</t>
        </is>
      </c>
      <c r="F11" s="37" t="inlineStr">
        <is>
          <t>Hotel Ink48 (29-31 ago)</t>
        </is>
      </c>
      <c r="G11" s="40" t="inlineStr"/>
      <c r="H11" s="41" t="inlineStr"/>
      <c r="I11" s="41" t="inlineStr"/>
    </row>
    <row r="12" ht="30" customHeight="1">
      <c r="A12" s="35" t="n"/>
      <c r="B12" s="36" t="inlineStr">
        <is>
          <t>09:25</t>
        </is>
      </c>
      <c r="C12" s="37" t="inlineStr">
        <is>
          <t>10:00</t>
        </is>
      </c>
      <c r="D12" s="38" t="inlineStr">
        <is>
          <t>Ambos</t>
        </is>
      </c>
      <c r="E12" s="39" t="inlineStr">
        <is>
          <t>Desayuno RÁPIDO en Hell's Kitchen, sobre la 9ª o la 10ª. Hoy es rápido de verdad: el shuttle llega más tarde que el tren y el subte a Harlem sale 10:00.</t>
        </is>
      </c>
      <c r="F12" s="37" t="inlineStr"/>
      <c r="G12" s="40" t="inlineStr"/>
      <c r="H12" s="41" t="inlineStr"/>
      <c r="I12" s="41" t="inlineStr"/>
    </row>
    <row r="13" ht="16" customHeight="1">
      <c r="A13" s="35" t="n"/>
      <c r="B13" s="36" t="inlineStr">
        <is>
          <t>10:00</t>
        </is>
      </c>
      <c r="C13" s="37" t="inlineStr">
        <is>
          <t>10:30</t>
        </is>
      </c>
      <c r="D13" s="38" t="inlineStr">
        <is>
          <t>Ambos</t>
        </is>
      </c>
      <c r="E13" s="39" t="inlineStr">
        <is>
          <t>Subte A o D express desde 42 St hasta 125 St: 12 minutos y ya están en Harlem.</t>
        </is>
      </c>
      <c r="F13" s="37" t="inlineStr"/>
      <c r="G13" s="40" t="inlineStr"/>
      <c r="H13" s="41" t="inlineStr"/>
      <c r="I13" s="41" t="inlineStr"/>
    </row>
    <row r="14" ht="30" customHeight="1">
      <c r="A14" s="35" t="n"/>
      <c r="B14" s="42" t="inlineStr">
        <is>
          <t>10:30</t>
        </is>
      </c>
      <c r="C14" s="43" t="inlineStr">
        <is>
          <t>11:30</t>
        </is>
      </c>
      <c r="D14" s="44" t="inlineStr">
        <is>
          <t>Ambos</t>
        </is>
      </c>
      <c r="E14" s="45" t="inlineStr">
        <is>
          <t>Caminata por Harlem: 125th St, Adam Clayton Powell Blvd y las brownstones del Mount Morris Park Historic District.</t>
        </is>
      </c>
      <c r="F14" s="43" t="inlineStr">
        <is>
          <t>Harlem</t>
        </is>
      </c>
      <c r="G14" s="40" t="inlineStr"/>
      <c r="H14" s="41" t="inlineStr"/>
      <c r="I14" s="41" t="inlineStr"/>
    </row>
    <row r="15" ht="30" customHeight="1">
      <c r="A15" s="35" t="n"/>
      <c r="B15" s="36" t="inlineStr">
        <is>
          <t>11:30</t>
        </is>
      </c>
      <c r="C15" s="37" t="inlineStr">
        <is>
          <t>12:00</t>
        </is>
      </c>
      <c r="D15" s="38" t="inlineStr">
        <is>
          <t>Ambos</t>
        </is>
      </c>
      <c r="E15" s="39" t="inlineStr">
        <is>
          <t>Bo's Bagels (235 W 116th St) — bagel rápido, sin sentarse mucho: hoy el almuerzo fuerte es italiano en el Bronx.</t>
        </is>
      </c>
      <c r="F15" s="37" t="inlineStr">
        <is>
          <t>Bo's Bagels</t>
        </is>
      </c>
      <c r="G15" s="40" t="inlineStr">
        <is>
          <t>🚶 ~15 min a pie · 1.1 km · estimado</t>
        </is>
      </c>
      <c r="H15" s="41" t="inlineStr"/>
      <c r="I15" s="41" t="inlineStr"/>
    </row>
    <row r="16" ht="30" customHeight="1">
      <c r="A16" s="35" t="n"/>
      <c r="B16" s="42" t="inlineStr">
        <is>
          <t>12:00</t>
        </is>
      </c>
      <c r="C16" s="43" t="inlineStr">
        <is>
          <t>13:30</t>
        </is>
      </c>
      <c r="D16" s="44" t="inlineStr">
        <is>
          <t>Ambos</t>
        </is>
      </c>
      <c r="E16" s="45" t="inlineStr">
        <is>
          <t>★ STUDIO MUSEUM IN HARLEM — reabrió en noviembre 2025 en el edificio nuevo de David Adjaye. La novedad arquitectónica y curatorial más relevante de la ciudad. Sugerido $16, gratis los domingos. QUÉ HAY AHORA (verificado 27/8): «Fade» en el 4º piso, que CIERRA EL 6 DE SEPTIEMBRE — o sea que esta es la única pasada posible — y «Dreams of This Future», la colección de Peggy Cooper Cafritz. ⚠️ La entrada es con HORARIO ASIGNADO: sacarla antes.</t>
        </is>
      </c>
      <c r="F16" s="43" t="inlineStr">
        <is>
          <t>Studio Museum in Harlem</t>
        </is>
      </c>
      <c r="G16" s="40" t="inlineStr">
        <is>
          <t>🚶 ~14 min a pie · 1.0 km · estimado</t>
        </is>
      </c>
      <c r="H16" s="41" t="inlineStr"/>
      <c r="I16" s="41" t="inlineStr"/>
    </row>
    <row r="17" ht="30" customHeight="1">
      <c r="A17" s="35" t="n"/>
      <c r="B17" s="36" t="inlineStr">
        <is>
          <t>13:30</t>
        </is>
      </c>
      <c r="C17" s="37" t="inlineStr">
        <is>
          <t>14:00</t>
        </is>
      </c>
      <c r="D17" s="38" t="inlineStr">
        <is>
          <t>Ambos</t>
        </is>
      </c>
      <c r="E17" s="39" t="inlineStr">
        <is>
          <t>Subte D desde 125 St hasta Fordham Rd (~20 min). Alternativa: Metro-North desde Harlem-125th a Fordham, 12 minutos.</t>
        </is>
      </c>
      <c r="F17" s="37" t="inlineStr"/>
      <c r="G17" s="40" t="inlineStr"/>
      <c r="H17" s="41" t="inlineStr"/>
      <c r="I17" s="41" t="inlineStr"/>
    </row>
    <row r="18" ht="30" customHeight="1">
      <c r="A18" s="35" t="n"/>
      <c r="B18" s="42" t="inlineStr">
        <is>
          <t>14:00</t>
        </is>
      </c>
      <c r="C18" s="43" t="inlineStr">
        <is>
          <t>15:40</t>
        </is>
      </c>
      <c r="D18" s="44" t="inlineStr">
        <is>
          <t>Ambos</t>
        </is>
      </c>
      <c r="E18" s="45" t="inlineStr">
        <is>
          <t>★★ ARTHUR AVENUE (Belmont) — la Little Italy real: carnicerías, panaderos de 1918 y el enclave albanés. Almuerzo: el sándwich de mozzarella fresca de Casa Della Mozzarella (E 187th St) y el Arthur Avenue Retail Market con Mike's Deli adentro. El mercado cierra ~18h y los DOMINGOS no abre: hoy es el único día del viaje que sirve.</t>
        </is>
      </c>
      <c r="F18" s="43" t="inlineStr">
        <is>
          <t>Arthur Avenue (Belmont)</t>
        </is>
      </c>
      <c r="G18" s="40" t="inlineStr"/>
      <c r="H18" s="41" t="inlineStr"/>
      <c r="I18" s="41" t="inlineStr"/>
    </row>
    <row r="19" ht="16" customHeight="1">
      <c r="A19" s="35" t="n"/>
      <c r="B19" s="36" t="inlineStr">
        <is>
          <t>15:40</t>
        </is>
      </c>
      <c r="C19" s="37" t="inlineStr">
        <is>
          <t>16:30</t>
        </is>
      </c>
      <c r="D19" s="38" t="inlineStr">
        <is>
          <t>Ambos</t>
        </is>
      </c>
      <c r="E19" s="39" t="inlineStr">
        <is>
          <t>Subte D desde Fordham Rd de vuelta a 125 St (~25 min) y caminar a Marcus Garvey Park.</t>
        </is>
      </c>
      <c r="F19" s="37" t="inlineStr"/>
      <c r="G19" s="40" t="inlineStr"/>
      <c r="H19" s="41" t="inlineStr"/>
      <c r="I19" s="41" t="inlineStr"/>
    </row>
    <row r="20" ht="30" customHeight="1">
      <c r="A20" s="35" t="n"/>
      <c r="B20" s="42" t="inlineStr">
        <is>
          <t>16:30</t>
        </is>
      </c>
      <c r="C20" s="43" t="inlineStr">
        <is>
          <t>18:30</t>
        </is>
      </c>
      <c r="D20" s="44" t="inlineStr">
        <is>
          <t>Ambos</t>
        </is>
      </c>
      <c r="E20" s="45" t="inlineStr">
        <is>
          <t>★★ CHARLIE PARKER JAZZ FESTIVAL — VERIFICADO el 27/8: la música va de 14:00 a 19:00 en Marcus Garvey Park, y el cartel es JOSHUA REDMAN de cierre, con Nat Adderley Jr., Catherine Russell, Nicole Glover y DJ Kultured Child. Ustedes entran 16:30 con la franja 16:30-18:30: la reserva de Hudson VU no es modificable y manda. ⚠️ SALIDA OBLIGADA 18:30 — Redman cierra, así que van a ver el arranque de su set y se pierden el final. Si quieren verlo entero hay que recortar Arthur Avenue y llegar al parque a las 15:30.</t>
        </is>
      </c>
      <c r="F20" s="43" t="inlineStr">
        <is>
          <t>Charlie Parker Jazz Festival - Harlem</t>
        </is>
      </c>
      <c r="G20" s="40" t="inlineStr"/>
      <c r="H20" s="41" t="inlineStr"/>
      <c r="I20" s="41" t="inlineStr"/>
    </row>
    <row r="21" ht="30" customHeight="1">
      <c r="A21" s="35" t="n"/>
      <c r="B21" s="36" t="inlineStr">
        <is>
          <t>18:30</t>
        </is>
      </c>
      <c r="C21" s="37" t="inlineStr">
        <is>
          <t>19:20</t>
        </is>
      </c>
      <c r="D21" s="38" t="inlineStr">
        <is>
          <t>Ambos</t>
        </is>
      </c>
      <c r="E21" s="39" t="inlineStr">
        <is>
          <t>UBER desde Marcus Garvey Park al Ink48 (~20-25 min un sábado a la tarde, ~$25-30). Es lo que garantiza llegar 19:00-19:05. Plan B en subte: salir 18:10, 2/3 desde 125-Lenox hasta Times Sq y 15 min a pie — total ~45 min.</t>
        </is>
      </c>
      <c r="F21" s="37" t="inlineStr"/>
      <c r="G21" s="40" t="inlineStr"/>
      <c r="H21" s="41" t="inlineStr"/>
      <c r="I21" s="41" t="inlineStr"/>
    </row>
    <row r="22" ht="16" customHeight="1">
      <c r="A22" s="35" t="n"/>
      <c r="B22" s="36" t="inlineStr">
        <is>
          <t>19:20</t>
        </is>
      </c>
      <c r="C22" s="37" t="inlineStr">
        <is>
          <t>19:30</t>
        </is>
      </c>
      <c r="D22" s="38" t="inlineStr">
        <is>
          <t>Ambos</t>
        </is>
      </c>
      <c r="E22" s="39" t="inlineStr">
        <is>
          <t>EN EL HOTEL — margen para dejar cosas y subir.</t>
        </is>
      </c>
      <c r="F22" s="37" t="inlineStr"/>
      <c r="G22" s="40" t="inlineStr"/>
      <c r="H22" s="41" t="inlineStr"/>
      <c r="I22" s="41" t="inlineStr"/>
    </row>
    <row r="23" ht="30" customHeight="1">
      <c r="A23" s="35" t="n"/>
      <c r="B23" s="42" t="inlineStr">
        <is>
          <t>19:30</t>
        </is>
      </c>
      <c r="C23" s="43" t="inlineStr">
        <is>
          <t>21:00</t>
        </is>
      </c>
      <c r="D23" s="44" t="inlineStr">
        <is>
          <t>Ambos</t>
        </is>
      </c>
      <c r="E23" s="45" t="inlineStr">
        <is>
          <t>★★ HUDSON VU — drinks y comida, RESERVA NO MODIFICABLE, en el rooftop de SU PROPIO hotel (Ink48). La mesa es de MÁXIMO 90 MINUTOS: cierran ~21:00. Pedir sin vueltas y disfrutar la vista — lo que sigue está a 8 cuadras.</t>
        </is>
      </c>
      <c r="F23" s="43" t="inlineStr">
        <is>
          <t>Hotel Ink48 (29-31 ago)</t>
        </is>
      </c>
      <c r="G23" s="40" t="inlineStr"/>
      <c r="H23" s="41" t="inlineStr"/>
      <c r="I23" s="41" t="inlineStr"/>
    </row>
    <row r="24" ht="30" customHeight="1">
      <c r="A24" s="35" t="n"/>
      <c r="B24" s="36" t="inlineStr">
        <is>
          <t>21:00</t>
        </is>
      </c>
      <c r="C24" s="37" t="inlineStr">
        <is>
          <t>21:30</t>
        </is>
      </c>
      <c r="D24" s="38" t="inlineStr">
        <is>
          <t>Ambos</t>
        </is>
      </c>
      <c r="E24" s="39" t="inlineStr">
        <is>
          <t>Caminata Ink48 → Birdland (315 W 44th): 8 cuadras, 10-12 min. Llegan ~21:15, justo para las puertas del set de las 21:30.</t>
        </is>
      </c>
      <c r="F24" s="37" t="inlineStr"/>
      <c r="G24" s="40" t="inlineStr"/>
      <c r="H24" s="41" t="inlineStr"/>
      <c r="I24" s="41" t="inlineStr"/>
    </row>
    <row r="25" ht="30" customHeight="1">
      <c r="A25" s="35" t="n"/>
      <c r="B25" s="42" t="inlineStr">
        <is>
          <t>21:30</t>
        </is>
      </c>
      <c r="C25" s="43" t="inlineStr"/>
      <c r="D25" s="44" t="inlineStr">
        <is>
          <t>Ambos</t>
        </is>
      </c>
      <c r="E25" s="45" t="inlineStr">
        <is>
          <t>★★ BIRDLAND — set de las 21:30: DAVID DEJESUS &amp; THE BOPTET, 'Celebrating Charlie Parker'. El 29/8 es el CUMPLEAÑOS de Bird y Birdland es el club que lleva su nombre: el día cierra en círculo — festival Charlie Parker de día, tributo a Parker de noche. RESERVAR en birdlandjazz.com (cartelera ya publicada). Si prefieren más tarde: Makoto Ozone Trio a las 22:30 en el mismo club. Y si el cansancio de un día que empezó 6 AM en un avión manda, saltearlo no es pecado.</t>
        </is>
      </c>
      <c r="F25" s="43" t="inlineStr">
        <is>
          <t>Birdland</t>
        </is>
      </c>
      <c r="G25" s="40" t="inlineStr"/>
      <c r="H25" s="41" t="inlineStr"/>
      <c r="I25" s="41" t="inlineStr"/>
    </row>
    <row r="26" ht="32" customHeight="1">
      <c r="A26" s="46" t="inlineStr">
        <is>
          <t>ALTERNATIVA / OJO:  PLAN VIEJO, POR SI EL SHUTTLE NO SIRVE (y es el que conviene si salen tarde de migraciones): AirTrain hasta Newark Airport Station (~10 min, ticket en la app MyTix — a bordo cobran $5 extra) y NJ Transit hasta Penn Station, $17,25 por persona con el AirTrain incluido. Trenes del sábado desde EWR: 6:00, 6:07, 6:43, 7:04, 7:15, 7:25, 7:39 — o sea uno cada diez o quince minutos, que es la ventaja real. De Penn al hotel, taxi de $12-18. Llegan 8:15-8:30, casi una hora antes que con el shuttle. // Si llegan fundidos del vuelo, ARTHUR AVENUE es lo primero que se cae: salteenla, descansen en el hotel 13-16h y lleguen al festival 16:30. El festival y la reserva de Hudson VU son lo irrenunciable del día. OJO: Bill's Place se movió al VIERNES 4/9 por esta reserva — el set del sábado ya no aplica. // Sobre agregar cosas AL LUNES con este recorte: el lunes ya está lleno de 8:45 a 22:48 con dos anclas fijas (Ford Foundation solo abre días hábiles y el 9/11 gratis es 17:30-19:00) — no hay hueco real. El tiempo que libera el festival es del SÁBADO, y Arthur Avenue era lo mejor que quedaba sin agendar de lo que marcaron los dos.</t>
        </is>
      </c>
    </row>
    <row r="28" ht="22" customHeight="1">
      <c r="A28" s="33" t="inlineStr">
        <is>
          <t>DÍA 2 · Domingo 30/08 · Lower East Side, Chinatown y el Brooklyn Bridge a pie  —  base: Ink48  ·  Ambos</t>
        </is>
      </c>
    </row>
    <row r="29" ht="32" customHeight="1">
      <c r="A29" s="34" t="inlineStr">
        <is>
          <t>SALIÓ el día 2 del festival Charlie Parker: los dos lo marcaron 0 en la app (ver dos días seguidos de festival no les cerró). La mañana del Lower East Side queda igual — el domingo sigue siendo el ÚNICO día que sirve para Eldridge Street, que cierra los sábados. La tarde liberada la ocupa el CRUCE DEL BROOKLYN BRIDGE A PIE, que no estaba en ningún día del viaje y desde Chinatown se arranca caminando: la entrada peatonal está en City Hall, a diez minutos de Mott St.</t>
        </is>
      </c>
    </row>
    <row r="30" ht="16" customHeight="1">
      <c r="A30" s="35" t="n"/>
      <c r="B30" s="36" t="inlineStr">
        <is>
          <t>08:30</t>
        </is>
      </c>
      <c r="C30" s="37" t="inlineStr">
        <is>
          <t>09:15</t>
        </is>
      </c>
      <c r="D30" s="38" t="inlineStr">
        <is>
          <t>Ambos</t>
        </is>
      </c>
      <c r="E30" s="39" t="inlineStr">
        <is>
          <t>Desayuno rápido y subte F hasta 2 Av.</t>
        </is>
      </c>
      <c r="F30" s="37" t="inlineStr"/>
      <c r="G30" s="40" t="inlineStr"/>
      <c r="H30" s="41" t="inlineStr"/>
      <c r="I30" s="41" t="inlineStr"/>
    </row>
    <row r="31" ht="30" customHeight="1">
      <c r="A31" s="35" t="n"/>
      <c r="B31" s="42" t="inlineStr">
        <is>
          <t>09:15</t>
        </is>
      </c>
      <c r="C31" s="43" t="inlineStr">
        <is>
          <t>10:30</t>
        </is>
      </c>
      <c r="D31" s="44" t="inlineStr">
        <is>
          <t>Ambos</t>
        </is>
      </c>
      <c r="E31" s="45" t="inlineStr">
        <is>
          <t>★ Russ &amp; Daughters — appetizing store de 1914, cuarta generación de la misma familia. Salmón curado cortado a mano sobre bagel. El mostrador es mejor experiencia que el café de al lado.</t>
        </is>
      </c>
      <c r="F31" s="43" t="inlineStr">
        <is>
          <t>Russ &amp; Daughters</t>
        </is>
      </c>
      <c r="G31" s="40" t="inlineStr"/>
      <c r="H31" s="41" t="inlineStr"/>
      <c r="I31" s="41" t="inlineStr"/>
    </row>
    <row r="32" ht="30" customHeight="1">
      <c r="A32" s="35" t="n"/>
      <c r="B32" s="42" t="inlineStr">
        <is>
          <t>10:30</t>
        </is>
      </c>
      <c r="C32" s="43" t="inlineStr">
        <is>
          <t>11:45</t>
        </is>
      </c>
      <c r="D32" s="44" t="inlineStr">
        <is>
          <t>Ambos</t>
        </is>
      </c>
      <c r="E32" s="45" t="inlineStr">
        <is>
          <t>★ Museum at Eldridge Street — sinagoga de 1887 restaurada por $20 millones, con un rosetón nuevo de Kiki Smith. Que hoy esté en el medio de Chinatown es la mitad del punto. CIERRA LOS SÁBADOS: hoy es el día.</t>
        </is>
      </c>
      <c r="F32" s="43" t="inlineStr">
        <is>
          <t>Museum at Eldridge Street</t>
        </is>
      </c>
      <c r="G32" s="40" t="inlineStr">
        <is>
          <t>🚶 ~20 min a pie (1.3 km) o 🚇 ~15 min · estimado</t>
        </is>
      </c>
      <c r="H32" s="41" t="inlineStr"/>
      <c r="I32" s="41" t="inlineStr"/>
    </row>
    <row r="33" ht="30" customHeight="1">
      <c r="A33" s="35" t="n"/>
      <c r="B33" s="36" t="inlineStr">
        <is>
          <t>11:45</t>
        </is>
      </c>
      <c r="C33" s="37" t="inlineStr">
        <is>
          <t>12:45</t>
        </is>
      </c>
      <c r="D33" s="38" t="inlineStr">
        <is>
          <t>Ambos</t>
        </is>
      </c>
      <c r="E33" s="39" t="inlineStr">
        <is>
          <t>Essex Market — mercado municipal desde 1940. Sigue teniendo carniceros y pescaderos de verdad, no solo puestos para turistas.</t>
        </is>
      </c>
      <c r="F33" s="37" t="inlineStr">
        <is>
          <t>Essex Market</t>
        </is>
      </c>
      <c r="G33" s="40" t="inlineStr">
        <is>
          <t>🚶 ~11 min a pie · 0.8 km · estimado</t>
        </is>
      </c>
      <c r="H33" s="41" t="inlineStr"/>
      <c r="I33" s="41" t="inlineStr"/>
    </row>
    <row r="34" ht="30" customHeight="1">
      <c r="A34" s="35" t="n"/>
      <c r="B34" s="36" t="inlineStr">
        <is>
          <t>12:45</t>
        </is>
      </c>
      <c r="C34" s="37" t="inlineStr">
        <is>
          <t>13:15</t>
        </is>
      </c>
      <c r="D34" s="38" t="inlineStr">
        <is>
          <t>Ambos</t>
        </is>
      </c>
      <c r="E34" s="39" t="inlineStr">
        <is>
          <t>Caminata por el Lower East Side: Orchard, Ludlow, Rivington. Tres capas de inmigración en la misma cuadra.</t>
        </is>
      </c>
      <c r="F34" s="37" t="inlineStr">
        <is>
          <t>Lower East Side</t>
        </is>
      </c>
      <c r="G34" s="40" t="inlineStr"/>
      <c r="H34" s="41" t="inlineStr"/>
      <c r="I34" s="41" t="inlineStr"/>
    </row>
    <row r="35" ht="30" customHeight="1">
      <c r="A35" s="35" t="n"/>
      <c r="B35" s="36" t="inlineStr">
        <is>
          <t>13:15</t>
        </is>
      </c>
      <c r="C35" s="37" t="inlineStr">
        <is>
          <t>14:15</t>
        </is>
      </c>
      <c r="D35" s="38" t="inlineStr">
        <is>
          <t>Ambos</t>
        </is>
      </c>
      <c r="E35" s="39" t="inlineStr">
        <is>
          <t>Almuerzo en Chinatown: Mott St y las pescaderías de la calle. El paisaje urbano es el plato fuerte.</t>
        </is>
      </c>
      <c r="F35" s="37" t="inlineStr">
        <is>
          <t>Chinatown (Manhattan)</t>
        </is>
      </c>
      <c r="G35" s="40" t="inlineStr">
        <is>
          <t>🚶 ~14 min a pie · 1.0 km · estimado</t>
        </is>
      </c>
      <c r="H35" s="41" t="inlineStr"/>
      <c r="I35" s="41" t="inlineStr"/>
    </row>
    <row r="36" ht="30" customHeight="1">
      <c r="A36" s="35" t="n"/>
      <c r="B36" s="36" t="inlineStr">
        <is>
          <t>14:15</t>
        </is>
      </c>
      <c r="C36" s="37" t="inlineStr">
        <is>
          <t>14:45</t>
        </is>
      </c>
      <c r="D36" s="38" t="inlineStr">
        <is>
          <t>Ambos</t>
        </is>
      </c>
      <c r="E36" s="39" t="inlineStr">
        <is>
          <t>Columbus Park (tai chi y partidas de xiangqi) y Doyers Street, la cuadra torcida que era 'the Bloody Angle'. Diez minutos y de ahí se sale caminando hacia City Hall.</t>
        </is>
      </c>
      <c r="F36" s="37" t="inlineStr"/>
      <c r="G36" s="40" t="inlineStr"/>
      <c r="H36" s="41" t="inlineStr"/>
      <c r="I36" s="41" t="inlineStr"/>
    </row>
    <row r="37" ht="30" customHeight="1">
      <c r="A37" s="35" t="n"/>
      <c r="B37" s="42" t="inlineStr">
        <is>
          <t>14:45</t>
        </is>
      </c>
      <c r="C37" s="43" t="inlineStr">
        <is>
          <t>16:00</t>
        </is>
      </c>
      <c r="D37" s="44" t="inlineStr">
        <is>
          <t>Ambos</t>
        </is>
      </c>
      <c r="E37" s="45" t="inlineStr">
        <is>
          <t>★★ CRUZAR EL BROOKLYN BRIDGE A PIE — entrada peatonal frente a City Hall. 30-45 minutos hasta Brooklyn con paradas de foto: el skyline de Lower Manhattan de un lado y el Manhattan Bridge del otro. GRATIS y es una de las cosas que un first-timer no debería saltearse.</t>
        </is>
      </c>
      <c r="F37" s="43" t="inlineStr"/>
      <c r="G37" s="40" t="inlineStr"/>
      <c r="H37" s="41" t="inlineStr"/>
      <c r="I37" s="41" t="inlineStr"/>
    </row>
    <row r="38" ht="30" customHeight="1">
      <c r="A38" s="35" t="n"/>
      <c r="B38" s="36" t="inlineStr">
        <is>
          <t>16:00</t>
        </is>
      </c>
      <c r="C38" s="37" t="inlineStr">
        <is>
          <t>17:05</t>
        </is>
      </c>
      <c r="D38" s="38" t="inlineStr">
        <is>
          <t>Ambos</t>
        </is>
      </c>
      <c r="E38" s="39" t="inlineStr">
        <is>
          <t>Bajar en DUMBO: la foto del Manhattan Bridge encuadrado en Washington St, el waterfront, y una parada en TIME OUT MARKET (está ahí mismo y JP lo marcó 2): un vermut con el skyline de frente. OJO: el sábado 5 vuelven de día — no repetir de más.</t>
        </is>
      </c>
      <c r="F38" s="37" t="inlineStr">
        <is>
          <t>DUMBO</t>
        </is>
      </c>
      <c r="G38" s="40" t="inlineStr"/>
      <c r="H38" s="41" t="inlineStr"/>
      <c r="I38" s="41" t="inlineStr"/>
    </row>
    <row r="39" ht="16" customHeight="1">
      <c r="A39" s="35" t="n"/>
      <c r="B39" s="36" t="inlineStr">
        <is>
          <t>17:05</t>
        </is>
      </c>
      <c r="C39" s="37" t="inlineStr">
        <is>
          <t>17:30</t>
        </is>
      </c>
      <c r="D39" s="38" t="inlineStr">
        <is>
          <t>Ambos</t>
        </is>
      </c>
      <c r="E39" s="39" t="inlineStr">
        <is>
          <t>Subte A/C desde High St hasta Fulton St (2 paradas, ~10 min) y 5 min a pie hasta Dey St.</t>
        </is>
      </c>
      <c r="F39" s="37" t="inlineStr"/>
      <c r="G39" s="40" t="inlineStr"/>
      <c r="H39" s="41" t="inlineStr"/>
      <c r="I39" s="41" t="inlineStr"/>
    </row>
    <row r="40" ht="30" customHeight="1">
      <c r="A40" s="35" t="n"/>
      <c r="B40" s="42" t="inlineStr">
        <is>
          <t>17:30</t>
        </is>
      </c>
      <c r="C40" s="43" t="inlineStr">
        <is>
          <t>18:50</t>
        </is>
      </c>
      <c r="D40" s="44" t="inlineStr">
        <is>
          <t>Ambos</t>
        </is>
      </c>
      <c r="E40" s="45" t="inlineStr">
        <is>
          <t>★★ MERCER LABS (21 Dey St, frente al Oculus) — 15 salas inmersivas de arte y tecnología de Roy Nachum: proyecciones, sonido espacial, salas interactivas, a su ritmo. Hasta $57 según franja; TIMED TICKET por Fever, reservar el slot de 17:30 antes de viajar. Los domingos abre hasta las 22.</t>
        </is>
      </c>
      <c r="F40" s="43" t="inlineStr">
        <is>
          <t>Mercer Labs — Museum of Art and Technology</t>
        </is>
      </c>
      <c r="G40" s="40" t="inlineStr"/>
      <c r="H40" s="41" t="inlineStr"/>
      <c r="I40" s="41" t="inlineStr"/>
    </row>
    <row r="41" ht="30" customHeight="1">
      <c r="A41" s="35" t="n"/>
      <c r="B41" s="36" t="inlineStr">
        <is>
          <t>18:50</t>
        </is>
      </c>
      <c r="C41" s="37" t="inlineStr">
        <is>
          <t>19:15</t>
        </is>
      </c>
      <c r="D41" s="38" t="inlineStr">
        <is>
          <t>Ambos</t>
        </is>
      </c>
      <c r="E41" s="39" t="inlineStr">
        <is>
          <t>Caminar a The Crown: 1,6 km derecho por Park Row hacia Bowery (~20 min) — o R/W City Hall → Canal St si llueve.</t>
        </is>
      </c>
      <c r="F41" s="37" t="inlineStr"/>
      <c r="G41" s="40" t="inlineStr"/>
      <c r="H41" s="41" t="inlineStr"/>
      <c r="I41" s="41" t="inlineStr"/>
    </row>
    <row r="42" ht="30" customHeight="1">
      <c r="A42" s="35" t="n"/>
      <c r="B42" s="42" t="inlineStr">
        <is>
          <t>19:15</t>
        </is>
      </c>
      <c r="C42" s="43" t="inlineStr">
        <is>
          <t>20:45</t>
        </is>
      </c>
      <c r="D42" s="44" t="inlineStr">
        <is>
          <t>Ambos</t>
        </is>
      </c>
      <c r="E42" s="45" t="inlineStr">
        <is>
          <t>★ The Crown (50 Bowery, piso 21) — rooftop sin cover, EN EL ATARDECER (~19:27): el Manhattan Bridge que acaban de cruzar se enciende de frente mientras cae el sol. Es el ángulo que no da ningún observatorio pago — luz, atardecer y noche en un solo trago.</t>
        </is>
      </c>
      <c r="F42" s="43" t="inlineStr">
        <is>
          <t>The Crown (50 Bowery)</t>
        </is>
      </c>
      <c r="G42" s="40" t="inlineStr"/>
      <c r="H42" s="41" t="inlineStr"/>
      <c r="I42" s="41" t="inlineStr"/>
    </row>
    <row r="43" ht="30" customHeight="1">
      <c r="A43" s="35" t="n"/>
      <c r="B43" s="36" t="inlineStr">
        <is>
          <t>20:45</t>
        </is>
      </c>
      <c r="C43" s="37" t="inlineStr">
        <is>
          <t>22:15</t>
        </is>
      </c>
      <c r="D43" s="38" t="inlineStr">
        <is>
          <t>Ambos</t>
        </is>
      </c>
      <c r="E43" s="39" t="inlineStr">
        <is>
          <t>Cena en el East Village / LES: Katz's abre hasta tarde (a esta hora la cola del domingo ya bajó).</t>
        </is>
      </c>
      <c r="F43" s="37" t="inlineStr">
        <is>
          <t>Katz's Delicatessen</t>
        </is>
      </c>
      <c r="G43" s="40" t="inlineStr">
        <is>
          <t>🚶 ~20 min a pie (1.3 km) o 🚇 ~15 min · estimado</t>
        </is>
      </c>
      <c r="H43" s="41" t="inlineStr"/>
      <c r="I43" s="41" t="inlineStr"/>
    </row>
    <row r="44" ht="30" customHeight="1">
      <c r="A44" s="35" t="n"/>
      <c r="B44" s="36" t="inlineStr">
        <is>
          <t>22:15</t>
        </is>
      </c>
      <c r="C44" s="37" t="inlineStr"/>
      <c r="D44" s="38" t="inlineStr">
        <is>
          <t>Ambos</t>
        </is>
      </c>
      <c r="E44" s="39" t="inlineStr">
        <is>
          <t>Opcional: Nublu (Avenue C) — jazz experimental y afrobeat hasta tarde. A 14 minutos A PIE de Katz's. Lo marcaron 2 los dos.</t>
        </is>
      </c>
      <c r="F44" s="37" t="inlineStr">
        <is>
          <t>Nublu</t>
        </is>
      </c>
      <c r="G44" s="40" t="inlineStr">
        <is>
          <t>🚶 ~14 min a pie · 1.1 km · estimado</t>
        </is>
      </c>
      <c r="H44" s="41" t="inlineStr"/>
      <c r="I44" s="41" t="inlineStr"/>
    </row>
    <row r="45" ht="32" customHeight="1">
      <c r="A45" s="46" t="inlineStr">
        <is>
          <t>ALTERNATIVA / OJO:  Si cambian de idea con el festival: Ravi Coltrane toca GRATIS en Tompkins Square de 15 a 19h, a cinco cuadras del almuerzo — pueden ir un rato y cruzar el puente otro día. Y ojo: hoy es la ÚLTIMA función de Moulin Rouge! en Broadway, si la quieren hay que decidir ya. // El cruce del puente conviene NO hacerlo más tarde: después de las 16h de un domingo de verano la pasarela se llena.</t>
        </is>
      </c>
    </row>
    <row r="47" ht="22" customHeight="1">
      <c r="A47" s="33" t="inlineStr">
        <is>
          <t>DÍA 3 · Lunes 31/08 · JP solo · Midtown total: MoMA, Top of the Rock y Birdland  —  base: Ink48 → JGStay SoHo (las valijas viajan con Thais)  ·  Solo JP</t>
        </is>
      </c>
    </row>
    <row r="48" ht="32" customHeight="1">
      <c r="A48" s="34" t="inlineStr">
        <is>
          <t>⚠️ DÍA DE JP SOLO. Thais viaja temprano a New Jersey porque EMPIEZA A TRABAJAR — trabaja del 31 de agosto al 3 de septiembre y no participa de nada de NYC en esos días. Ella hace el checkout y se lleva las dos valijas, así que JP arranca libre y sin equipaje desde las 8. El lunes, que suele ser el peor día en NYC, acá es el mejor: el lobby del Chrysler y el Ford Foundation SOLO abren días hábiles, y Birdland tiene su programa de lunes. El MoMA y Top of the Rock encajan justo hoy porque Thais los marcó 0. El 9/11 se MOVIÓ al jueves para hacerlo completo (memorial + museo + One World Observatory en una sola bajada) — se paga la entrada que el lunes era gratis, pero el circuito queda entero y este día gana el observatorio con luz de tarde. CERRADOS hoy: Morgan, Noguchi, Brooklyn Museum, Studio Museum, Transit Museum. Y LA GRAN NOVEDAD: JP ya no duerme en New Jersey — la noche termina en el JGStay SoHo, y la vuelta nocturna a NJ quedó reducida a UNA sola (el miércoles).</t>
        </is>
      </c>
    </row>
    <row r="49" ht="30" customHeight="1">
      <c r="A49" s="35" t="n"/>
      <c r="B49" s="36" t="inlineStr">
        <is>
          <t>08:00</t>
        </is>
      </c>
      <c r="C49" s="37" t="inlineStr">
        <is>
          <t>08:10</t>
        </is>
      </c>
      <c r="D49" s="38" t="inlineStr">
        <is>
          <t>Thais</t>
        </is>
      </c>
      <c r="E49" s="39" t="inlineStr">
        <is>
          <t>THAIS: checkout de Ink48 y tren temprano a New Jersey con LAS DOS valijas — hoy EMPIEZA A TRABAJAR. No participa de nada de este día. JP sale solo con su bolso de dos noches.</t>
        </is>
      </c>
      <c r="F49" s="37" t="inlineStr">
        <is>
          <t>Hotel Ink48 (29-31 ago)</t>
        </is>
      </c>
      <c r="G49" s="40" t="inlineStr"/>
      <c r="H49" s="41" t="inlineStr"/>
      <c r="I49" s="41" t="inlineStr"/>
    </row>
    <row r="50" ht="16" customHeight="1">
      <c r="A50" s="35" t="n"/>
      <c r="B50" s="36" t="inlineStr">
        <is>
          <t>08:10</t>
        </is>
      </c>
      <c r="C50" s="37" t="inlineStr">
        <is>
          <t>08:35</t>
        </is>
      </c>
      <c r="D50" s="38" t="inlineStr">
        <is>
          <t>Solo JP</t>
        </is>
      </c>
      <c r="E50" s="39" t="inlineStr">
        <is>
          <t>JP: checkout y subte N/R/W desde 49 St derecho por Broadway hasta Canal St (~15 min).</t>
        </is>
      </c>
      <c r="F50" s="37" t="inlineStr"/>
      <c r="G50" s="40" t="inlineStr"/>
      <c r="H50" s="41" t="inlineStr"/>
      <c r="I50" s="41" t="inlineStr"/>
    </row>
    <row r="51" ht="30" customHeight="1">
      <c r="A51" s="35" t="n"/>
      <c r="B51" s="36" t="inlineStr">
        <is>
          <t>08:35</t>
        </is>
      </c>
      <c r="C51" s="37" t="inlineStr">
        <is>
          <t>09:00</t>
        </is>
      </c>
      <c r="D51" s="38" t="inlineStr">
        <is>
          <t>Solo JP</t>
        </is>
      </c>
      <c r="E51" s="39" t="inlineStr">
        <is>
          <t>Dejar el bolso en la CONSIGNA del JGSTAY SOHO (recepción 24 h; el check-in formal es a la tarde — confirmar la consigna por mensaje). Liviano el resto del día.</t>
        </is>
      </c>
      <c r="F51" s="37" t="inlineStr">
        <is>
          <t>JGSTAY SoHo (JP: 31 ago-2 sep)</t>
        </is>
      </c>
      <c r="G51" s="40" t="inlineStr"/>
      <c r="H51" s="41" t="inlineStr"/>
      <c r="I51" s="41" t="inlineStr"/>
    </row>
    <row r="52" ht="16" customHeight="1">
      <c r="A52" s="35" t="n"/>
      <c r="B52" s="36" t="inlineStr">
        <is>
          <t>09:00</t>
        </is>
      </c>
      <c r="C52" s="37" t="inlineStr">
        <is>
          <t>09:20</t>
        </is>
      </c>
      <c r="D52" s="38" t="inlineStr">
        <is>
          <t>Solo JP</t>
        </is>
      </c>
      <c r="E52" s="39" t="inlineStr">
        <is>
          <t>Subte 6 desde Canal St directo hasta Grand Central (~20 min).</t>
        </is>
      </c>
      <c r="F52" s="37" t="inlineStr"/>
      <c r="G52" s="40" t="inlineStr"/>
      <c r="H52" s="41" t="inlineStr"/>
      <c r="I52" s="41" t="inlineStr"/>
    </row>
    <row r="53" ht="30" customHeight="1">
      <c r="A53" s="35" t="n"/>
      <c r="B53" s="36" t="inlineStr">
        <is>
          <t>09:20</t>
        </is>
      </c>
      <c r="C53" s="37" t="inlineStr">
        <is>
          <t>09:45</t>
        </is>
      </c>
      <c r="D53" s="38" t="inlineStr">
        <is>
          <t>Solo JP</t>
        </is>
      </c>
      <c r="E53" s="39" t="inlineStr">
        <is>
          <t>Desayuno adentro de Grand Central, en el dining concourse o en el Grand Central Market — ya estás dentro del edificio que venís a ver.</t>
        </is>
      </c>
      <c r="F53" s="37" t="inlineStr">
        <is>
          <t>Grand Central Terminal</t>
        </is>
      </c>
      <c r="G53" s="40" t="inlineStr"/>
      <c r="H53" s="41" t="inlineStr"/>
      <c r="I53" s="41" t="inlineStr"/>
    </row>
    <row r="54" ht="30" customHeight="1">
      <c r="A54" s="35" t="n"/>
      <c r="B54" s="42" t="inlineStr">
        <is>
          <t>09:45</t>
        </is>
      </c>
      <c r="C54" s="43" t="inlineStr">
        <is>
          <t>10:15</t>
        </is>
      </c>
      <c r="D54" s="44" t="inlineStr">
        <is>
          <t>Solo JP</t>
        </is>
      </c>
      <c r="E54" s="45" t="inlineStr">
        <is>
          <t>Grand Central Terminal: el techo celeste pintado al revés y la Whispering Gallery frente al Oyster Bar.</t>
        </is>
      </c>
      <c r="F54" s="43" t="inlineStr">
        <is>
          <t>Grand Central Terminal</t>
        </is>
      </c>
      <c r="G54" s="40" t="inlineStr"/>
      <c r="H54" s="41" t="inlineStr"/>
      <c r="I54" s="41" t="inlineStr"/>
    </row>
    <row r="55" ht="16" customHeight="1">
      <c r="A55" s="35" t="n"/>
      <c r="B55" s="36" t="inlineStr">
        <is>
          <t>10:15</t>
        </is>
      </c>
      <c r="C55" s="37" t="inlineStr">
        <is>
          <t>11:00</t>
        </is>
      </c>
      <c r="D55" s="38" t="inlineStr">
        <is>
          <t>Solo JP</t>
        </is>
      </c>
      <c r="E55" s="39" t="inlineStr">
        <is>
          <t>Lobby del Chrysler Building — art déco puro. SOLO lun-vie 8-18h.</t>
        </is>
      </c>
      <c r="F55" s="37" t="inlineStr">
        <is>
          <t>Lobby del Chrysler Building</t>
        </is>
      </c>
      <c r="G55" s="40" t="inlineStr">
        <is>
          <t>🚶 ~4 min a pie · 0.2 km · estimado</t>
        </is>
      </c>
      <c r="H55" s="41" t="inlineStr"/>
      <c r="I55" s="41" t="inlineStr"/>
    </row>
    <row r="56" ht="30" customHeight="1">
      <c r="A56" s="35" t="n"/>
      <c r="B56" s="42" t="inlineStr">
        <is>
          <t>11:00</t>
        </is>
      </c>
      <c r="C56" s="43" t="inlineStr">
        <is>
          <t>11:55</t>
        </is>
      </c>
      <c r="D56" s="44" t="inlineStr">
        <is>
          <t>Solo JP</t>
        </is>
      </c>
      <c r="E56" s="45" t="inlineStr">
        <is>
          <t>Ford Foundation Atrium — jardín de 12 pisos dentro de un edificio de oficinas. PREINSCRIPCIÓN online antes de las 17h de ayer. Solo se puede del 31/8 al 3/9.</t>
        </is>
      </c>
      <c r="F56" s="43" t="inlineStr">
        <is>
          <t>Ford Foundation Atrium</t>
        </is>
      </c>
      <c r="G56" s="40" t="inlineStr">
        <is>
          <t>🚶 ~9 min a pie · 0.6 km · estimado</t>
        </is>
      </c>
      <c r="H56" s="41" t="inlineStr"/>
      <c r="I56" s="41" t="inlineStr"/>
    </row>
    <row r="57" ht="30" customHeight="1">
      <c r="A57" s="35" t="n"/>
      <c r="B57" s="36" t="inlineStr">
        <is>
          <t>11:55</t>
        </is>
      </c>
      <c r="C57" s="37" t="inlineStr">
        <is>
          <t>12:55</t>
        </is>
      </c>
      <c r="D57" s="38" t="inlineStr">
        <is>
          <t>Solo JP</t>
        </is>
      </c>
      <c r="E57" s="39" t="inlineStr">
        <is>
          <t>New York Public Library: Rose Main Reading Room — se ve perfecta por libre (los tours gratuitos son 11:00 y 14:00 y no coinciden con esta pasada; no hacen falta).</t>
        </is>
      </c>
      <c r="F57" s="37" t="inlineStr">
        <is>
          <t>New York Public Library (Schwarzman)</t>
        </is>
      </c>
      <c r="G57" s="40" t="inlineStr">
        <is>
          <t>🚶 ~20 min a pie (1.4 km) o 🚇 ~15 min · estimado</t>
        </is>
      </c>
      <c r="H57" s="41" t="inlineStr"/>
      <c r="I57" s="41" t="inlineStr"/>
    </row>
    <row r="58" ht="16" customHeight="1">
      <c r="A58" s="35" t="n"/>
      <c r="B58" s="36" t="inlineStr">
        <is>
          <t>12:55</t>
        </is>
      </c>
      <c r="C58" s="37" t="inlineStr">
        <is>
          <t>13:45</t>
        </is>
      </c>
      <c r="D58" s="38" t="inlineStr">
        <is>
          <t>Solo JP</t>
        </is>
      </c>
      <c r="E58" s="39" t="inlineStr">
        <is>
          <t>Almuerzo cerca de Bryant Park.</t>
        </is>
      </c>
      <c r="F58" s="37" t="inlineStr">
        <is>
          <t>Bryant Park</t>
        </is>
      </c>
      <c r="G58" s="40" t="inlineStr"/>
      <c r="H58" s="41" t="inlineStr"/>
      <c r="I58" s="41" t="inlineStr"/>
    </row>
    <row r="59" ht="30" customHeight="1">
      <c r="A59" s="35" t="n"/>
      <c r="B59" s="42" t="inlineStr">
        <is>
          <t>13:45</t>
        </is>
      </c>
      <c r="C59" s="43" t="inlineStr">
        <is>
          <t>16:30</t>
        </is>
      </c>
      <c r="D59" s="44" t="inlineStr">
        <is>
          <t>Solo JP</t>
        </is>
      </c>
      <c r="E59" s="45" t="inlineStr">
        <is>
          <t>★ MoMA — a cinco cuadras de la biblioteca. Van Gogh, Picasso, Rothko, Warhol. El cine está INCLUIDO en la entrada. QUÉ HAY AHORA (verificado 27/8): «Frida and Diego: The Last Dream» — seis pinturas de Frida y una docena de Rivera, montaje del escenógrafo de la ópera de Frida. Cierra el 12 de septiembre, seis días después de que se van. Y engancha con la ópera gratis del domingo 6 en Lincoln Center, que es esa misma obra.</t>
        </is>
      </c>
      <c r="F59" s="43" t="inlineStr">
        <is>
          <t>MoMA</t>
        </is>
      </c>
      <c r="G59" s="40" t="inlineStr">
        <is>
          <t>🚶 ~20 min a pie (1.3 km) o 🚇 ~15 min · estimado</t>
        </is>
      </c>
      <c r="H59" s="41" t="inlineStr"/>
      <c r="I59" s="41" t="inlineStr"/>
    </row>
    <row r="60" ht="30" customHeight="1">
      <c r="A60" s="35" t="n"/>
      <c r="B60" s="36" t="inlineStr">
        <is>
          <t>16:30</t>
        </is>
      </c>
      <c r="C60" s="37" t="inlineStr">
        <is>
          <t>17:15</t>
        </is>
      </c>
      <c r="D60" s="38" t="inlineStr">
        <is>
          <t>Solo JP</t>
        </is>
      </c>
      <c r="E60" s="39" t="inlineStr">
        <is>
          <t>Caminar cuatro cuadras: Rockefeller Center a nivel de calle — la plaza, Atlas y St. Patrick's enfrente, sobre la Quinta.</t>
        </is>
      </c>
      <c r="F60" s="37" t="inlineStr"/>
      <c r="G60" s="40" t="inlineStr"/>
      <c r="H60" s="41" t="inlineStr"/>
      <c r="I60" s="41" t="inlineStr"/>
    </row>
    <row r="61" ht="30" customHeight="1">
      <c r="A61" s="35" t="n"/>
      <c r="B61" s="36" t="inlineStr">
        <is>
          <t>17:15</t>
        </is>
      </c>
      <c r="C61" s="37" t="inlineStr">
        <is>
          <t>18:15</t>
        </is>
      </c>
      <c r="D61" s="38" t="inlineStr">
        <is>
          <t>Solo JP</t>
        </is>
      </c>
      <c r="E61" s="39" t="inlineStr">
        <is>
          <t>Cena TEMPRANA en Midtown. Hoy se cena ANTES de subir: la noche está tomada por el arco del observatorio y Birdland. Las valijas viajan con Thais y el bolso ya espera en SoHo.</t>
        </is>
      </c>
      <c r="F61" s="37" t="inlineStr"/>
      <c r="G61" s="40" t="inlineStr"/>
      <c r="H61" s="41" t="inlineStr"/>
      <c r="I61" s="41" t="inlineStr"/>
    </row>
    <row r="62" ht="30" customHeight="1">
      <c r="A62" s="35" t="n"/>
      <c r="B62" s="42" t="inlineStr">
        <is>
          <t>18:15</t>
        </is>
      </c>
      <c r="C62" s="43" t="inlineStr">
        <is>
          <t>20:10</t>
        </is>
      </c>
      <c r="D62" s="44" t="inlineStr">
        <is>
          <t>Solo JP</t>
        </is>
      </c>
      <c r="E62" s="45" t="inlineStr">
        <is>
          <t>★★ TOP OF THE ROCK — EL ARCO COMPLETO que pidieron: entrada 18:15 con luz plena, el atardecer ~19:28 desde arriba, y la ciudad encendiéndose hasta ~20:05. Es el ÚNICO observatorio con el Empire State dentro del encuadre y Central Park del otro lado. ⚠️ La franja de atardecer es la cara (~$57-65) y la que primero se agota: reservar YA. Thais lo marcó 0: es de hoy.</t>
        </is>
      </c>
      <c r="F62" s="43" t="inlineStr">
        <is>
          <t>Top of the Rock</t>
        </is>
      </c>
      <c r="G62" s="40" t="inlineStr"/>
      <c r="H62" s="41" t="inlineStr"/>
      <c r="I62" s="41" t="inlineStr"/>
    </row>
    <row r="63" ht="16" customHeight="1">
      <c r="A63" s="35" t="n"/>
      <c r="B63" s="36" t="inlineStr">
        <is>
          <t>20:10</t>
        </is>
      </c>
      <c r="C63" s="37" t="inlineStr">
        <is>
          <t>20:30</t>
        </is>
      </c>
      <c r="D63" s="38" t="inlineStr">
        <is>
          <t>Solo JP</t>
        </is>
      </c>
      <c r="E63" s="39" t="inlineStr">
        <is>
          <t>Caminar a Birdland: 12 minutos (50th y 6ª → 44th entre 8ª y 9ª).</t>
        </is>
      </c>
      <c r="F63" s="37" t="inlineStr"/>
      <c r="G63" s="40" t="inlineStr"/>
      <c r="H63" s="41" t="inlineStr"/>
      <c r="I63" s="41" t="inlineStr"/>
    </row>
    <row r="64" ht="30" customHeight="1">
      <c r="A64" s="35" t="n"/>
      <c r="B64" s="42" t="inlineStr">
        <is>
          <t>20:30</t>
        </is>
      </c>
      <c r="C64" s="43" t="inlineStr">
        <is>
          <t>22:40</t>
        </is>
      </c>
      <c r="D64" s="44" t="inlineStr">
        <is>
          <t>Solo JP</t>
        </is>
      </c>
      <c r="E64" s="45" t="inlineStr">
        <is>
          <t>★ BIRDLAND: Vince Giordano &amp; the Nighthawks — jazz de los años 20 y 30 con instrumentos de época. Institución de los lunes, y el lunes Broadway está oscuro. Birdland está a 8 cuadras de Penn Station.</t>
        </is>
      </c>
      <c r="F64" s="43" t="inlineStr">
        <is>
          <t>Birdland</t>
        </is>
      </c>
      <c r="G64" s="40" t="inlineStr"/>
      <c r="H64" s="41" t="inlineStr"/>
      <c r="I64" s="41" t="inlineStr"/>
    </row>
    <row r="65" ht="30" customHeight="1">
      <c r="A65" s="35" t="n"/>
      <c r="B65" s="36" t="inlineStr">
        <is>
          <t>22:40</t>
        </is>
      </c>
      <c r="C65" s="37" t="inlineStr"/>
      <c r="D65" s="38" t="inlineStr">
        <is>
          <t>Solo JP</t>
        </is>
      </c>
      <c r="E65" s="39" t="inlineStr">
        <is>
          <t>Birdland ENTERO y sin mirar el reloj: ya NO hay tren que atrapar. Subte A/C/E desde 42 St-Port Authority hasta Canal St (~15 min) y check-in en el JGStay. La noche pasó de terminar 00:35 en New Jersey a ~23:30 en SoHo.</t>
        </is>
      </c>
      <c r="F65" s="37" t="inlineStr">
        <is>
          <t>JGSTAY SoHo (JP: 31 ago-2 sep)</t>
        </is>
      </c>
      <c r="G65" s="40" t="inlineStr"/>
      <c r="H65" s="41" t="inlineStr"/>
      <c r="I65" s="41" t="inlineStr"/>
    </row>
    <row r="66" ht="32" customHeight="1">
      <c r="A66" s="46" t="inlineStr">
        <is>
          <t>ALTERNATIVA / OJO:  SIN TREN, el lunes cambió de naturaleza: Birdland completo, sobremesa incluida. Si queda pila, el JGStay está a 15-20 min a pie del Village y Smalls tiene jam de lunes hasta tarde. Y si el día pesó, SoHo a las 23:30 es una hora y cinco más de sueño que el plan viejo.</t>
        </is>
      </c>
    </row>
    <row r="68" ht="22" customHeight="1">
      <c r="A68" s="33" t="inlineStr">
        <is>
          <t>DÍA 4 · Martes 01/09 · JP solo · el MET, The Cloisters y la noche del Village  —  base: JGStay SoHo  ·  Solo JP</t>
        </is>
      </c>
    </row>
    <row r="69" ht="32" customHeight="1">
      <c r="A69" s="34" t="inlineStr">
        <is>
          <t>Thais marcó el MET y The Cloisters en 0, así que este es EL día para hacerlos — y el martes es de los pocos que sirven: cierran los miércoles. El mismo ticket de $30 cubre los dos museos el mismo día, así que The Cloisters sale gratis. Thais sigue trabajando en New Jersey, así que hoy también es día de JP solo. CERRADOS hoy: Whitney, Frick, Noguchi, Brooklyn Museum, 9/11, MoMA PS1, Transit Museum y Studio Museum — por eso el martes es día de MET, que abre.</t>
        </is>
      </c>
    </row>
    <row r="70" ht="30" customHeight="1">
      <c r="A70" s="35" t="n"/>
      <c r="B70" s="36" t="inlineStr">
        <is>
          <t>08:20</t>
        </is>
      </c>
      <c r="C70" s="37" t="inlineStr">
        <is>
          <t>09:10</t>
        </is>
      </c>
      <c r="D70" s="38" t="inlineStr">
        <is>
          <t>Solo JP</t>
        </is>
      </c>
      <c r="E70" s="39" t="inlineStr">
        <is>
          <t>Desayuno INCLUIDO en el JGStay (7-9 AM) — primera mañana del viaje sin tren ni madrugón: el MET abre 10:00 y Canal St está en la puerta.</t>
        </is>
      </c>
      <c r="F70" s="37" t="inlineStr">
        <is>
          <t>JGSTAY SoHo (JP: 31 ago-2 sep)</t>
        </is>
      </c>
      <c r="G70" s="40" t="inlineStr"/>
      <c r="H70" s="41" t="inlineStr"/>
      <c r="I70" s="41" t="inlineStr"/>
    </row>
    <row r="71" ht="16" customHeight="1">
      <c r="A71" s="35" t="n"/>
      <c r="B71" s="36" t="inlineStr">
        <is>
          <t>09:10</t>
        </is>
      </c>
      <c r="C71" s="37" t="inlineStr">
        <is>
          <t>10:00</t>
        </is>
      </c>
      <c r="D71" s="38" t="inlineStr">
        <is>
          <t>Solo JP</t>
        </is>
      </c>
      <c r="E71" s="39" t="inlineStr">
        <is>
          <t>Subte 6 directo desde Canal St hasta 86 St (~35 min): se llega justo a la apertura del MET.</t>
        </is>
      </c>
      <c r="F71" s="37" t="inlineStr"/>
      <c r="G71" s="40" t="inlineStr"/>
      <c r="H71" s="41" t="inlineStr"/>
      <c r="I71" s="41" t="inlineStr"/>
    </row>
    <row r="72" ht="30" customHeight="1">
      <c r="A72" s="35" t="n"/>
      <c r="B72" s="42" t="inlineStr">
        <is>
          <t>10:00</t>
        </is>
      </c>
      <c r="C72" s="43" t="inlineStr">
        <is>
          <t>13:15</t>
        </is>
      </c>
      <c r="D72" s="44" t="inlineStr">
        <is>
          <t>Solo JP</t>
        </is>
      </c>
      <c r="E72" s="45" t="inlineStr">
        <is>
          <t>★★ THE METROPOLITAN MUSEUM OF ART — es inagotable, así que elegí DOS alas y hacelas bien: egipcio + pintura europea, o armas y armaduras + arte islámico. $30 (el pay-what-you-wish es solo para residentes de NY y estudiantes de NY/NJ/CT). QUÉ HAY AHORA (verificado 27/8): «Musical Bodies» en la Galería 199 —130 objetos sobre instrumentos y cuerpo, la primera muestra grande del Met sobre el tema— y «Costume Art» en las galerías de moda nuevas. ⚠️ El CANTOR ROOF GARDEN, la terraza con vista a Central Park que recomiendan todas las guías, está CERRADO desde 2025 y reabre en 2030: no existe en este viaje.</t>
        </is>
      </c>
      <c r="F72" s="43" t="inlineStr">
        <is>
          <t>The Metropolitan Museum of Art</t>
        </is>
      </c>
      <c r="G72" s="40" t="inlineStr"/>
      <c r="H72" s="41" t="inlineStr"/>
      <c r="I72" s="41" t="inlineStr"/>
    </row>
    <row r="73" ht="16" customHeight="1">
      <c r="A73" s="35" t="n"/>
      <c r="B73" s="36" t="inlineStr">
        <is>
          <t>13:15</t>
        </is>
      </c>
      <c r="C73" s="37" t="inlineStr">
        <is>
          <t>13:50</t>
        </is>
      </c>
      <c r="D73" s="38" t="inlineStr">
        <is>
          <t>Solo JP</t>
        </is>
      </c>
      <c r="E73" s="39" t="inlineStr">
        <is>
          <t>Almuerzo RÁPIDO cerca del MET (30-40 min): hoy la tarde tiene museo con hora de cierre.</t>
        </is>
      </c>
      <c r="F73" s="37" t="inlineStr"/>
      <c r="G73" s="40" t="inlineStr"/>
      <c r="H73" s="41" t="inlineStr"/>
      <c r="I73" s="41" t="inlineStr"/>
    </row>
    <row r="74" ht="30" customHeight="1">
      <c r="A74" s="35" t="n"/>
      <c r="B74" s="36" t="inlineStr">
        <is>
          <t>13:50</t>
        </is>
      </c>
      <c r="C74" s="37" t="inlineStr">
        <is>
          <t>14:30</t>
        </is>
      </c>
      <c r="D74" s="38" t="inlineStr">
        <is>
          <t>Solo JP</t>
        </is>
      </c>
      <c r="E74" s="39" t="inlineStr">
        <is>
          <t>Al Cloisters: NO hay tren A en el lado este — la ruta real en subte es M86-SBS cruzando el parque + B/C hasta 168 St + A hasta 190 St (~55 min). El taxi/Uber directo (~25 min, $28-35) compra 40 minutos de museo: hoy se justifica.</t>
        </is>
      </c>
      <c r="F74" s="37" t="inlineStr"/>
      <c r="G74" s="40" t="inlineStr"/>
      <c r="H74" s="41" t="inlineStr"/>
      <c r="I74" s="41" t="inlineStr"/>
    </row>
    <row r="75" ht="30" customHeight="1">
      <c r="A75" s="35" t="n"/>
      <c r="B75" s="42" t="inlineStr">
        <is>
          <t>14:30</t>
        </is>
      </c>
      <c r="C75" s="43" t="inlineStr">
        <is>
          <t>17:00</t>
        </is>
      </c>
      <c r="D75" s="44" t="inlineStr">
        <is>
          <t>Solo JP</t>
        </is>
      </c>
      <c r="E75" s="45" t="inlineStr">
        <is>
          <t>★ THE MET CLOISTERS — arte medieval en un edificio armado con claustros franceses reales, sobre un acantilado del Hudson. INCLUIDO en el ticket del MET del mismo día: guardá el sticker.</t>
        </is>
      </c>
      <c r="F75" s="43" t="inlineStr">
        <is>
          <t>The Met Cloisters</t>
        </is>
      </c>
      <c r="G75" s="40" t="inlineStr"/>
      <c r="H75" s="41" t="inlineStr"/>
      <c r="I75" s="41" t="inlineStr"/>
    </row>
    <row r="76" ht="30" customHeight="1">
      <c r="A76" s="35" t="n"/>
      <c r="B76" s="36" t="inlineStr">
        <is>
          <t>17:00</t>
        </is>
      </c>
      <c r="C76" s="37" t="inlineStr">
        <is>
          <t>17:30</t>
        </is>
      </c>
      <c r="D76" s="38" t="inlineStr">
        <is>
          <t>Solo JP</t>
        </is>
      </c>
      <c r="E76" s="39" t="inlineStr">
        <is>
          <t>Fort Tryon Park — el Hudson y los Palisades sin un solo edificio a la vista. Media hora honesta: el parque ya rodea al Cloisters, y la noche de hoy tiene tres paradas.</t>
        </is>
      </c>
      <c r="F76" s="37" t="inlineStr">
        <is>
          <t>Fort Tryon Park</t>
        </is>
      </c>
      <c r="G76" s="40" t="inlineStr">
        <is>
          <t>🚶 ~5 min a pie · 0.3 km · estimado</t>
        </is>
      </c>
      <c r="H76" s="41" t="inlineStr"/>
      <c r="I76" s="41" t="inlineStr"/>
    </row>
    <row r="77" ht="16" customHeight="1">
      <c r="A77" s="35" t="n"/>
      <c r="B77" s="36" t="inlineStr">
        <is>
          <t>17:30</t>
        </is>
      </c>
      <c r="C77" s="37" t="inlineStr">
        <is>
          <t>18:10</t>
        </is>
      </c>
      <c r="D77" s="38" t="inlineStr">
        <is>
          <t>Solo JP</t>
        </is>
      </c>
      <c r="E77" s="39" t="inlineStr">
        <is>
          <t>Tren A desde 190 St directo hasta W 4 St-Washington Sq (~35 min).</t>
        </is>
      </c>
      <c r="F77" s="37" t="inlineStr"/>
      <c r="G77" s="40" t="inlineStr"/>
      <c r="H77" s="41" t="inlineStr"/>
      <c r="I77" s="41" t="inlineStr"/>
    </row>
    <row r="78" ht="30" customHeight="1">
      <c r="A78" s="35" t="n"/>
      <c r="B78" s="36" t="inlineStr">
        <is>
          <t>18:10</t>
        </is>
      </c>
      <c r="C78" s="37" t="inlineStr">
        <is>
          <t>18:35</t>
        </is>
      </c>
      <c r="D78" s="38" t="inlineStr">
        <is>
          <t>Solo JP</t>
        </is>
      </c>
      <c r="E78" s="39" t="inlineStr">
        <is>
          <t>Washington Square Park (JP lo marcó 2): el arco, los músicos y las mesas de ajedrez al caer la tarde. Veinte minutos.</t>
        </is>
      </c>
      <c r="F78" s="37" t="inlineStr">
        <is>
          <t>Washington Square Park</t>
        </is>
      </c>
      <c r="G78" s="40" t="inlineStr"/>
      <c r="H78" s="41" t="inlineStr"/>
      <c r="I78" s="41" t="inlineStr"/>
    </row>
    <row r="79" ht="30" customHeight="1">
      <c r="A79" s="35" t="n"/>
      <c r="B79" s="36" t="inlineStr">
        <is>
          <t>18:35</t>
        </is>
      </c>
      <c r="C79" s="37" t="inlineStr">
        <is>
          <t>18:45</t>
        </is>
      </c>
      <c r="D79" s="38" t="inlineStr">
        <is>
          <t>Solo JP</t>
        </is>
      </c>
      <c r="E79" s="39" t="inlineStr">
        <is>
          <t>Bajar MacDougal St — la cuadra folk de los 60s (Caffe Reggio, el viejo Gaslight) — hasta Houston: 8-10 min y es paseo, no traslado.</t>
        </is>
      </c>
      <c r="F79" s="37" t="inlineStr"/>
      <c r="G79" s="40" t="inlineStr"/>
      <c r="H79" s="41" t="inlineStr"/>
      <c r="I79" s="41" t="inlineStr"/>
    </row>
    <row r="80" ht="30" customHeight="1">
      <c r="A80" s="35" t="n"/>
      <c r="B80" s="42" t="inlineStr">
        <is>
          <t>18:45</t>
        </is>
      </c>
      <c r="C80" s="43" t="inlineStr">
        <is>
          <t>19:40</t>
        </is>
      </c>
      <c r="D80" s="44" t="inlineStr">
        <is>
          <t>Solo JP</t>
        </is>
      </c>
      <c r="E80" s="45" t="inlineStr">
        <is>
          <t>★★ HAMBURGER AMERICA (155 W Houston St) — MUST de JP: el counter de George Motz, el historiador de la hamburguesa americana. Pedir la fried-onion burger estilo Oklahoma y mirar el griddle trabajar. ~$15-20. SIN RESERVAS, orden de llegada — un martes 18:45 la fila es manejable, y el counter rota rápido.</t>
        </is>
      </c>
      <c r="F80" s="43" t="inlineStr">
        <is>
          <t>Hamburger America</t>
        </is>
      </c>
      <c r="G80" s="40" t="inlineStr">
        <is>
          <t>🚶 ~10 min a pie · 0.8 km · estimado</t>
        </is>
      </c>
      <c r="H80" s="41" t="inlineStr"/>
      <c r="I80" s="41" t="inlineStr"/>
    </row>
    <row r="81" ht="30" customHeight="1">
      <c r="A81" s="35" t="n"/>
      <c r="B81" s="36" t="inlineStr">
        <is>
          <t>19:40</t>
        </is>
      </c>
      <c r="C81" s="37" t="inlineStr">
        <is>
          <t>20:30</t>
        </is>
      </c>
      <c r="D81" s="38" t="inlineStr">
        <is>
          <t>Solo JP</t>
        </is>
      </c>
      <c r="E81" s="39" t="inlineStr">
        <is>
          <t>Paseo por el West Village sin plan: Bleecker, Grove, Bedford. La única grilla rota de Manhattan, y de noche es cuando mejor está.</t>
        </is>
      </c>
      <c r="F81" s="37" t="inlineStr">
        <is>
          <t>West Village</t>
        </is>
      </c>
      <c r="G81" s="40" t="inlineStr">
        <is>
          <t>🚶 ~11 min a pie · 0.8 km · estimado</t>
        </is>
      </c>
      <c r="H81" s="41" t="inlineStr"/>
      <c r="I81" s="41" t="inlineStr"/>
    </row>
    <row r="82" ht="30" customHeight="1">
      <c r="A82" s="35" t="n"/>
      <c r="B82" s="42" t="inlineStr">
        <is>
          <t>20:30</t>
        </is>
      </c>
      <c r="C82" s="43" t="inlineStr">
        <is>
          <t>22:30</t>
        </is>
      </c>
      <c r="D82" s="44" t="inlineStr">
        <is>
          <t>Solo JP</t>
        </is>
      </c>
      <c r="E82" s="45" t="inlineStr">
        <is>
          <t>★ SMALLS JAZZ CLUB (183 W 10th St) — sótano de 60 asientos, la escena real de Nueva York tocando para el barrio. $25 con un trago; la jam de madrugada es de las mejores de la ciudad. Se entra por orden de llegada: llegar 20:15 asegura lugar. Mezzrow está enfrente si Smalls está lleno.</t>
        </is>
      </c>
      <c r="F82" s="43" t="inlineStr">
        <is>
          <t>Smalls Jazz Club</t>
        </is>
      </c>
      <c r="G82" s="40" t="inlineStr"/>
      <c r="H82" s="41" t="inlineStr"/>
      <c r="I82" s="41" t="inlineStr"/>
    </row>
    <row r="83" ht="30" customHeight="1">
      <c r="A83" s="35" t="n"/>
      <c r="B83" s="36" t="inlineStr">
        <is>
          <t>22:30</t>
        </is>
      </c>
      <c r="C83" s="37" t="inlineStr"/>
      <c r="D83" s="38" t="inlineStr">
        <is>
          <t>Solo JP</t>
        </is>
      </c>
      <c r="E83" s="39" t="inlineStr">
        <is>
          <t>Caminar al JGStay: 20-25 min cruzando el Village y SoHo, que a esta hora es el mejor paseo del viaje. O subte 1 desde Christopher St a Canal.</t>
        </is>
      </c>
      <c r="F83" s="37" t="inlineStr">
        <is>
          <t>JGSTAY SoHo (JP: 31 ago-2 sep)</t>
        </is>
      </c>
      <c r="G83" s="40" t="inlineStr"/>
      <c r="H83" s="41" t="inlineStr"/>
      <c r="I83" s="41" t="inlineStr"/>
    </row>
    <row r="84" ht="32" customHeight="1">
      <c r="A84" s="46" t="inlineStr">
        <is>
          <t>ALTERNATIVA / OJO:  El MET y The Cloisters el mismo día son ~6 horas de museo. Si es demasiado: hacé solo el MET hasta las 15h y usá la tarde para Inwood Hill Park (el único bosque primario que queda en Manhattan, con cuevas de los Lenape), que está tres paradas más al norte. El Tenement Museum quedó afuera: los dos lo bajaron a 'quizás'.</t>
        </is>
      </c>
    </row>
    <row r="86" ht="22" customHeight="1">
      <c r="A86" s="33" t="inlineStr">
        <is>
          <t>DÍA 5 · Miércoles 02/09 · JP solo · High Line al amanecer, Vessel, Historia Natural, MoMA y McBride en Central Park  —  base: JGStay SoHo (YA NO se vuelve a New Jersey)  ·  Solo JP</t>
        </is>
      </c>
    </row>
    <row r="87" ht="32" customHeight="1">
      <c r="A87" s="34" t="inlineStr">
        <is>
          <t>REARMADO EL 1/9 con dos cambios de Juan. UNO: ya no vuelve a New Jersey — se queda en el JGStay SoHo hasta el jueves y de ahí lleva las maletas a The Beacon. Eso borra la única vuelta nocturna del viaje, o sea que hoy NO hay tren que atrapar: el SummerStage se ve entero y sin mirar el reloj, y mañana se arranca a las 7:30 desde SoHo en vez de a las 5:45 desde Branchburg. DOS: Juan quiere el HIGH LINE A LAS 7 DE LA MAÑANA, cuando abre y está vacío. ⚠️ EL ENGANCHE QUE NO CIERRA SOLO: el Vessel abre a las 10:00, así que entre el final del High Line y el Vessel hay un hueco de una hora larga — se llena con el desayuno en Hudson Yards, que además reemplaza al del hotel (7-9 AM), que hoy se pierde por salir temprano. Y entra el MoMA, que quedó pendiente del lunes: cierra 17:30 y encaja justo antes del SummerStage. CERRADOS hoy: el MET (por eso fue ayer) y el Frick pierde su ventana a voluntad — ver alternativas.</t>
        </is>
      </c>
    </row>
    <row r="88" ht="30" customHeight="1">
      <c r="A88" s="35" t="n"/>
      <c r="B88" s="36" t="inlineStr">
        <is>
          <t>06:40</t>
        </is>
      </c>
      <c r="C88" s="37" t="inlineStr">
        <is>
          <t>07:00</t>
        </is>
      </c>
      <c r="D88" s="38" t="inlineStr">
        <is>
          <t>Solo JP</t>
        </is>
      </c>
      <c r="E88" s="39" t="inlineStr">
        <is>
          <t>Salir del JGStay. Subte 1 desde Canal St hasta Christopher St, o A/C/E hasta 14 St (~12 min). Hoy se pierde el desayuno incluido del hotel (7-9 AM): se desayuna a media mañana en Hudson Yards.</t>
        </is>
      </c>
      <c r="F88" s="37" t="inlineStr">
        <is>
          <t>JGSTAY SoHo (JP: 31 ago-2 sep)</t>
        </is>
      </c>
      <c r="G88" s="40" t="inlineStr"/>
      <c r="H88" s="41" t="inlineStr"/>
      <c r="I88" s="41" t="inlineStr"/>
    </row>
    <row r="89" ht="30" customHeight="1">
      <c r="A89" s="35" t="n"/>
      <c r="B89" s="42" t="inlineStr">
        <is>
          <t>07:00</t>
        </is>
      </c>
      <c r="C89" s="43" t="inlineStr">
        <is>
          <t>08:40</t>
        </is>
      </c>
      <c r="D89" s="44" t="inlineStr">
        <is>
          <t>Solo JP</t>
        </is>
      </c>
      <c r="E89" s="45" t="inlineStr">
        <is>
          <t>★★ THE HIGH LINE AL AMANECER — abre 7:00 y esta es LA hora: vacío, con el sol bajo entre los edificios y sin las hordas de la tarde. Entrar por Gansevoort St (extremo SUR) y caminar los 2,3 km hacia el norte, sin apuro. Incluye el Buda de arenisca de 9 metros de Tuan Andrew Nguyen.</t>
        </is>
      </c>
      <c r="F89" s="43" t="inlineStr">
        <is>
          <t>The High Line</t>
        </is>
      </c>
      <c r="G89" s="40" t="inlineStr"/>
      <c r="H89" s="41" t="inlineStr"/>
      <c r="I89" s="41" t="inlineStr"/>
    </row>
    <row r="90" ht="30" customHeight="1">
      <c r="A90" s="35" t="n"/>
      <c r="B90" s="36" t="inlineStr">
        <is>
          <t>08:40</t>
        </is>
      </c>
      <c r="C90" s="37" t="inlineStr">
        <is>
          <t>09:15</t>
        </is>
      </c>
      <c r="D90" s="38" t="inlineStr">
        <is>
          <t>Solo JP</t>
        </is>
      </c>
      <c r="E90" s="39" t="inlineStr">
        <is>
          <t>Little Island — el parque flotante de Heatherwick sobre 132 macetas de hormigón, a la altura de la calle 13. Abre 6:00, así que a esta hora también está vacío. Media hora y se sigue al norte.</t>
        </is>
      </c>
      <c r="F90" s="37" t="inlineStr">
        <is>
          <t>Little Island</t>
        </is>
      </c>
      <c r="G90" s="40" t="inlineStr">
        <is>
          <t>🚶 ~15 min a pie · 1.1 km · estimado</t>
        </is>
      </c>
      <c r="H90" s="41" t="inlineStr"/>
      <c r="I90" s="41" t="inlineStr"/>
    </row>
    <row r="91" ht="30" customHeight="1">
      <c r="A91" s="35" t="n"/>
      <c r="B91" s="36" t="inlineStr">
        <is>
          <t>09:15</t>
        </is>
      </c>
      <c r="C91" s="37" t="inlineStr">
        <is>
          <t>10:00</t>
        </is>
      </c>
      <c r="D91" s="38" t="inlineStr">
        <is>
          <t>Solo JP</t>
        </is>
      </c>
      <c r="E91" s="39" t="inlineStr">
        <is>
          <t>Desayuno en Hudson Yards, al pie del Vessel — acá se llena el hueco hasta que abra. The Shops tiene opciones rápidas; si prefieren algo mejor, Mercado Little Spain de José Andrés está en la planta baja.</t>
        </is>
      </c>
      <c r="F91" s="37" t="inlineStr">
        <is>
          <t>Hudson Yards</t>
        </is>
      </c>
      <c r="G91" s="40" t="inlineStr">
        <is>
          <t>🚇 ~15 min en subte · 2.5 km (a pie 35 min) · estimado</t>
        </is>
      </c>
      <c r="H91" s="41" t="inlineStr"/>
      <c r="I91" s="41" t="inlineStr"/>
    </row>
    <row r="92" ht="30" customHeight="1">
      <c r="A92" s="35" t="n"/>
      <c r="B92" s="42" t="inlineStr">
        <is>
          <t>10:00</t>
        </is>
      </c>
      <c r="C92" s="43" t="inlineStr">
        <is>
          <t>10:50</t>
        </is>
      </c>
      <c r="D92" s="44" t="inlineStr">
        <is>
          <t>Solo JP</t>
        </is>
      </c>
      <c r="E92" s="45" t="inlineStr">
        <is>
          <t>★ THE VESSEL — abre 10:00 EN PUNTO y conviene ser de los primeros: la escalera infinita de Heatherwick, 154 tramos y 2.500 escalones, $10. Reabierto con redes; hay ascensor cada 15 min. Subir es la única forma de entenderla.</t>
        </is>
      </c>
      <c r="F92" s="43" t="inlineStr">
        <is>
          <t>The Vessel</t>
        </is>
      </c>
      <c r="G92" s="40" t="inlineStr">
        <is>
          <t>🚶 ~7 min a pie · 0.5 km · estimado</t>
        </is>
      </c>
      <c r="H92" s="41" t="inlineStr"/>
      <c r="I92" s="41" t="inlineStr"/>
    </row>
    <row r="93" ht="30" customHeight="1">
      <c r="A93" s="35" t="n"/>
      <c r="B93" s="36" t="inlineStr">
        <is>
          <t>10:50</t>
        </is>
      </c>
      <c r="C93" s="37" t="inlineStr">
        <is>
          <t>11:30</t>
        </is>
      </c>
      <c r="D93" s="38" t="inlineStr">
        <is>
          <t>Solo JP</t>
        </is>
      </c>
      <c r="E93" s="39" t="inlineStr">
        <is>
          <t>Subte a Historia Natural: 7 desde 34 St-Hudson Yards hasta Times Sq y 1/2/3 hasta 79 St, o A/C desde 34 St-Penn hasta 81 St (~30 min).</t>
        </is>
      </c>
      <c r="F93" s="37" t="inlineStr"/>
      <c r="G93" s="40" t="inlineStr"/>
      <c r="H93" s="41" t="inlineStr"/>
      <c r="I93" s="41" t="inlineStr"/>
    </row>
    <row r="94" ht="30" customHeight="1">
      <c r="A94" s="35" t="n"/>
      <c r="B94" s="42" t="inlineStr">
        <is>
          <t>11:30</t>
        </is>
      </c>
      <c r="C94" s="43" t="inlineStr">
        <is>
          <t>14:15</t>
        </is>
      </c>
      <c r="D94" s="44" t="inlineStr">
        <is>
          <t>Solo JP</t>
        </is>
      </c>
      <c r="E94" s="45" t="inlineStr">
        <is>
          <t>★ AMERICAN MUSEUM OF NATURAL HISTORY — dinosaurios, la ballena azul y el Gilder Center nuevo de Studio Gang. $37. Abre 10-17:30. Thais lo marcó 0: es de hoy.</t>
        </is>
      </c>
      <c r="F94" s="43" t="inlineStr">
        <is>
          <t>American Museum of Natural History</t>
        </is>
      </c>
      <c r="G94" s="40" t="inlineStr"/>
      <c r="H94" s="41" t="inlineStr"/>
      <c r="I94" s="41" t="inlineStr"/>
    </row>
    <row r="95" ht="30" customHeight="1">
      <c r="A95" s="35" t="n"/>
      <c r="B95" s="36" t="inlineStr">
        <is>
          <t>14:15</t>
        </is>
      </c>
      <c r="C95" s="37" t="inlineStr">
        <is>
          <t>15:15</t>
        </is>
      </c>
      <c r="D95" s="38" t="inlineStr">
        <is>
          <t>Solo JP</t>
        </is>
      </c>
      <c r="E95" s="39" t="inlineStr">
        <is>
          <t>Almuerzo en el Upper West Side, saliendo del museo. Amsterdam o Columbus tienen de todo; Gray's Papaya está en Broadway y 72 si quieren el pancho de parado.</t>
        </is>
      </c>
      <c r="F95" s="37" t="inlineStr"/>
      <c r="G95" s="40" t="inlineStr"/>
      <c r="H95" s="41" t="inlineStr"/>
      <c r="I95" s="41" t="inlineStr"/>
    </row>
    <row r="96" ht="16" customHeight="1">
      <c r="A96" s="35" t="n"/>
      <c r="B96" s="36" t="inlineStr">
        <is>
          <t>15:15</t>
        </is>
      </c>
      <c r="C96" s="37" t="inlineStr">
        <is>
          <t>15:40</t>
        </is>
      </c>
      <c r="D96" s="38" t="inlineStr">
        <is>
          <t>Solo JP</t>
        </is>
      </c>
      <c r="E96" s="39" t="inlineStr">
        <is>
          <t>Subte B/C o D desde 81 St hasta 7 Av / 47-50 Sts (~15 min). Caminar al MoMA.</t>
        </is>
      </c>
      <c r="F96" s="37" t="inlineStr"/>
      <c r="G96" s="40" t="inlineStr"/>
      <c r="H96" s="41" t="inlineStr"/>
      <c r="I96" s="41" t="inlineStr"/>
    </row>
    <row r="97" ht="30" customHeight="1">
      <c r="A97" s="35" t="n"/>
      <c r="B97" s="42" t="inlineStr">
        <is>
          <t>15:40</t>
        </is>
      </c>
      <c r="C97" s="43" t="inlineStr">
        <is>
          <t>17:35</t>
        </is>
      </c>
      <c r="D97" s="44" t="inlineStr">
        <is>
          <t>Solo JP</t>
        </is>
      </c>
      <c r="E97" s="45" t="inlineStr">
        <is>
          <t>★ MoMA — QUEDÓ PENDIENTE DEL LUNES y hoy es el día: cierra 17:30, así que entrando 15:40 quedan casi dos horas, que alcanzan para las salas de arriba. Van Gogh, Picasso, Rothko, Warhol. QUÉ HAY AHORA: «Frida and Diego: The Last Dream», que cierra el 12 de septiembre. El cine está incluido en la entrada. $30.</t>
        </is>
      </c>
      <c r="F97" s="43" t="inlineStr">
        <is>
          <t>MoMA</t>
        </is>
      </c>
      <c r="G97" s="40" t="inlineStr"/>
      <c r="H97" s="41" t="inlineStr"/>
      <c r="I97" s="41" t="inlineStr"/>
    </row>
    <row r="98" ht="30" customHeight="1">
      <c r="A98" s="35" t="n"/>
      <c r="B98" s="36" t="inlineStr">
        <is>
          <t>17:35</t>
        </is>
      </c>
      <c r="C98" s="37" t="inlineStr">
        <is>
          <t>18:10</t>
        </is>
      </c>
      <c r="D98" s="38" t="inlineStr">
        <is>
          <t>Solo JP</t>
        </is>
      </c>
      <c r="E98" s="39" t="inlineStr">
        <is>
          <t>Del MoMA a Rumsey Playfield: subte F desde 57 St hasta 63 St-Lexington y caminar, o los 20 minutos a pie por la Quinta y entrando por la 69. Con el cartel de hoy conviene estar temprano.</t>
        </is>
      </c>
      <c r="F98" s="37" t="inlineStr"/>
      <c r="G98" s="40" t="inlineStr"/>
      <c r="H98" s="41" t="inlineStr"/>
      <c r="I98" s="41" t="inlineStr"/>
    </row>
    <row r="99" ht="30" customHeight="1">
      <c r="A99" s="35" t="n"/>
      <c r="B99" s="36" t="inlineStr">
        <is>
          <t>18:10</t>
        </is>
      </c>
      <c r="C99" s="37" t="inlineStr">
        <is>
          <t>19:00</t>
        </is>
      </c>
      <c r="D99" s="38" t="inlineStr">
        <is>
          <t>Solo JP</t>
        </is>
      </c>
      <c r="E99" s="39" t="inlineStr">
        <is>
          <t>Entrar a Rumsey Playfield y buscar lugar. Puertas 18:00 y con este cartel se llena: cuanto antes, mejor lugar. Comer algo acá o de camino — hoy la cena es lo que se consiga.</t>
        </is>
      </c>
      <c r="F99" s="37" t="inlineStr"/>
      <c r="G99" s="40" t="inlineStr"/>
      <c r="H99" s="41" t="inlineStr"/>
      <c r="I99" s="41" t="inlineStr"/>
    </row>
    <row r="100" ht="30" customHeight="1">
      <c r="A100" s="35" t="n"/>
      <c r="B100" s="42" t="inlineStr">
        <is>
          <t>19:00</t>
        </is>
      </c>
      <c r="C100" s="43" t="inlineStr">
        <is>
          <t>22:05</t>
        </is>
      </c>
      <c r="D100" s="44" t="inlineStr">
        <is>
          <t>Solo JP</t>
        </is>
      </c>
      <c r="E100" s="45" t="inlineStr">
        <is>
          <t>★★ SUMMERSTAGE: Christian McBride + SAMARA JOY + Mei Semones — Verve 70 aniversario y Getz/Gilberto. GRATIS, sin ticket, Rumsey Playfield, 19:00-22:00. Y AHORA SE VE ENTERO: ya no hay tren a New Jersey que atrapar, que era lo que obligaba a salir corriendo.</t>
        </is>
      </c>
      <c r="F100" s="43" t="inlineStr">
        <is>
          <t>SummerStage: Christian McBride (gratis)</t>
        </is>
      </c>
      <c r="G100" s="40" t="inlineStr"/>
      <c r="H100" s="41" t="inlineStr"/>
      <c r="I100" s="41" t="inlineStr"/>
    </row>
    <row r="101" ht="30" customHeight="1">
      <c r="A101" s="35" t="n"/>
      <c r="B101" s="36" t="inlineStr">
        <is>
          <t>22:05</t>
        </is>
      </c>
      <c r="C101" s="37" t="inlineStr"/>
      <c r="D101" s="38" t="inlineStr">
        <is>
          <t>Solo JP</t>
        </is>
      </c>
      <c r="E101" s="39" t="inlineStr">
        <is>
          <t>Al JGStay sin apuro: subte B/C desde 72 St hasta W 4 St y caminar, o 1 hasta Canal (~35 min). Dormir en SoHo y no en Branchburg cambia el jueves entero.</t>
        </is>
      </c>
      <c r="F101" s="37" t="inlineStr">
        <is>
          <t>JGSTAY SoHo (JP: 31 ago-2 sep)</t>
        </is>
      </c>
      <c r="G101" s="40" t="inlineStr"/>
      <c r="H101" s="41" t="inlineStr"/>
      <c r="I101" s="41" t="inlineStr"/>
    </row>
    <row r="102" ht="32" customHeight="1">
      <c r="A102" s="46" t="inlineStr">
        <is>
          <t>ALTERNATIVA / OJO:  EL FRICK SE CAE, y hay que decirlo: hoy era su ventana pay-what-you-wish de 13:30 a 17:30, la única de la semana, y el día quedó lleno con el High Line temprano, el Vessel y el MoMA pendiente. Si lo quieren recuperar, la única forma es soltar el MoMA o el AMNH — el Frick fuera de esa ventana son $30 por cabeza. // SI PREFIEREN EL TOP OF THE ROCK EN VEZ DEL MoMA: abre 8:00-24:00, así que entra en el mismo hueco de las 15:40. PERO su gracia es el atardecer (hoy ~19:26) y a esa hora están en el SummerStage, así que sería subir con luz plana. El MoMA cierra 17:30 y hoy es su única chance del viaje; el Top of the Rock, en cambio, compite con el SUMMIT del viernes, que ya tiene el atardecer reservado y es mejor mirador. Por eso el plan pone el MoMA. // Si el High Line a las 7 resulta demasiado madrugón después de anoche, se puede entrar 8:30 y correr todo una hora: el Vessel abre 10:00 igual y el resto del día no se mueve.</t>
        </is>
      </c>
    </row>
    <row r="104" ht="22" customHeight="1">
      <c r="A104" s="33" t="inlineStr">
        <is>
          <t>DÍA 6 · Jueves 03/09 · Traslado + World Trade Center completo + ferry con Thais  —  base: JGStay SoHo → The Beacon  ·  Solo JP</t>
        </is>
      </c>
    </row>
    <row r="105" ht="32" customHeight="1">
      <c r="A105" s="34" t="inlineStr">
        <is>
          <t>REARMADO EL 1/9: Juan ya no duerme en New Jersey, así que el día arranca en el JGStay SoHo a las 7:30 con desayuno incluido en vez de a las 6:20 en Branchburg — hora y media más de sueño, un Uber menos y un tren menos. Las maletas van en el subte 1, directo de Canal St a 72 St, y quedan en el bell desk del Beacon antes de las 9. La mañana y la primera tarde son el World Trade Center completo — memorial, museo y One World Observatory en una sola bajada. OJO: One World es EL MIRADOR DE DÍA a propósito — su vista es el puerto y el agua, que de noche es negra; los arcos de atardecer van en Top of the Rock (lunes) y SUMMIT (viernes). THAIS ESTÁ EN NYC CON SU EQUIPO este jueves y SE LIBERA A LAS 16:00: se encuentran por Manhattan y se van juntos al Museum of the Moving Image, que es GRATIS los jueves de 14 a 18 — estaba caído del plan y ustedes lo tienen 2/2: RECUPERADO. El día cierra con check-in, cena y Dizzy's. Siguen afuera MoMA PS1, Astoria y Gantry (no hay hueco), y el Staten Island Ferry pasó a la alternativa nocturna de hoy. ENTRA STONE ST, que era imprescindible y no estaba en ningún día: el almuerzo se corre de Brookfield Place a la calle adoquinada, a 10 minutos del museo y 12 de One World. Se pagan 22 minutos de caminata y quedan 38 para comer — alcanza para un mediodía, aunque su mejor hora sea el after office de 5 a 8 y no la del almuerzo.</t>
        </is>
      </c>
    </row>
    <row r="106" ht="30" customHeight="1">
      <c r="A106" s="35" t="n"/>
      <c r="B106" s="36" t="inlineStr">
        <is>
          <t>07:30</t>
        </is>
      </c>
      <c r="C106" s="37" t="inlineStr">
        <is>
          <t>08:05</t>
        </is>
      </c>
      <c r="D106" s="38" t="inlineStr">
        <is>
          <t>Solo JP</t>
        </is>
      </c>
      <c r="E106" s="39" t="inlineStr">
        <is>
          <t>Desayuno incluido en el JGStay (7-9 AM) y CHECKOUT con las maletas. Hoy ya no se madruga a las 5:45 en Branchburg: se duerme en SoHo y se sale a las 7:30. Una hora y media más de sueño y un tren menos.</t>
        </is>
      </c>
      <c r="F106" s="37" t="inlineStr">
        <is>
          <t>JGSTAY SoHo (JP: 31 ago-2 sep)</t>
        </is>
      </c>
      <c r="G106" s="40" t="inlineStr"/>
      <c r="H106" s="41" t="inlineStr"/>
      <c r="I106" s="41" t="inlineStr"/>
    </row>
    <row r="107" ht="30" customHeight="1">
      <c r="A107" s="35" t="n"/>
      <c r="B107" s="36" t="inlineStr">
        <is>
          <t>08:05</t>
        </is>
      </c>
      <c r="C107" s="37" t="inlineStr">
        <is>
          <t>08:35</t>
        </is>
      </c>
      <c r="D107" s="38" t="inlineStr">
        <is>
          <t>Solo JP</t>
        </is>
      </c>
      <c r="E107" s="39" t="inlineStr">
        <is>
          <t>Subte 1 desde Canal St derecho hasta 72 St (~25 min). Con maletas, el 1 es el que conviene: es directo y no hay que hacer transbordo.</t>
        </is>
      </c>
      <c r="F107" s="37" t="inlineStr"/>
      <c r="G107" s="40" t="inlineStr"/>
      <c r="H107" s="41" t="inlineStr"/>
      <c r="I107" s="41" t="inlineStr"/>
    </row>
    <row r="108" ht="30" customHeight="1">
      <c r="A108" s="35" t="n"/>
      <c r="B108" s="42" t="inlineStr">
        <is>
          <t>08:35</t>
        </is>
      </c>
      <c r="C108" s="43" t="inlineStr">
        <is>
          <t>09:05</t>
        </is>
      </c>
      <c r="D108" s="44" t="inlineStr">
        <is>
          <t>Solo JP</t>
        </is>
      </c>
      <c r="E108" s="45" t="inlineStr">
        <is>
          <t>★ THE BEACON — dejar las maletas en el bell desk. El check-in formal es a la tarde, con Thais, pero el equipaje se recibe desde temprano. Confirmalo por mail.</t>
        </is>
      </c>
      <c r="F108" s="43" t="inlineStr">
        <is>
          <t>Hotel The Beacon (3-6 sep)</t>
        </is>
      </c>
      <c r="G108" s="40" t="inlineStr"/>
      <c r="H108" s="41" t="inlineStr"/>
      <c r="I108" s="41" t="inlineStr"/>
    </row>
    <row r="109" ht="30" customHeight="1">
      <c r="A109" s="35" t="n"/>
      <c r="B109" s="36" t="inlineStr">
        <is>
          <t>09:05</t>
        </is>
      </c>
      <c r="C109" s="37" t="inlineStr">
        <is>
          <t>09:50</t>
        </is>
      </c>
      <c r="D109" s="38" t="inlineStr">
        <is>
          <t>Solo JP</t>
        </is>
      </c>
      <c r="E109" s="39" t="inlineStr">
        <is>
          <t>Subte 1 directo desde 72 St hasta WTC Cortlandt (~30 min), otra vez sin transbordo. Alternativa: 2/3 express hasta Chambers St y 5 min a pie.</t>
        </is>
      </c>
      <c r="F109" s="37" t="inlineStr"/>
      <c r="G109" s="40" t="inlineStr"/>
      <c r="H109" s="41" t="inlineStr"/>
      <c r="I109" s="41" t="inlineStr"/>
    </row>
    <row r="110" ht="30" customHeight="1">
      <c r="A110" s="35" t="n"/>
      <c r="B110" s="42" t="inlineStr">
        <is>
          <t>09:50</t>
        </is>
      </c>
      <c r="C110" s="43" t="inlineStr">
        <is>
          <t>10:30</t>
        </is>
      </c>
      <c r="D110" s="44" t="inlineStr">
        <is>
          <t>Solo JP</t>
        </is>
      </c>
      <c r="E110" s="45" t="inlineStr">
        <is>
          <t>★ 9/11 MEMORIAL (la plaza) — las dos fuentes en las huellas de las torres y el Survivor Tree. Gratis, abierto desde las 8:00. Verlo ANTES del museo ordena la visita.</t>
        </is>
      </c>
      <c r="F110" s="43" t="inlineStr"/>
      <c r="G110" s="40" t="inlineStr"/>
      <c r="H110" s="41" t="inlineStr"/>
      <c r="I110" s="41" t="inlineStr"/>
    </row>
    <row r="111" ht="30" customHeight="1">
      <c r="A111" s="35" t="n"/>
      <c r="B111" s="42" t="inlineStr">
        <is>
          <t>10:30</t>
        </is>
      </c>
      <c r="C111" s="43" t="inlineStr">
        <is>
          <t>12:45</t>
        </is>
      </c>
      <c r="D111" s="44" t="inlineStr">
        <is>
          <t>Solo JP</t>
        </is>
      </c>
      <c r="E111" s="45" t="inlineStr">
        <is>
          <t>★★ 9/11 MEMORIAL MUSEUM — $36, TIMED TICKET OBLIGATORIO comprado online antes (el museo no vende en puerta sin reserva). 2 horas largas; es duro y muy bien hecho. Thais lo marcó 0: por eso va en la mañana de JP solo.</t>
        </is>
      </c>
      <c r="F111" s="43" t="inlineStr">
        <is>
          <t>9/11 Memorial Museum</t>
        </is>
      </c>
      <c r="G111" s="40" t="inlineStr"/>
      <c r="H111" s="41" t="inlineStr"/>
      <c r="I111" s="41" t="inlineStr"/>
    </row>
    <row r="112" ht="30" customHeight="1">
      <c r="A112" s="35" t="n"/>
      <c r="B112" s="36" t="inlineStr">
        <is>
          <t>12:45</t>
        </is>
      </c>
      <c r="C112" s="37" t="inlineStr">
        <is>
          <t>13:45</t>
        </is>
      </c>
      <c r="D112" s="38" t="inlineStr">
        <is>
          <t>Solo JP</t>
        </is>
      </c>
      <c r="E112" s="39" t="inlineStr">
        <is>
          <t>★ ALMUERZO EN STONE ST — 10 min a pie desde el museo, hacia el sureste. Calle adoquinada peatonal de 1660, la traza holandesa que sobrevivió al fuego de 1835: mesas afuera, sin autos, entre edificios de piedra. Se come rápido y se sigue: One World es a las 13:45 y son 12 min de vuelta. Plan B si llueve o no hay mesa: Hudson Eats o Le District en Brookfield Place, cruzando West St.</t>
        </is>
      </c>
      <c r="F112" s="37" t="inlineStr">
        <is>
          <t>Stone St</t>
        </is>
      </c>
      <c r="G112" s="40" t="inlineStr">
        <is>
          <t>🚶 ~14 min a pie · 1.1 km · estimado</t>
        </is>
      </c>
      <c r="H112" s="41" t="inlineStr"/>
      <c r="I112" s="41" t="inlineStr"/>
    </row>
    <row r="113" ht="30" customHeight="1">
      <c r="A113" s="35" t="n"/>
      <c r="B113" s="42" t="inlineStr">
        <is>
          <t>13:45</t>
        </is>
      </c>
      <c r="C113" s="43" t="inlineStr">
        <is>
          <t>15:15</t>
        </is>
      </c>
      <c r="D113" s="44" t="inlineStr">
        <is>
          <t>Solo JP</t>
        </is>
      </c>
      <c r="E113" s="45" t="inlineStr">
        <is>
          <t>★★ ONE WORLD OBSERVATORY — piso 102, el punto más alto del hemisferio occidental, con el puerto y Brooklyn dominando la vista. $44+fee, ventana de entrada de 15 min: sacar el timed ticket online. JP lo subió a 2 en la última pasada.</t>
        </is>
      </c>
      <c r="F113" s="43" t="inlineStr">
        <is>
          <t>One World Observatory</t>
        </is>
      </c>
      <c r="G113" s="40" t="inlineStr">
        <is>
          <t>🚶 ~20 min a pie (1.2 km) o 🚇 ~15 min · estimado</t>
        </is>
      </c>
      <c r="H113" s="41" t="inlineStr"/>
      <c r="I113" s="41" t="inlineStr"/>
    </row>
    <row r="114" ht="30" customHeight="1">
      <c r="A114" s="35" t="n"/>
      <c r="B114" s="36" t="inlineStr">
        <is>
          <t>15:15</t>
        </is>
      </c>
      <c r="C114" s="37" t="inlineStr">
        <is>
          <t>16:00</t>
        </is>
      </c>
      <c r="D114" s="38" t="inlineStr">
        <is>
          <t>Solo JP</t>
        </is>
      </c>
      <c r="E114" s="39" t="inlineStr">
        <is>
          <t>El Oculus en un VISTAZO (5 min — ya estás ahí, y el tiempo no da para más) y R/W desde Cortlandt St hacia el norte.</t>
        </is>
      </c>
      <c r="F114" s="37" t="inlineStr">
        <is>
          <t>Oculus / WTC Transportation Hub</t>
        </is>
      </c>
      <c r="G114" s="40" t="inlineStr">
        <is>
          <t>🚶 ~4 min a pie · 0.3 km · estimado</t>
        </is>
      </c>
      <c r="H114" s="41" t="inlineStr"/>
      <c r="I114" s="41" t="inlineStr"/>
    </row>
    <row r="115" ht="30" customHeight="1">
      <c r="A115" s="35" t="n"/>
      <c r="B115" s="42" t="inlineStr">
        <is>
          <t>16:00</t>
        </is>
      </c>
      <c r="C115" s="43" t="inlineStr">
        <is>
          <t>16:30</t>
        </is>
      </c>
      <c r="D115" s="44" t="inlineStr">
        <is>
          <t>Ambos</t>
        </is>
      </c>
      <c r="E115" s="45" t="inlineStr">
        <is>
          <t>★ ENCUENTRO CON THAIS. Lo que MÁS rinde: verse DIRECTO en la puerta del MoMI a las 16:20 (36-01 35 Ave, N/W hasta 36 Av) — cada uno llega por su lado y el museo gana 10-15 min. Si prefieren encontrarse antes en Manhattan: Lexington Av-59 St 16:00 y N/W juntos (JP puede llegar 16:05-16:10 si el WTC se estiró: avisale que es ±10).</t>
        </is>
      </c>
      <c r="F115" s="43" t="inlineStr"/>
      <c r="G115" s="40" t="inlineStr"/>
      <c r="H115" s="41" t="inlineStr"/>
      <c r="I115" s="41" t="inlineStr"/>
    </row>
    <row r="116" ht="30" customHeight="1">
      <c r="A116" s="35" t="n"/>
      <c r="B116" s="42" t="inlineStr">
        <is>
          <t>16:30</t>
        </is>
      </c>
      <c r="C116" s="43" t="inlineStr">
        <is>
          <t>18:05</t>
        </is>
      </c>
      <c r="D116" s="44" t="inlineStr">
        <is>
          <t>Ambos</t>
        </is>
      </c>
      <c r="E116" s="45" t="inlineStr">
        <is>
          <t>★★ MUSEUM OF THE MOVING IMAGE — GRATIS los jueves 14-18, sus únicas horas del jueves. RECUPERADO: había quedado afuera del plan y ustedes lo tienen 2/2. Una hora y media alcanza para Behind the Screen y los Muppets originales de Jim Henson. Cierra 18:00 EN PUNTO. (N/W hasta 36 Av + 8 min a pie.)</t>
        </is>
      </c>
      <c r="F116" s="43" t="inlineStr">
        <is>
          <t>Museum of the Moving Image</t>
        </is>
      </c>
      <c r="G116" s="40" t="inlineStr">
        <is>
          <t>🚇 ~40 min en subte · 11.5 km (a pie 155 min) · estimado</t>
        </is>
      </c>
      <c r="H116" s="41" t="inlineStr"/>
      <c r="I116" s="41" t="inlineStr"/>
    </row>
    <row r="117" ht="16" customHeight="1">
      <c r="A117" s="35" t="n"/>
      <c r="B117" s="36" t="inlineStr">
        <is>
          <t>18:05</t>
        </is>
      </c>
      <c r="C117" s="37" t="inlineStr">
        <is>
          <t>18:55</t>
        </is>
      </c>
      <c r="D117" s="38" t="inlineStr">
        <is>
          <t>Ambos</t>
        </is>
      </c>
      <c r="E117" s="39" t="inlineStr">
        <is>
          <t>Subte N/W desde 36 Av hasta Times Sq y 1/2/3 hasta 72 St (~45 min).</t>
        </is>
      </c>
      <c r="F117" s="37" t="inlineStr"/>
      <c r="G117" s="40" t="inlineStr"/>
      <c r="H117" s="41" t="inlineStr"/>
      <c r="I117" s="41" t="inlineStr"/>
    </row>
    <row r="118" ht="16" customHeight="1">
      <c r="A118" s="35" t="n"/>
      <c r="B118" s="36" t="inlineStr">
        <is>
          <t>18:55</t>
        </is>
      </c>
      <c r="C118" s="37" t="inlineStr">
        <is>
          <t>19:15</t>
        </is>
      </c>
      <c r="D118" s="38" t="inlineStr">
        <is>
          <t>Ambos</t>
        </is>
      </c>
      <c r="E118" s="39" t="inlineStr">
        <is>
          <t>The Beacon: check-in formal y subir las maletas.</t>
        </is>
      </c>
      <c r="F118" s="37" t="inlineStr">
        <is>
          <t>Hotel The Beacon (3-6 sep)</t>
        </is>
      </c>
      <c r="G118" s="40" t="inlineStr"/>
      <c r="H118" s="41" t="inlineStr"/>
      <c r="I118" s="41" t="inlineStr"/>
    </row>
    <row r="119" ht="30" customHeight="1">
      <c r="A119" s="35" t="n"/>
      <c r="B119" s="36" t="inlineStr">
        <is>
          <t>19:15</t>
        </is>
      </c>
      <c r="C119" s="37" t="inlineStr">
        <is>
          <t>19:55</t>
        </is>
      </c>
      <c r="D119" s="38" t="inlineStr">
        <is>
          <t>Ambos</t>
        </is>
      </c>
      <c r="E119" s="39" t="inlineStr">
        <is>
          <t>Cena RÁPIDA en el Upper West Side, bajando por Broadway o Columbus. Hoy se come temprano y liviano: la noche tiene tres paradas y todas valen.</t>
        </is>
      </c>
      <c r="F119" s="37" t="inlineStr"/>
      <c r="G119" s="40" t="inlineStr"/>
      <c r="H119" s="41" t="inlineStr"/>
      <c r="I119" s="41" t="inlineStr"/>
    </row>
    <row r="120" ht="30" customHeight="1">
      <c r="A120" s="35" t="n"/>
      <c r="B120" s="42" t="inlineStr">
        <is>
          <t>19:55</t>
        </is>
      </c>
      <c r="C120" s="43" t="inlineStr">
        <is>
          <t>20:20</t>
        </is>
      </c>
      <c r="D120" s="44" t="inlineStr">
        <is>
          <t>Ambos</t>
        </is>
      </c>
      <c r="E120" s="45" t="inlineStr">
        <is>
          <t>★ LINCOLN CENTER DE NOCHE (gratis, 20 min) — OJO, VERIFICADO el 27/8 y cambia lo que van a encontrar: esta noche la Josie Robertson Plaza NO está tranquila. El Met proyecta Tristan und Isolde (actos II y III) a las 20:00 en pantalla gigante, gratis y sin reserva, y despejan la plaza desde las 18:00 para armar 2.500 sillas. O sea: llegan justo cuando se está llenando. La fuente y los chandeliers siguen ahí, pero con multitud y pantalla. Puede ser mejor que el plan original —hay ambiente de estreno— o puede ser un quilombo: decidan en el momento. Si prefieren el Lincoln Center vacío, el espejo de agua con el Henry Moore está del lado norte, detrás del Vivian Beaumont, y ahí no hay nadie.</t>
        </is>
      </c>
      <c r="F120" s="43" t="inlineStr">
        <is>
          <t>Lincoln Center (campus y plaza)</t>
        </is>
      </c>
      <c r="G120" s="40" t="inlineStr">
        <is>
          <t>🚶 ~20 min a pie (1.3 km) o 🚇 ~15 min · estimado</t>
        </is>
      </c>
      <c r="H120" s="41" t="inlineStr"/>
      <c r="I120" s="41" t="inlineStr"/>
    </row>
    <row r="121" ht="16" customHeight="1">
      <c r="A121" s="35" t="n"/>
      <c r="B121" s="36" t="inlineStr">
        <is>
          <t>20:20</t>
        </is>
      </c>
      <c r="C121" s="37" t="inlineStr">
        <is>
          <t>20:30</t>
        </is>
      </c>
      <c r="D121" s="38" t="inlineStr">
        <is>
          <t>Ambos</t>
        </is>
      </c>
      <c r="E121" s="39" t="inlineStr">
        <is>
          <t>Caminar seis cuadras por Broadway hasta Columbus Circle (~8 min).</t>
        </is>
      </c>
      <c r="F121" s="37" t="inlineStr"/>
      <c r="G121" s="40" t="inlineStr"/>
      <c r="H121" s="41" t="inlineStr"/>
      <c r="I121" s="41" t="inlineStr"/>
    </row>
    <row r="122" ht="30" customHeight="1">
      <c r="A122" s="35" t="n"/>
      <c r="B122" s="42" t="inlineStr">
        <is>
          <t>20:30</t>
        </is>
      </c>
      <c r="C122" s="43" t="inlineStr">
        <is>
          <t>20:55</t>
        </is>
      </c>
      <c r="D122" s="44" t="inlineStr">
        <is>
          <t>Ambos</t>
        </is>
      </c>
      <c r="E122" s="45" t="inlineStr">
        <is>
          <t>★★ MO LOUNGE, PISO 35 DEL MANDARIN ORIENTAL (80 Columbus Circle) — el dato del amigo de Juan, con una corrección: es el piso 35, no el 60 (el hotel ocupa del 35 al 54). Ventanales de piso a techo sobre Central Park con la ciudad encendida abajo. Coctel ~$26-32, sin cover. RESERVAR por SevenRooms desde su web. Si prefieren algo más íntimo, en ese MISMO piso está The Bar (ex speakeasy The Office, 45 asientos, mar-sáb 17-1h).</t>
        </is>
      </c>
      <c r="F122" s="43" t="inlineStr">
        <is>
          <t>MO Lounge — Mandarin Oriental (piso 35)</t>
        </is>
      </c>
      <c r="G122" s="40" t="inlineStr"/>
      <c r="H122" s="41" t="inlineStr"/>
      <c r="I122" s="41" t="inlineStr"/>
    </row>
    <row r="123" ht="30" customHeight="1">
      <c r="A123" s="35" t="n"/>
      <c r="B123" s="36" t="inlineStr">
        <is>
          <t>20:55</t>
        </is>
      </c>
      <c r="C123" s="37" t="inlineStr">
        <is>
          <t>21:00</t>
        </is>
      </c>
      <c r="D123" s="38" t="inlineStr">
        <is>
          <t>Ambos</t>
        </is>
      </c>
      <c r="E123" s="39" t="inlineStr">
        <is>
          <t>Bajar en ascensor: Dizzy's está EN EL MISMO EDIFICIO (10 Columbus Circle, piso 5). Cero calle, cero frío.</t>
        </is>
      </c>
      <c r="F123" s="37" t="inlineStr"/>
      <c r="G123" s="40" t="inlineStr"/>
      <c r="H123" s="41" t="inlineStr"/>
      <c r="I123" s="41" t="inlineStr"/>
    </row>
    <row r="124" ht="30" customHeight="1">
      <c r="A124" s="35" t="n"/>
      <c r="B124" s="36" t="inlineStr">
        <is>
          <t>21:00</t>
        </is>
      </c>
      <c r="C124" s="37" t="inlineStr"/>
      <c r="D124" s="38" t="inlineStr">
        <is>
          <t>Ambos</t>
        </is>
      </c>
      <c r="E124" s="39" t="inlineStr">
        <is>
          <t>★ Dizzy's Club — ventanales sobre Central Park detrás del escenario, un piso abajo del cóctel. SEAMOS HONESTOS: JP lleva ~17 horas en pie con 5 de sueño. Decidan A LAS 20:00, arriba en el Mandarin: si están enteros, bajan; si no, se quedan con la vista y el trago, que ya es un cierre precioso. El set Late Night (~22:45) cuesta una fracción — variante para valientes.</t>
        </is>
      </c>
      <c r="F124" s="37" t="inlineStr">
        <is>
          <t>Dizzy's Club (Jazz at Lincoln Center)</t>
        </is>
      </c>
      <c r="G124" s="40" t="inlineStr"/>
      <c r="H124" s="41" t="inlineStr"/>
      <c r="I124" s="41" t="inlineStr"/>
    </row>
    <row r="125" ht="32" customHeight="1">
      <c r="A125" s="46" t="inlineStr">
        <is>
          <t>ALTERNATIVA / OJO:  ⚠️ EL PROBLEMA DE LA NOCHE ANTERIOR: si JP viaja desde New Jersey el jueves, significa que durmió allá el miércoles — y el miércoles el SummerStage termina a las 22:00 en Central Park. Llegando a Penn ~22:25 se toma el directo de las 22:48, que deja en Raritan ~0:04, más Uber: llegada al hotel ~0:25 y despertador a las 5:45. Son cinco horas de sueño antes de un día completo. Tres salidas: (a) salir del SummerStage a las 21:15, después del set principal; (b) quedarse una noche más en el JGStay y que Thais lleve las maletas el jueves (implica tocar la reserva); (c) tomar el tren de las 7:13 en vez del de 6:55 y arrancar 20 minutos más tarde. Verificá los horarios exactos de la tarde-noche en njtransit.com: solo tengo confirmado el directo de las 22:48. // EL FERRY, SI LES DUELE (lo tienen 2/2): al salir del MoMI, W directo hasta Whitehall (~50 min), ferry ~19:15 — el atardecer (~19:22) de ida y la Estatua y el skyline ILUMINADOS de vuelta; check-in ~21:15, cena tarde cerca del hotel, y Dizzy's tiene set Late Night los jueves ~22:45 como consuelo. Es MÁS día: elíjanlo solo si llegan enteros. // Siguen afuera: MoMA PS1, Astoria y Gantry (sin hueco); ya habían salido Noguchi, Astoria Park y Socrates por interés bajo.</t>
        </is>
      </c>
    </row>
    <row r="127" ht="22" customHeight="1">
      <c r="A127" s="33" t="inlineStr">
        <is>
          <t>DÍA 7 · Viernes 04/09 · Vessel + High Line, SUMMIT al atardecer y el VANGUARD de a dos  —  base: The Beacon  ·  Ambos</t>
        </is>
      </c>
    </row>
    <row r="128" ht="32" customHeight="1">
      <c r="A128" s="34" t="inlineStr">
        <is>
          <t>Salieron el West Village, Washington Square y el Whitney; entraron el High Line, THE VESSEL (al pie del arranque, $10 y 45 min), la Morgan (hoy GRATIS 17-20) y SUMMIT — que se movió AL ATARDECER por el pedido de ustedes: entrada 18:10, luz plena, la puesta ~19:21 multiplicada por los espejos de Kusama (es EL lugar de la ciudad para ese momento) y la noche encendida hasta las 20:15. EL PAGO, dicho honesto: la Morgan se hace en una hora entrando 17:00 en punto, y la cena de hoy es un bocado rápido — por eso el almuerzo en Chelsea Market es EL fuerte del día. SALIÓ GRAND CENTRAL: estaba a las 16:20 con el argumento de que JP ya lo vio el lunes y Thais no — pero ella lo tiene en 0, así que eran 40 minutos para alguien que no lo quiere. Sin esa parada tampoco hace falta cortar Chelsea a las 15:50: se sale 16:25 derecho a la Morgan y la tarde de galerías y almuerzo gana una hora larga.</t>
        </is>
      </c>
    </row>
    <row r="129" ht="16" customHeight="1">
      <c r="A129" s="35" t="n"/>
      <c r="B129" s="36" t="inlineStr">
        <is>
          <t>09:15</t>
        </is>
      </c>
      <c r="C129" s="37" t="inlineStr">
        <is>
          <t>09:40</t>
        </is>
      </c>
      <c r="D129" s="38" t="inlineStr">
        <is>
          <t>Ambos</t>
        </is>
      </c>
      <c r="E129" s="39" t="inlineStr">
        <is>
          <t>Subte a Hudson Yards.</t>
        </is>
      </c>
      <c r="F129" s="37" t="inlineStr"/>
      <c r="G129" s="40" t="inlineStr"/>
      <c r="H129" s="41" t="inlineStr"/>
      <c r="I129" s="41" t="inlineStr"/>
    </row>
    <row r="130" ht="30" customHeight="1">
      <c r="A130" s="35" t="n"/>
      <c r="B130" s="36" t="inlineStr">
        <is>
          <t>09:40</t>
        </is>
      </c>
      <c r="C130" s="37" t="inlineStr">
        <is>
          <t>10:00</t>
        </is>
      </c>
      <c r="D130" s="38" t="inlineStr">
        <is>
          <t>Ambos</t>
        </is>
      </c>
      <c r="E130" s="39" t="inlineStr">
        <is>
          <t>La plaza de Hudson Yards mientras abre el Vessel: The Shops y el Shed desde afuera. Sacar el timed ticket de las 10:00 online antes.</t>
        </is>
      </c>
      <c r="F130" s="37" t="inlineStr"/>
      <c r="G130" s="40" t="inlineStr"/>
      <c r="H130" s="41" t="inlineStr"/>
      <c r="I130" s="41" t="inlineStr"/>
    </row>
    <row r="131" ht="30" customHeight="1">
      <c r="A131" s="35" t="n"/>
      <c r="B131" s="42" t="inlineStr">
        <is>
          <t>10:00</t>
        </is>
      </c>
      <c r="C131" s="43" t="inlineStr">
        <is>
          <t>10:50</t>
        </is>
      </c>
      <c r="D131" s="44" t="inlineStr">
        <is>
          <t>Ambos</t>
        </is>
      </c>
      <c r="E131" s="45" t="inlineStr">
        <is>
          <t>★ THE VESSEL — la escalera infinita de Heatherwick: 154 tramos, 2.500 escalones, $10. Reabierto con redes; algunos tramos altos hacia el Hudson siguen cerrados, y hay ascensor cada 15 min. Subir es la única forma de entenderla. Si Thais prefiere no subir, la plaza está al pie.</t>
        </is>
      </c>
      <c r="F131" s="43" t="inlineStr">
        <is>
          <t>The Vessel</t>
        </is>
      </c>
      <c r="G131" s="40" t="inlineStr"/>
      <c r="H131" s="41" t="inlineStr"/>
      <c r="I131" s="41" t="inlineStr"/>
    </row>
    <row r="132" ht="30" customHeight="1">
      <c r="A132" s="35" t="n"/>
      <c r="B132" s="42" t="inlineStr">
        <is>
          <t>10:50</t>
        </is>
      </c>
      <c r="C132" s="43" t="inlineStr">
        <is>
          <t>12:20</t>
        </is>
      </c>
      <c r="D132" s="44" t="inlineStr">
        <is>
          <t>Ambos</t>
        </is>
      </c>
      <c r="E132" s="45" t="inlineStr">
        <is>
          <t>★ THE HIGH LINE completo, de norte a sur (2,3 km) — arranca ahí mismo, en 30th y 10ª. Vía ferroviaria elevada convertida en parque lineal. Incluye el Buda de arenisca de 9 metros de Tuan Andrew Nguyen.</t>
        </is>
      </c>
      <c r="F132" s="43" t="inlineStr">
        <is>
          <t>The High Line</t>
        </is>
      </c>
      <c r="G132" s="40" t="inlineStr">
        <is>
          <t>🚶 ~12 min a pie · 0.9 km · estimado</t>
        </is>
      </c>
      <c r="H132" s="41" t="inlineStr"/>
      <c r="I132" s="41" t="inlineStr"/>
    </row>
    <row r="133" ht="30" customHeight="1">
      <c r="A133" s="35" t="n"/>
      <c r="B133" s="36" t="inlineStr">
        <is>
          <t>12:20</t>
        </is>
      </c>
      <c r="C133" s="37" t="inlineStr">
        <is>
          <t>13:00</t>
        </is>
      </c>
      <c r="D133" s="38" t="inlineStr">
        <is>
          <t>Ambos</t>
        </is>
      </c>
      <c r="E133" s="39" t="inlineStr">
        <is>
          <t>Little Island — el parque flotante de Heatherwick sobre 132 macetas de hormigón, al final del High Line. Gratis.</t>
        </is>
      </c>
      <c r="F133" s="37" t="inlineStr">
        <is>
          <t>Little Island</t>
        </is>
      </c>
      <c r="G133" s="40" t="inlineStr">
        <is>
          <t>🚶 ~15 min a pie · 1.1 km · estimado</t>
        </is>
      </c>
      <c r="H133" s="41" t="inlineStr"/>
      <c r="I133" s="41" t="inlineStr"/>
    </row>
    <row r="134" ht="30" customHeight="1">
      <c r="A134" s="35" t="n"/>
      <c r="B134" s="42" t="inlineStr">
        <is>
          <t>13:00</t>
        </is>
      </c>
      <c r="C134" s="43" t="inlineStr">
        <is>
          <t>14:30</t>
        </is>
      </c>
      <c r="D134" s="44" t="inlineStr">
        <is>
          <t>Ambos</t>
        </is>
      </c>
      <c r="E134" s="45" t="inlineStr">
        <is>
          <t>Galerías de Chelsea COMPLETAS — W 19th a W 27th entre la 10ª y la 11ª, concentradas en W 24th y W 21st (Gagosian, Pace, Zwirner). Gratis, se entra y se sale. El recorte del Vessel se devolvió: SUMMIT pasó al atardecer y la tarde se estiró.</t>
        </is>
      </c>
      <c r="F134" s="43" t="inlineStr"/>
      <c r="G134" s="40" t="inlineStr"/>
      <c r="H134" s="41" t="inlineStr"/>
      <c r="I134" s="41" t="inlineStr"/>
    </row>
    <row r="135" ht="30" customHeight="1">
      <c r="A135" s="35" t="n"/>
      <c r="B135" s="36" t="inlineStr">
        <is>
          <t>14:30</t>
        </is>
      </c>
      <c r="C135" s="37" t="inlineStr">
        <is>
          <t>16:25</t>
        </is>
      </c>
      <c r="D135" s="38" t="inlineStr">
        <is>
          <t>Ambos</t>
        </is>
      </c>
      <c r="E135" s="39" t="inlineStr">
        <is>
          <t>Almuerzo en Chelsea Market — COMER FUERTE: es la comida grande del día, la cena de hoy es un bocado rápido entre el SUMMIT y el Vanguard. Los Tacos No.1 o Very Fresh Noodles. Ahora hay casi DOS HORAS: sin apuro, y si quedaron galerías de Chelsea sin ver, se vuelve. ★ HEATONIST está ADENTRO de este mismo mercado (12-18:45): más de 100 salsas picantes para probar, con el lineup de Hot Ones. Si el sábado no llegan a la de Williamsburg, esta es la misma cata en menos metros.</t>
        </is>
      </c>
      <c r="F135" s="37" t="inlineStr">
        <is>
          <t>Chelsea Market</t>
        </is>
      </c>
      <c r="G135" s="40" t="inlineStr">
        <is>
          <t>🚶 ~7 min a pie · 0.5 km · estimado</t>
        </is>
      </c>
      <c r="H135" s="41" t="inlineStr"/>
      <c r="I135" s="41" t="inlineStr"/>
    </row>
    <row r="136" ht="30" customHeight="1">
      <c r="A136" s="35" t="n"/>
      <c r="B136" s="36" t="inlineStr">
        <is>
          <t>16:25</t>
        </is>
      </c>
      <c r="C136" s="37" t="inlineStr">
        <is>
          <t>17:00</t>
        </is>
      </c>
      <c r="D136" s="38" t="inlineStr">
        <is>
          <t>Ambos</t>
        </is>
      </c>
      <c r="E136" s="39" t="inlineStr">
        <is>
          <t>A la Morgan: L desde 14 St-8 Av hasta Union Sq y 6 hasta 33 St, o A/C/E hasta 34 St-Penn y siete cuadras a pie (~30 min). Salir 16:25 deja margen para entrar 17:00 EN PUNTO.</t>
        </is>
      </c>
      <c r="F136" s="37" t="inlineStr"/>
      <c r="G136" s="40" t="inlineStr"/>
      <c r="H136" s="41" t="inlineStr"/>
      <c r="I136" s="41" t="inlineStr"/>
    </row>
    <row r="137" ht="30" customHeight="1">
      <c r="A137" s="35" t="n"/>
      <c r="B137" s="42" t="inlineStr">
        <is>
          <t>17:00</t>
        </is>
      </c>
      <c r="C137" s="43" t="inlineStr">
        <is>
          <t>18:00</t>
        </is>
      </c>
      <c r="D137" s="44" t="inlineStr">
        <is>
          <t>Ambos</t>
        </is>
      </c>
      <c r="E137" s="45" t="inlineStr">
        <is>
          <t>★ MORGAN LIBRARY — GRATIS los viernes 17-20h: entrar 17:00 EN PUNTO y hacerla en una hora — la biblioteca son tres salas gloriosas (estanterías de nogal, la Biblia de Gutenberg): alcanza. RESERVA OBLIGATORIA, se libera el viernes 28 de agosto. Está a 8 min a pie de One Vanderbilt.</t>
        </is>
      </c>
      <c r="F137" s="43" t="inlineStr">
        <is>
          <t>The Morgan Library &amp; Museum</t>
        </is>
      </c>
      <c r="G137" s="40" t="inlineStr"/>
      <c r="H137" s="41" t="inlineStr"/>
      <c r="I137" s="41" t="inlineStr"/>
    </row>
    <row r="138" ht="16" customHeight="1">
      <c r="A138" s="35" t="n"/>
      <c r="B138" s="36" t="inlineStr">
        <is>
          <t>18:00</t>
        </is>
      </c>
      <c r="C138" s="37" t="inlineStr">
        <is>
          <t>18:10</t>
        </is>
      </c>
      <c r="D138" s="38" t="inlineStr">
        <is>
          <t>Ambos</t>
        </is>
      </c>
      <c r="E138" s="39" t="inlineStr">
        <is>
          <t>Caminar las seis cuadras de la Morgan a One Vanderbilt (~8-10 min).</t>
        </is>
      </c>
      <c r="F138" s="37" t="inlineStr"/>
      <c r="G138" s="40" t="inlineStr"/>
      <c r="H138" s="41" t="inlineStr"/>
      <c r="I138" s="41" t="inlineStr"/>
    </row>
    <row r="139" ht="30" customHeight="1">
      <c r="A139" s="35" t="n"/>
      <c r="B139" s="42" t="inlineStr">
        <is>
          <t>18:10</t>
        </is>
      </c>
      <c r="C139" s="43" t="inlineStr">
        <is>
          <t>20:20</t>
        </is>
      </c>
      <c r="D139" s="44" t="inlineStr">
        <is>
          <t>Ambos</t>
        </is>
      </c>
      <c r="E139" s="45" t="inlineStr">
        <is>
          <t>★★ SUMMIT ONE VANDERBILT — EL ARCO COMPLETO: entrada 18:10 con luz, el atardecer ~19:21 multiplicado por los espejos infinitos de Kusama, y la noche encendida hasta ~20:15. Ticket ATARDECER $57-63 — es la franja que primero se agota: reservar YA. NO está en ningún pase.</t>
        </is>
      </c>
      <c r="F139" s="43" t="inlineStr">
        <is>
          <t>SUMMIT One Vanderbilt</t>
        </is>
      </c>
      <c r="G139" s="40" t="inlineStr"/>
      <c r="H139" s="41" t="inlineStr"/>
      <c r="I139" s="41" t="inlineStr"/>
    </row>
    <row r="140" ht="30" customHeight="1">
      <c r="A140" s="35" t="n"/>
      <c r="B140" s="36" t="inlineStr">
        <is>
          <t>20:20</t>
        </is>
      </c>
      <c r="C140" s="37" t="inlineStr">
        <is>
          <t>20:50</t>
        </is>
      </c>
      <c r="D140" s="38" t="inlineStr">
        <is>
          <t>Ambos</t>
        </is>
      </c>
      <c r="E140" s="39" t="inlineStr">
        <is>
          <t>Bajar AL VILLAGE PRIMERO y cenar allá: 4/5/6 o 7 hasta 14 St-Union Sq y 1 hasta Christopher St (~25 min). Cenar cerca de Grand Central y bajar después llega justo; hacerlo al revés deja margen.</t>
        </is>
      </c>
      <c r="F140" s="37" t="inlineStr"/>
      <c r="G140" s="40" t="inlineStr"/>
      <c r="H140" s="41" t="inlineStr"/>
      <c r="I140" s="41" t="inlineStr"/>
    </row>
    <row r="141" ht="30" customHeight="1">
      <c r="A141" s="35" t="n"/>
      <c r="B141" s="36" t="inlineStr">
        <is>
          <t>20:50</t>
        </is>
      </c>
      <c r="C141" s="37" t="inlineStr">
        <is>
          <t>21:30</t>
        </is>
      </c>
      <c r="D141" s="38" t="inlineStr">
        <is>
          <t>Ambos</t>
        </is>
      </c>
      <c r="E141" s="39" t="inlineStr">
        <is>
          <t>Cena en el West Village, a cinco minutos del club. El Vanguard NO sirve NADA de comida (lo dicen así: 'ni un maní') y no se permite entrar comida: lo que no cenen ahora, no se cena. 40 minutos alcanzan.</t>
        </is>
      </c>
      <c r="F141" s="37" t="inlineStr"/>
      <c r="G141" s="40" t="inlineStr"/>
      <c r="H141" s="41" t="inlineStr"/>
      <c r="I141" s="41" t="inlineStr"/>
    </row>
    <row r="142" ht="30" customHeight="1">
      <c r="A142" s="35" t="n"/>
      <c r="B142" s="36" t="inlineStr">
        <is>
          <t>21:30</t>
        </is>
      </c>
      <c r="C142" s="37" t="inlineStr">
        <is>
          <t>22:00</t>
        </is>
      </c>
      <c r="D142" s="38" t="inlineStr">
        <is>
          <t>Ambos</t>
        </is>
      </c>
      <c r="E142" s="39" t="inlineStr">
        <is>
          <t>EN LA PUERTA DEL VANGUARD a las 21:30 EN PUNTO: el acomodo del segundo set arranca a esa hora y los asientos son POR ORDEN DE LLEGADA — la entrada es General Admission, no numerada. Con 123 asientos, los diez minutos de diferencia son estar frente al piano o contra la columna. El ticket lo dice: el acomodo tardío, con entrada o sin ella, queda a criterio del encargado.</t>
        </is>
      </c>
      <c r="F142" s="37" t="inlineStr"/>
      <c r="G142" s="40" t="inlineStr"/>
      <c r="H142" s="41" t="inlineStr"/>
      <c r="I142" s="41" t="inlineStr"/>
    </row>
    <row r="143" ht="30" customHeight="1">
      <c r="A143" s="35" t="n"/>
      <c r="B143" s="42" t="inlineStr">
        <is>
          <t>22:00</t>
        </is>
      </c>
      <c r="C143" s="43" t="inlineStr"/>
      <c r="D143" s="44" t="inlineStr">
        <is>
          <t>Ambos</t>
        </is>
      </c>
      <c r="E143" s="45" t="inlineStr">
        <is>
          <t>★★ VILLAGE VANGUARD — JOHN PATITUCCI TRIO con Chris Potter y Brian Blade, SET DE LAS 22:00. Movido acá desde el martes para que vayan LOS DOS (pedido de Juan). El sótano triangular de 1935, 123 asientos, la acústica que grabó a Coltrane. ✔ ENTRADAS COMPRADAS el 26/8: 2 × General Admission $45 (#18741454 y #18741456), a nombre de Juan Pablo Garicoïts. Falta solo el mínimo de UNA CONSUMICIÓN por cabeza en la mesa (vale gaseosa, jugo o agua) — se paga ahí, aceptan tarjeta.</t>
        </is>
      </c>
      <c r="F143" s="43" t="inlineStr">
        <is>
          <t>Village Vanguard</t>
        </is>
      </c>
      <c r="G143" s="40" t="inlineStr"/>
      <c r="H143" s="41" t="inlineStr"/>
      <c r="I143" s="41" t="inlineStr"/>
    </row>
    <row r="144" ht="32" customHeight="1">
      <c r="A144" s="46" t="inlineStr">
        <is>
          <t>ALTERNATIVA / OJO:  ⚠️ OJO CON LA MAÑANA, y es nuevo: Juan hizo el HIGH LINE, LITTLE ISLAND y el VESSEL el miércoles temprano, solo. Los tres siguen en el plan de hoy porque THAIS NO LOS VIO —el Vessel además lo tienen 2/2 y es imprescindible— así que sacarlos la perjudica a ella. Decidan en el momento: si Juan la acompaña igual, el High Line de día con ella es otro paseo y no se pierde nada; si prefieren no repetir, esa mañana libera de 9:15 a 13:00 y ahí entran las galerías de Chelsea con calma, o el Whitney, que hoy es gratis de 17 a 22 pero abre 10:30. // EL CANJE DE ESTA NOCHE: para meter el Vanguard con Thais, SALIÓ BILL'S PLACE. No hay otra noche donde entre (Bill Saxton toca solo viernes y sábado, y el sábado está tomado por Peter Luger + el play + el Café Wha). Con las entradas ya compradas y sin cambios ni transferencias, el canje quedó CERRADO: Bill's Place sale del viaje. // EL WHITNEY, con los números verificados el 27/8: gratis todos los viernes de 17:00 a 22:00 (normal $30), y hoy pasan por Meatpacking, que es donde está. Coincide barrio, día y franja. El problema es el reloj y es serio: la Morgan también es hoy 17:00-20:00 y el SUMMIT entra 18:10. Meter el Whitney obliga a recortar el High Line o a soltar la Morgan, que ustedes tienen en 2 y el Whitney en 'quizás'. Si igual lo prefieren, el ticket gratis es OBLIGATORIO y hay que sacarlo antes. Si igual lo prefieren, el ticket gratis es OBLIGATORIO y el Whitney ahora cierra los martes. SI ALGO SALIERA MAL con el acomodo (llegar tarde y que no haya lugar): Mezzrow o Smalls quedan a cuatro cuadras ($25 con bebida, Smalls tiene jam de madrugada los viernes desde la 1:00), o el Blue Note — el 4 y 5 de septiembre toca Chief Adjuah.</t>
        </is>
      </c>
    </row>
    <row r="146" ht="22" customHeight="1">
      <c r="A146" s="33" t="inlineStr">
        <is>
          <t>DÍA 8 · Sábado 05/09 · Brooklyn, Peter Luger, un PLAY y Café Wha hasta la madrugada  —  base: The Beacon  ·  Ambos</t>
        </is>
      </c>
    </row>
    <row r="147" ht="32" customHeight="1">
      <c r="A147" s="34" t="inlineStr">
        <is>
          <t>La gran noche del viaje, rearmada a pedido: el musical SALIÓ y entraron un PLAY de Broadway a las 19:30 y el CAFÉ WHA a las 23:45 — el sótano del Village donde debutaron Dylan y Hendrix, con reserva gratis ya pedida por Eventbrite. La cena temprana en Peter Luger (17:00) ahora existe exactamente para esto: porterhouse → telón → medianoche de soul y funk. Frankel's sigue afuera (a un porterhouse no se llega con un pastrami encima) y Westlight sigue opcional. ⚠️ La noche termina ~1:15-1:30: el domingo no tiene NADA fijo hasta las 16:00.</t>
        </is>
      </c>
    </row>
    <row r="148" ht="30" customHeight="1">
      <c r="A148" s="35" t="n"/>
      <c r="B148" s="36" t="inlineStr">
        <is>
          <t>08:15</t>
        </is>
      </c>
      <c r="C148" s="37" t="inlineStr">
        <is>
          <t>09:00</t>
        </is>
      </c>
      <c r="D148" s="38" t="inlineStr">
        <is>
          <t>Ambos</t>
        </is>
      </c>
      <c r="E148" s="39" t="inlineStr">
        <is>
          <t>Salir 8:15: 1/2/3 desde 72 St + transbordo a A/C hasta High St son ~40-45 min REALES. Llegar temprano a DUMBO es la diferencia entre la foto y la cola de fotos.</t>
        </is>
      </c>
      <c r="F148" s="37" t="inlineStr"/>
      <c r="G148" s="40" t="inlineStr"/>
      <c r="H148" s="41" t="inlineStr"/>
      <c r="I148" s="41" t="inlineStr"/>
    </row>
    <row r="149" ht="30" customHeight="1">
      <c r="A149" s="35" t="n"/>
      <c r="B149" s="42" t="inlineStr">
        <is>
          <t>09:00</t>
        </is>
      </c>
      <c r="C149" s="43" t="inlineStr">
        <is>
          <t>10:30</t>
        </is>
      </c>
      <c r="D149" s="44" t="inlineStr">
        <is>
          <t>Ambos</t>
        </is>
      </c>
      <c r="E149" s="45" t="inlineStr">
        <is>
          <t>★ Brooklyn Bridge Park y DUMBO — muelles reconvertidos con el skyline de Lower Manhattan de frente, y la foto del Manhattan Bridge encuadrado en Washington y Water.</t>
        </is>
      </c>
      <c r="F149" s="43" t="inlineStr">
        <is>
          <t>Brooklyn Bridge Park</t>
        </is>
      </c>
      <c r="G149" s="40" t="inlineStr"/>
      <c r="H149" s="41" t="inlineStr"/>
      <c r="I149" s="41" t="inlineStr"/>
    </row>
    <row r="150" ht="16" customHeight="1">
      <c r="A150" s="35" t="n"/>
      <c r="B150" s="36" t="inlineStr">
        <is>
          <t>10:30</t>
        </is>
      </c>
      <c r="C150" s="37" t="inlineStr">
        <is>
          <t>11:15</t>
        </is>
      </c>
      <c r="D150" s="38" t="inlineStr">
        <is>
          <t>Ambos</t>
        </is>
      </c>
      <c r="E150" s="39" t="inlineStr">
        <is>
          <t>Brooklyn Heights Promenade — la postal clásica del skyline sobre el BQE.</t>
        </is>
      </c>
      <c r="F150" s="37" t="inlineStr">
        <is>
          <t>Brooklyn Heights Promenade</t>
        </is>
      </c>
      <c r="G150" s="40" t="inlineStr">
        <is>
          <t>🚶 ~8 min a pie · 0.6 km · estimado</t>
        </is>
      </c>
      <c r="H150" s="41" t="inlineStr"/>
      <c r="I150" s="41" t="inlineStr"/>
    </row>
    <row r="151" ht="30" customHeight="1">
      <c r="A151" s="35" t="n"/>
      <c r="B151" s="42" t="inlineStr">
        <is>
          <t>11:15</t>
        </is>
      </c>
      <c r="C151" s="43" t="inlineStr">
        <is>
          <t>12:45</t>
        </is>
      </c>
      <c r="D151" s="44" t="inlineStr">
        <is>
          <t>Ambos</t>
        </is>
      </c>
      <c r="E151" s="45" t="inlineStr">
        <is>
          <t>★ NEW YORK TRANSIT MUSEUM — una estación de subte clausurada de 1936 con 20 vagones históricos en las vías originales; se puede subir a todos. $10. Cierra lunes y martes, así que hoy es el día.</t>
        </is>
      </c>
      <c r="F151" s="43" t="inlineStr">
        <is>
          <t>New York Transit Museum</t>
        </is>
      </c>
      <c r="G151" s="40" t="inlineStr"/>
      <c r="H151" s="41" t="inlineStr"/>
      <c r="I151" s="41" t="inlineStr"/>
    </row>
    <row r="152" ht="16" customHeight="1">
      <c r="A152" s="35" t="n"/>
      <c r="B152" s="36" t="inlineStr">
        <is>
          <t>12:45</t>
        </is>
      </c>
      <c r="C152" s="37" t="inlineStr">
        <is>
          <t>13:45</t>
        </is>
      </c>
      <c r="D152" s="38" t="inlineStr">
        <is>
          <t>Ambos</t>
        </is>
      </c>
      <c r="E152" s="39" t="inlineStr">
        <is>
          <t>Almuerzo en Downtown Brooklyn.</t>
        </is>
      </c>
      <c r="F152" s="37" t="inlineStr"/>
      <c r="G152" s="40" t="inlineStr"/>
      <c r="H152" s="41" t="inlineStr"/>
      <c r="I152" s="41" t="inlineStr"/>
    </row>
    <row r="153" ht="16" customHeight="1">
      <c r="A153" s="35" t="n"/>
      <c r="B153" s="36" t="inlineStr">
        <is>
          <t>13:45</t>
        </is>
      </c>
      <c r="C153" s="37" t="inlineStr">
        <is>
          <t>14:15</t>
        </is>
      </c>
      <c r="D153" s="38" t="inlineStr">
        <is>
          <t>Ambos</t>
        </is>
      </c>
      <c r="E153" s="39" t="inlineStr">
        <is>
          <t>Subte a Williamsburg.</t>
        </is>
      </c>
      <c r="F153" s="37" t="inlineStr"/>
      <c r="G153" s="40" t="inlineStr"/>
      <c r="H153" s="41" t="inlineStr"/>
      <c r="I153" s="41" t="inlineStr"/>
    </row>
    <row r="154" ht="30" customHeight="1">
      <c r="A154" s="35" t="n"/>
      <c r="B154" s="42" t="inlineStr">
        <is>
          <t>14:15</t>
        </is>
      </c>
      <c r="C154" s="43" t="inlineStr">
        <is>
          <t>15:15</t>
        </is>
      </c>
      <c r="D154" s="44" t="inlineStr">
        <is>
          <t>Ambos</t>
        </is>
      </c>
      <c r="E154" s="45" t="inlineStr">
        <is>
          <t>★ Domino Park — ex refinería de azúcar; el paseo elevado pasa entre la maquinaria industrial conservada, con el Williamsburg Bridge y Midtown enfrente.</t>
        </is>
      </c>
      <c r="F154" s="43" t="inlineStr">
        <is>
          <t>Domino Park</t>
        </is>
      </c>
      <c r="G154" s="40" t="inlineStr"/>
      <c r="H154" s="41" t="inlineStr"/>
      <c r="I154" s="41" t="inlineStr"/>
    </row>
    <row r="155" ht="30" customHeight="1">
      <c r="A155" s="35" t="n"/>
      <c r="B155" s="36" t="inlineStr">
        <is>
          <t>15:15</t>
        </is>
      </c>
      <c r="C155" s="37" t="inlineStr">
        <is>
          <t>16:45</t>
        </is>
      </c>
      <c r="D155" s="38" t="inlineStr">
        <is>
          <t>Ambos</t>
        </is>
      </c>
      <c r="E155" s="39" t="inlineStr">
        <is>
          <t>Paseo por Williamsburg: Bedford Ave, disquerías y vintage. ★ ACÁ ENTRA HEATONIST (121 Wythe Ave, a una cuadra de Bedford): la tienda insignia de salsas picantes, con más de 100 para probar en el local y el lineup completo de Hot Ones. Abre 12-19 todos los días, así que a esta hora está abierta y les queda de camino al Williamsburg Bridge. OPCIONAL si quieren la panorámica: Westlight (piso 22, sin cover, un trago) — lo bajaron a 'quizás'. NO comer nada: lo que viene lo merece.</t>
        </is>
      </c>
      <c r="F155" s="37" t="inlineStr">
        <is>
          <t>HEATONIST Williamsburg</t>
        </is>
      </c>
      <c r="G155" s="40" t="inlineStr">
        <is>
          <t>🚶 ~20 min a pie (1.2 km) o 🚇 ~15 min · estimado</t>
        </is>
      </c>
      <c r="H155" s="41" t="inlineStr"/>
      <c r="I155" s="41" t="inlineStr"/>
    </row>
    <row r="156" ht="16" customHeight="1">
      <c r="A156" s="35" t="n"/>
      <c r="B156" s="36" t="inlineStr">
        <is>
          <t>16:45</t>
        </is>
      </c>
      <c r="C156" s="37" t="inlineStr">
        <is>
          <t>17:00</t>
        </is>
      </c>
      <c r="D156" s="38" t="inlineStr">
        <is>
          <t>Ambos</t>
        </is>
      </c>
      <c r="E156" s="39" t="inlineStr">
        <is>
          <t>Caminar por Bedford/Driggs hasta el pie del Williamsburg Bridge (~15 min).</t>
        </is>
      </c>
      <c r="F156" s="37" t="inlineStr"/>
      <c r="G156" s="40" t="inlineStr"/>
      <c r="H156" s="41" t="inlineStr"/>
      <c r="I156" s="41" t="inlineStr"/>
    </row>
    <row r="157" ht="30" customHeight="1">
      <c r="A157" s="35" t="n"/>
      <c r="B157" s="42" t="inlineStr">
        <is>
          <t>17:00</t>
        </is>
      </c>
      <c r="C157" s="43" t="inlineStr">
        <is>
          <t>18:45</t>
        </is>
      </c>
      <c r="D157" s="44" t="inlineStr">
        <is>
          <t>Ambos</t>
        </is>
      </c>
      <c r="E157" s="45" t="inlineStr">
        <is>
          <t>★★ PETER LUGER (178 Broadway) — el porterhouse for two de 1887, dry-aged en el sótano, con la tocineta gruesa de entrada. ~$160-200 los dos con sides y propina. ⚠️ SIN TARJETAS DE CRÉDITO: efectivo, débito US o cheque — llevar cash. Cena temprana a propósito: el teatro espera. RESERVA EN RESY YA.</t>
        </is>
      </c>
      <c r="F157" s="43" t="inlineStr">
        <is>
          <t>Peter Luger Steak House</t>
        </is>
      </c>
      <c r="G157" s="40" t="inlineStr"/>
      <c r="H157" s="41" t="inlineStr"/>
      <c r="I157" s="41" t="inlineStr"/>
    </row>
    <row r="158" ht="30" customHeight="1">
      <c r="A158" s="35" t="n"/>
      <c r="B158" s="36" t="inlineStr">
        <is>
          <t>18:45</t>
        </is>
      </c>
      <c r="C158" s="37" t="inlineStr">
        <is>
          <t>19:30</t>
        </is>
      </c>
      <c r="D158" s="38" t="inlineStr">
        <is>
          <t>Ambos</t>
        </is>
      </c>
      <c r="E158" s="39" t="inlineStr">
        <is>
          <t>A la zona de teatros: subte J desde Marcy Av hasta Essex St y F hasta 42 St-Bryant Park (~35 min con transbordo), o directamente Uber al teatro (~20-25 min, $25-35 — un sábado a la noche el puente puede estar cargado).</t>
        </is>
      </c>
      <c r="F158" s="37" t="inlineStr"/>
      <c r="G158" s="40" t="inlineStr"/>
      <c r="H158" s="41" t="inlineStr"/>
      <c r="I158" s="41" t="inlineStr"/>
    </row>
    <row r="159" ht="30" customHeight="1">
      <c r="A159" s="35" t="n"/>
      <c r="B159" s="42" t="inlineStr">
        <is>
          <t>19:30</t>
        </is>
      </c>
      <c r="C159" s="43" t="inlineStr">
        <is>
          <t>22:00</t>
        </is>
      </c>
      <c r="D159" s="44" t="inlineStr">
        <is>
          <t>Ambos</t>
        </is>
      </c>
      <c r="E159" s="45" t="inlineStr">
        <is>
          <t>★★ PLAY DE BROADWAY — mi recomendación: STRANGER THINGS: THE FIRST SHADOW (Marquis, desde ~$76): la maquinaria escénica que ganó el Tony — para quien viene de Mercer Labs, el mismo músculo llevado al teatro. Alternativas esa semana: Harry Potter and the Cursed Child, Paranormal Activity, The Imaginary Invalid. COMPRA FIRME esta semana y verificar el horario real de la función (19:00/19:30/20:00): tiene que terminar ~22:00 para lo que sigue.</t>
        </is>
      </c>
      <c r="F159" s="43" t="inlineStr">
        <is>
          <t>Stranger Things: The First Shadow (play)</t>
        </is>
      </c>
      <c r="G159" s="40" t="inlineStr"/>
      <c r="H159" s="41" t="inlineStr"/>
      <c r="I159" s="41" t="inlineStr"/>
    </row>
    <row r="160" ht="16" customHeight="1">
      <c r="A160" s="35" t="n"/>
      <c r="B160" s="36" t="inlineStr">
        <is>
          <t>22:00</t>
        </is>
      </c>
      <c r="C160" s="37" t="inlineStr">
        <is>
          <t>22:30</t>
        </is>
      </c>
      <c r="D160" s="38" t="inlineStr">
        <is>
          <t>Ambos</t>
        </is>
      </c>
      <c r="E160" s="39" t="inlineStr">
        <is>
          <t>Subte 1 desde Times Sq hasta Christopher St (~15 min) y caminar al corazón del Village.</t>
        </is>
      </c>
      <c r="F160" s="37" t="inlineStr"/>
      <c r="G160" s="40" t="inlineStr"/>
      <c r="H160" s="41" t="inlineStr"/>
      <c r="I160" s="41" t="inlineStr"/>
    </row>
    <row r="161" ht="30" customHeight="1">
      <c r="A161" s="35" t="n"/>
      <c r="B161" s="36" t="inlineStr">
        <is>
          <t>22:30</t>
        </is>
      </c>
      <c r="C161" s="37" t="inlineStr">
        <is>
          <t>23:15</t>
        </is>
      </c>
      <c r="D161" s="38" t="inlineStr">
        <is>
          <t>Ambos</t>
        </is>
      </c>
      <c r="E161" s="39" t="inlineStr">
        <is>
          <t>Paseo sin apuro por Bleecker y MacDougal — la esquina folk de los 60s de noche, un café o un trago corto. El único objetivo real: estar en la puerta del Wha a las 23:10.</t>
        </is>
      </c>
      <c r="F161" s="37" t="inlineStr"/>
      <c r="G161" s="40" t="inlineStr"/>
      <c r="H161" s="41" t="inlineStr"/>
      <c r="I161" s="41" t="inlineStr"/>
    </row>
    <row r="162" ht="30" customHeight="1">
      <c r="A162" s="35" t="n"/>
      <c r="B162" s="42" t="inlineStr">
        <is>
          <t>23:15</t>
        </is>
      </c>
      <c r="C162" s="43" t="inlineStr"/>
      <c r="D162" s="44" t="inlineStr">
        <is>
          <t>Ambos</t>
        </is>
      </c>
      <c r="E162" s="45" t="inlineStr">
        <is>
          <t>★★ CAFÉ WHA — LLEGAR 23:10-23:15: la reserva de Eventbrite NO garantiza admisión y a las 23:30 EN PUNTO liberan los asientos vacíos al standby. TODOS los de la reserva presentes. Set 2 de la house band 23:45-~1:15: soul y funk a máquina en el sótano donde debutaron Dylan, Hendrix y Springsteen. $20 por cabeza van a la cuenta + consumo. Vuelta: subte 1 Christopher St → 72 St (~25 min) o taxi.</t>
        </is>
      </c>
      <c r="F162" s="43" t="inlineStr">
        <is>
          <t>Cafe Wha?</t>
        </is>
      </c>
      <c r="G162" s="40" t="inlineStr"/>
      <c r="H162" s="41" t="inlineStr"/>
      <c r="I162" s="41" t="inlineStr"/>
    </row>
    <row r="163" ht="32" customHeight="1">
      <c r="A163" s="46" t="inlineStr">
        <is>
          <t>ALTERNATIVA / OJO:  SOBRE PETER LUGER: la mesa de las 17:00 es la realista — y ahora es la única que funciona: el play manda. PLAN B si no hay mesa: correr Peter Luger al ALMUERZO del mismo día (12:45). // SI EL CANSANCIO GANA A LAS 22:00: el Café Wha es la pieza sacrificable — la reserva es gratis y no penaliza no ir; el play, pagado, no. // Sigue afuera: Bar LunÀtico y Barbès (Bed-Stuy/Park Slope), sin noche posible.</t>
        </is>
      </c>
    </row>
    <row r="165" ht="22" customHeight="1">
      <c r="A165" s="33" t="inlineStr">
        <is>
          <t>DÍA 9 · Domingo 06/09 · Checkout, Central Park, Roosevelt Island, MoMA PS1 y vuelo  —  base: The Beacon (checkout) → EWR  ·  Ambos</t>
        </is>
      </c>
    </row>
    <row r="166" ht="32" customHeight="1">
      <c r="A166" s="34" t="inlineStr">
        <is>
          <t>El día arranca con el CHECKOUT de The Beacon: hacerlo temprano y dejar las valijas en el bell desk libera el día entero. El vuelo sale 23:40, así que hay margen — pero es el domingo del fin de semana largo de Labor Day, la noche de mayor tráfico del año, y EWR va a estar cargado. Por eso todo queda cerca y se sale con 2h45 de anticipación. EL CAMBIO DEL ÚLTIMO DÍA: entra MOMA PS1 y sale el Guggenheim. Se verificó el 27/8 que la rotonda del Guggenheim está cerrada hasta el 17/9 —no se camina la rampa, que es la razón para ir— y PS1 resultó ser gratis, abierto hasta las 18 los domingos, a 1,2 km de Roosevelt Island y con «Greater New York 2026» en pie hasta el 7/9. Era el último imprescindible que quedaba afuera del viaje. El Guggenheim queda escrito como alternativa por si cambian de idea.</t>
        </is>
      </c>
    </row>
    <row r="167" ht="30" customHeight="1">
      <c r="A167" s="35" t="n"/>
      <c r="B167" s="36" t="inlineStr">
        <is>
          <t>09:00</t>
        </is>
      </c>
      <c r="C167" s="37" t="inlineStr">
        <is>
          <t>09:45</t>
        </is>
      </c>
      <c r="D167" s="38" t="inlineStr">
        <is>
          <t>Ambos</t>
        </is>
      </c>
      <c r="E167" s="39" t="inlineStr">
        <is>
          <t>Desayuno SIN despertador temprano: anoche terminó ~1:30 en el Village y lo único con hora fija hoy es el PS1, que cierra a las 18:00. Dormir un poco más está permitido.</t>
        </is>
      </c>
      <c r="F167" s="37" t="inlineStr"/>
      <c r="G167" s="40" t="inlineStr"/>
      <c r="H167" s="41" t="inlineStr"/>
      <c r="I167" s="41" t="inlineStr"/>
    </row>
    <row r="168" ht="30" customHeight="1">
      <c r="A168" s="35" t="n"/>
      <c r="B168" s="42" t="inlineStr">
        <is>
          <t>09:45</t>
        </is>
      </c>
      <c r="C168" s="43" t="inlineStr">
        <is>
          <t>10:15</t>
        </is>
      </c>
      <c r="D168" s="44" t="inlineStr">
        <is>
          <t>Ambos</t>
        </is>
      </c>
      <c r="E168" s="45" t="inlineStr">
        <is>
          <t>★ CHECKOUT de The Beacon y dejar las valijas en el bell desk. El checkout formal suele ser 11:00-12:00, pero hacerlo antes libera el día.</t>
        </is>
      </c>
      <c r="F168" s="43" t="inlineStr">
        <is>
          <t>Hotel The Beacon (3-6 sep)</t>
        </is>
      </c>
      <c r="G168" s="40" t="inlineStr"/>
      <c r="H168" s="41" t="inlineStr"/>
      <c r="I168" s="41" t="inlineStr"/>
    </row>
    <row r="169" ht="30" customHeight="1">
      <c r="A169" s="35" t="n"/>
      <c r="B169" s="42" t="inlineStr">
        <is>
          <t>10:15</t>
        </is>
      </c>
      <c r="C169" s="43" t="inlineStr">
        <is>
          <t>12:30</t>
        </is>
      </c>
      <c r="D169" s="44" t="inlineStr">
        <is>
          <t>Ambos</t>
        </is>
      </c>
      <c r="E169" s="45" t="inlineStr">
        <is>
          <t>★ CENTRAL PARK cruzando de oeste a este: Bethesda Terrace, el Ramble, Bow Bridge. Se entra por la 72 desde Broadway, a tres cuadras del hotel.</t>
        </is>
      </c>
      <c r="F169" s="43" t="inlineStr">
        <is>
          <t>Central Park</t>
        </is>
      </c>
      <c r="G169" s="40" t="inlineStr">
        <is>
          <t>🚶 ~20 min a pie (1.5 km) o 🚇 ~15 min · estimado</t>
        </is>
      </c>
      <c r="H169" s="41" t="inlineStr"/>
      <c r="I169" s="41" t="inlineStr"/>
    </row>
    <row r="170" ht="16" customHeight="1">
      <c r="A170" s="35" t="n"/>
      <c r="B170" s="36" t="inlineStr">
        <is>
          <t>12:30</t>
        </is>
      </c>
      <c r="C170" s="37" t="inlineStr">
        <is>
          <t>13:30</t>
        </is>
      </c>
      <c r="D170" s="38" t="inlineStr">
        <is>
          <t>Ambos</t>
        </is>
      </c>
      <c r="E170" s="39" t="inlineStr">
        <is>
          <t>Almuerzo en el Upper East Side, saliendo del parque por la Quinta.</t>
        </is>
      </c>
      <c r="F170" s="37" t="inlineStr"/>
      <c r="G170" s="40" t="inlineStr"/>
      <c r="H170" s="41" t="inlineStr"/>
      <c r="I170" s="41" t="inlineStr"/>
    </row>
    <row r="171" ht="30" customHeight="1">
      <c r="A171" s="35" t="n"/>
      <c r="B171" s="36" t="inlineStr">
        <is>
          <t>13:30</t>
        </is>
      </c>
      <c r="C171" s="37" t="inlineStr">
        <is>
          <t>13:50</t>
        </is>
      </c>
      <c r="D171" s="38" t="inlineStr">
        <is>
          <t>Ambos</t>
        </is>
      </c>
      <c r="E171" s="39" t="inlineStr">
        <is>
          <t>Bajar a 59 St y 2ª Av: subte 6 desde 68 St-Hunter College (el 4/5 exprés NO para ahí), o caminando por la Quinta si el día está lindo.</t>
        </is>
      </c>
      <c r="F171" s="37" t="inlineStr"/>
      <c r="G171" s="40" t="inlineStr"/>
      <c r="H171" s="41" t="inlineStr"/>
      <c r="I171" s="41" t="inlineStr"/>
    </row>
    <row r="172" ht="30" customHeight="1">
      <c r="A172" s="35" t="n"/>
      <c r="B172" s="42" t="inlineStr">
        <is>
          <t>13:50</t>
        </is>
      </c>
      <c r="C172" s="43" t="inlineStr">
        <is>
          <t>14:25</t>
        </is>
      </c>
      <c r="D172" s="44" t="inlineStr">
        <is>
          <t>Ambos</t>
        </is>
      </c>
      <c r="E172" s="45" t="inlineStr">
        <is>
          <t>★ ROOSEVELT ISLAND TRAMWAY ($3, OMNY) — cruza el East River a 76 metros de altura con el Queensboro Bridge al lado. Es la vista de $50 por el precio de un viaje de subte.</t>
        </is>
      </c>
      <c r="F172" s="43" t="inlineStr">
        <is>
          <t>Roosevelt Island Tramway</t>
        </is>
      </c>
      <c r="G172" s="40" t="inlineStr"/>
      <c r="H172" s="41" t="inlineStr"/>
      <c r="I172" s="41" t="inlineStr"/>
    </row>
    <row r="173" ht="30" customHeight="1">
      <c r="A173" s="35" t="n"/>
      <c r="B173" s="36" t="inlineStr">
        <is>
          <t>14:25</t>
        </is>
      </c>
      <c r="C173" s="37" t="inlineStr">
        <is>
          <t>15:05</t>
        </is>
      </c>
      <c r="D173" s="38" t="inlineStr">
        <is>
          <t>Ambos</t>
        </is>
      </c>
      <c r="E173" s="39" t="inlineStr">
        <is>
          <t>FDR Four Freedoms Park — del teleférico son ~20 min a pie por el borde del río. La última obra de Louis Kahn: granito, plátanos y una sala abierta al río apuntando a Manhattan. Gratis y vacía. Se pasa por las ruinas del Smallpox Hospital.</t>
        </is>
      </c>
      <c r="F173" s="37" t="inlineStr">
        <is>
          <t>FDR Four Freedoms Park</t>
        </is>
      </c>
      <c r="G173" s="40" t="inlineStr"/>
      <c r="H173" s="41" t="inlineStr"/>
      <c r="I173" s="41" t="inlineStr"/>
    </row>
    <row r="174" ht="30" customHeight="1">
      <c r="A174" s="35" t="n"/>
      <c r="B174" s="36" t="inlineStr">
        <is>
          <t>15:05</t>
        </is>
      </c>
      <c r="C174" s="37" t="inlineStr">
        <is>
          <t>15:30</t>
        </is>
      </c>
      <c r="D174" s="38" t="inlineStr">
        <is>
          <t>Ambos</t>
        </is>
      </c>
      <c r="E174" s="39" t="inlineStr">
        <is>
          <t>SALIR 15:05 de Four Freedoms Park y caminar 15 min al norte por el borde del río hasta la ESTACIÓN DEL F, que está en el medio de la isla (Main St y Roosevelt Island Bridge). Hoy NO se vuelve en teleférico: se cruza a Queens por abajo.</t>
        </is>
      </c>
      <c r="F174" s="37" t="inlineStr"/>
      <c r="G174" s="40" t="inlineStr"/>
      <c r="H174" s="41" t="inlineStr"/>
      <c r="I174" s="41" t="inlineStr"/>
    </row>
    <row r="175" ht="30" customHeight="1">
      <c r="A175" s="35" t="n"/>
      <c r="B175" s="36" t="inlineStr">
        <is>
          <t>15:30</t>
        </is>
      </c>
      <c r="C175" s="37" t="inlineStr">
        <is>
          <t>15:45</t>
        </is>
      </c>
      <c r="D175" s="38" t="inlineStr">
        <is>
          <t>Ambos</t>
        </is>
      </c>
      <c r="E175" s="39" t="inlineStr">
        <is>
          <t>Subte F, UNA parada: Roosevelt Island → 21 St-Queensbridge (~4 min). Salir y caminar 12-15 min al sur por 21st St / Jackson Ave.</t>
        </is>
      </c>
      <c r="F175" s="37" t="inlineStr"/>
      <c r="G175" s="40" t="inlineStr"/>
      <c r="H175" s="41" t="inlineStr"/>
      <c r="I175" s="41" t="inlineStr"/>
    </row>
    <row r="176" ht="30" customHeight="1">
      <c r="A176" s="35" t="n"/>
      <c r="B176" s="42" t="inlineStr">
        <is>
          <t>15:45</t>
        </is>
      </c>
      <c r="C176" s="43" t="inlineStr">
        <is>
          <t>17:45</t>
        </is>
      </c>
      <c r="D176" s="44" t="inlineStr">
        <is>
          <t>Ambos</t>
        </is>
      </c>
      <c r="E176" s="45" t="inlineStr">
        <is>
          <t>★★ MOMA PS1 — el último imprescindible del viaje, y entra gratis. Escuela pública de 1892 reconvertida en el laboratorio del MoMA: lo que no se anima a mostrar en la Quinta Avenida. VERIFICADO el 27/8: ENTRADA GRATUITA para todos, abre domingos 12:00-18:00, y «Greater New York 2026» —la encuesta insignia de la casa, que se hace cada cinco años— sigue en pie hasta el 7 de septiembre, o sea que la agarran por un día. Más el Courtyard Commission de Precious Okoyomon al aire libre. Dos horas holgadas hasta las 17:45.</t>
        </is>
      </c>
      <c r="F176" s="43" t="inlineStr">
        <is>
          <t>MoMA PS1</t>
        </is>
      </c>
      <c r="G176" s="40" t="inlineStr"/>
      <c r="H176" s="41" t="inlineStr"/>
      <c r="I176" s="41" t="inlineStr"/>
    </row>
    <row r="177" ht="30" customHeight="1">
      <c r="A177" s="35" t="n"/>
      <c r="B177" s="36" t="inlineStr">
        <is>
          <t>17:45</t>
        </is>
      </c>
      <c r="C177" s="37" t="inlineStr">
        <is>
          <t>18:20</t>
        </is>
      </c>
      <c r="D177" s="38" t="inlineStr">
        <is>
          <t>Ambos</t>
        </is>
      </c>
      <c r="E177" s="39" t="inlineStr">
        <is>
          <t>Del PS1 al hotel: subte 7 desde Court Sq hasta Times Sq y 1/2/3 hasta 72 St, o E/M hasta 53 St (~45 min). Llegan 18:30, justo para las valijas. El vuelo no se toca.</t>
        </is>
      </c>
      <c r="F177" s="37" t="inlineStr"/>
      <c r="G177" s="40" t="inlineStr"/>
      <c r="H177" s="41" t="inlineStr"/>
      <c r="I177" s="41" t="inlineStr"/>
    </row>
    <row r="178" ht="30" customHeight="1">
      <c r="A178" s="35" t="n"/>
      <c r="B178" s="36" t="inlineStr">
        <is>
          <t>18:20</t>
        </is>
      </c>
      <c r="C178" s="37" t="inlineStr">
        <is>
          <t>18:30</t>
        </is>
      </c>
      <c r="D178" s="38" t="inlineStr">
        <is>
          <t>Ambos</t>
        </is>
      </c>
      <c r="E178" s="39" t="inlineStr">
        <is>
          <t>◇ SI PREFIEREN EL GUGGENHEIM, sigue estando y este bloque se ignora: pay-what-you-wish domingos 16:00-17:30 (mínimo $1) y entrada rebajada a $16 el resto del horario. ⚠️ PERO la rotonda está CERRADA del 3/8 al 17/9 por el montaje de Taryn Simon: no se camina la rampa —que es la razón para ir— y avisan que puede haber ruido de obra. Quedan las torres 4, 5 y 7 con «Guggenheim Pop» (Lichtenstein, Warhol, Oldenburg, Cattelan) y la colección Thannhauser. Para hacerlo: en vez de cruzar a Queens, teleférico de vuelta y subte 4/5/6 de 59 St a 86 St, y hay que salir del FDR Park 15:05 para entrar 16:00 — la ventana a voluntad va hasta las 17:30 y el museo cierra ahí.</t>
        </is>
      </c>
      <c r="F178" s="37" t="inlineStr"/>
      <c r="G178" s="40" t="inlineStr"/>
      <c r="H178" s="41" t="inlineStr"/>
      <c r="I178" s="41" t="inlineStr"/>
    </row>
    <row r="179" ht="16" customHeight="1">
      <c r="A179" s="35" t="n"/>
      <c r="B179" s="36" t="inlineStr">
        <is>
          <t>18:30</t>
        </is>
      </c>
      <c r="C179" s="37" t="inlineStr">
        <is>
          <t>19:40</t>
        </is>
      </c>
      <c r="D179" s="38" t="inlineStr">
        <is>
          <t>Ambos</t>
        </is>
      </c>
      <c r="E179" s="39" t="inlineStr">
        <is>
          <t>Retirar las valijas del bell desk. Cena tranquila cerca del hotel: es la última.</t>
        </is>
      </c>
      <c r="F179" s="37" t="inlineStr"/>
      <c r="G179" s="40" t="inlineStr"/>
      <c r="H179" s="41" t="inlineStr"/>
      <c r="I179" s="41" t="inlineStr"/>
    </row>
    <row r="180" ht="16" customHeight="1">
      <c r="A180" s="35" t="n"/>
      <c r="B180" s="36" t="inlineStr">
        <is>
          <t>19:40</t>
        </is>
      </c>
      <c r="C180" s="37" t="inlineStr">
        <is>
          <t>20:14</t>
        </is>
      </c>
      <c r="D180" s="38" t="inlineStr">
        <is>
          <t>Ambos</t>
        </is>
      </c>
      <c r="E180" s="39" t="inlineStr">
        <is>
          <t>Salir de The Beacon. Subte 1/2/3 desde 72 St hasta 34 St-Penn Station: ~10 min, $3.</t>
        </is>
      </c>
      <c r="F180" s="37" t="inlineStr"/>
      <c r="G180" s="40" t="inlineStr"/>
      <c r="H180" s="41" t="inlineStr"/>
      <c r="I180" s="41" t="inlineStr"/>
    </row>
    <row r="181" ht="30" customHeight="1">
      <c r="A181" s="35" t="n"/>
      <c r="B181" s="36" t="inlineStr">
        <is>
          <t>20:14</t>
        </is>
      </c>
      <c r="C181" s="37" t="inlineStr">
        <is>
          <t>20:45</t>
        </is>
      </c>
      <c r="D181" s="38" t="inlineStr">
        <is>
          <t>Ambos</t>
        </is>
      </c>
      <c r="E181" s="39" t="inlineStr">
        <is>
          <t>NJ Transit Penn Station → EWR, llega 20:38. $17,25 (incluye el AirTrain). VERIFICAR el horario dominical en njtransit.com unos días antes.</t>
        </is>
      </c>
      <c r="F181" s="37" t="inlineStr"/>
      <c r="G181" s="40" t="inlineStr"/>
      <c r="H181" s="41" t="inlineStr"/>
      <c r="I181" s="41" t="inlineStr"/>
    </row>
    <row r="182" ht="16" customHeight="1">
      <c r="A182" s="35" t="n"/>
      <c r="B182" s="36" t="inlineStr">
        <is>
          <t>20:45</t>
        </is>
      </c>
      <c r="C182" s="37" t="inlineStr">
        <is>
          <t>20:55</t>
        </is>
      </c>
      <c r="D182" s="38" t="inlineStr">
        <is>
          <t>Ambos</t>
        </is>
      </c>
      <c r="E182" s="39" t="inlineStr">
        <is>
          <t>AirTrain hasta la terminal: 10-15 min.</t>
        </is>
      </c>
      <c r="F182" s="37" t="inlineStr"/>
      <c r="G182" s="40" t="inlineStr"/>
      <c r="H182" s="41" t="inlineStr"/>
      <c r="I182" s="41" t="inlineStr"/>
    </row>
    <row r="183" ht="30" customHeight="1">
      <c r="A183" s="35" t="n"/>
      <c r="B183" s="36" t="inlineStr">
        <is>
          <t>20:55</t>
        </is>
      </c>
      <c r="C183" s="37" t="inlineStr"/>
      <c r="D183" s="38" t="inlineStr">
        <is>
          <t>Ambos</t>
        </is>
      </c>
      <c r="E183" s="39" t="inlineStr">
        <is>
          <t>En terminal. Faltan 2h45 para el vuelo de las 23:40 — correcto para un internacional en el domingo de Labor Day, que es la noche de más tráfico del año en EWR.</t>
        </is>
      </c>
      <c r="F183" s="37" t="inlineStr"/>
      <c r="G183" s="40" t="inlineStr"/>
      <c r="H183" s="41" t="inlineStr"/>
      <c r="I183" s="41" t="inlineStr"/>
    </row>
    <row r="184" ht="32" customHeight="1">
      <c r="A184" s="46" t="inlineStr">
        <is>
          <t>ALTERNATIVA / OJO:  COLCHÓN: si algo se atrasa, el tren siguiente sale 20:55 y llega a EWR 21:16, o sea terminal ~21:35 y 2h05 antes del vuelo. Es el último que yo tomaría. // Si prefieren un último día sin moverse, salteen el teleférico y estiren Central Park hasta el Guggenheim: el parque solo da para toda la mañana y la tarde. Lo que NO conviene hoy es meter algo nuevo y grande. // LO QUE SE PIERDEN POR EL VUELO, y duele: esta noche a las 20:00 el Met proyecta gratis en Lincoln Center «El Último Sueño de Frida y Diego» —la misma Frida de la muestra del MoMA del lunes— y ustedes salen del hotel 19:40 hacia Penn Station. Está a diez cuadras del Beacon. No hay forma de que entre sin poner en riesgo el vuelo. // SI QUIEREN VOLVER AL GUGGENHEIM en vez del PS1: está escrito en el bloque de las 18:20, con los tiempos hechos. Cuesta el último imprescindible del viaje y hay que aceptar que la rampa —la razón para ir— no se camina hasta el 17/9. Tercera opción si ninguna convence: el Whitney también abre los domingos.</t>
        </is>
      </c>
    </row>
  </sheetData>
  <mergeCells count="29">
    <mergeCell ref="A128:I128"/>
    <mergeCell ref="A84:I84"/>
    <mergeCell ref="A66:I66"/>
    <mergeCell ref="A105:I105"/>
    <mergeCell ref="A163:I163"/>
    <mergeCell ref="A26:I26"/>
    <mergeCell ref="A86:I86"/>
    <mergeCell ref="A104:I104"/>
    <mergeCell ref="A47:I47"/>
    <mergeCell ref="A5:I5"/>
    <mergeCell ref="A144:I144"/>
    <mergeCell ref="A184:I184"/>
    <mergeCell ref="A125:I125"/>
    <mergeCell ref="A147:I147"/>
    <mergeCell ref="A29:I29"/>
    <mergeCell ref="A165:I165"/>
    <mergeCell ref="A1:G1"/>
    <mergeCell ref="A68:I68"/>
    <mergeCell ref="A28:I28"/>
    <mergeCell ref="A102:I102"/>
    <mergeCell ref="A127:I127"/>
    <mergeCell ref="A48:I48"/>
    <mergeCell ref="A166:I166"/>
    <mergeCell ref="A45:I45"/>
    <mergeCell ref="A2:G2"/>
    <mergeCell ref="A146:I146"/>
    <mergeCell ref="A6:I6"/>
    <mergeCell ref="A69:I69"/>
    <mergeCell ref="A87:I87"/>
  </mergeCells>
  <dataValidations count="1">
    <dataValidation sqref="H5:H186" showDropDown="0" showInputMessage="0" showErrorMessage="0" allowBlank="1" type="list">
      <formula1>"Pendiente,Reservado,Confirmado,Descartado"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22" customWidth="1" min="1" max="1"/>
    <col width="60" customWidth="1" min="2" max="2"/>
    <col width="24" customWidth="1" min="3" max="3"/>
    <col width="2" customWidth="1" min="4" max="4"/>
    <col width="2" customWidth="1" min="5" max="5"/>
    <col width="2" customWidth="1" min="6" max="6"/>
  </cols>
  <sheetData>
    <row r="1" ht="26" customHeight="1">
      <c r="A1" s="1" t="inlineStr">
        <is>
          <t>Costos estimados</t>
        </is>
      </c>
    </row>
    <row r="2" ht="30" customHeight="1">
      <c r="A2" s="2" t="inlineStr">
        <is>
          <t>Suma automática de lo marcado con interés = 2 en la hoja Lugares. Cambien allá y esto se actualiza.</t>
        </is>
      </c>
    </row>
    <row r="4" ht="30" customHeight="1">
      <c r="A4" s="8" t="inlineStr">
        <is>
          <t>Concepto</t>
        </is>
      </c>
      <c r="B4" s="8" t="inlineStr">
        <is>
          <t>Juan Pablo</t>
        </is>
      </c>
      <c r="C4" s="8" t="inlineStr">
        <is>
          <t>Thais</t>
        </is>
      </c>
      <c r="D4" s="8" t="inlineStr">
        <is>
          <t>Total pareja</t>
        </is>
      </c>
      <c r="E4" s="8" t="inlineStr">
        <is>
          <t>Base del cálculo</t>
        </is>
      </c>
      <c r="F4" s="8" t="inlineStr"/>
    </row>
    <row r="5" ht="26" customHeight="1">
      <c r="A5" s="47" t="inlineStr">
        <is>
          <t>Entradas de atracciones (interés = 2)</t>
        </is>
      </c>
      <c r="B5" s="48">
        <f>SUMIF(Lugares!$F$5:$F$308,2,Lugares!$I$5:$I$308)-SUMIFS(Lugares!$I$5:$I$308,Lugares!$F$5:$F$308,2,Lugares!$C$5:$C$308,"Comida")-SUMIFS(Lugares!$I$5:$I$308,Lugares!$F$5:$F$308,2,Lugares!$C$5:$C$308,"Música")</f>
        <v/>
      </c>
      <c r="C5" s="48">
        <f>SUMIF(Lugares!$G$5:$G$308,2,Lugares!$I$5:$I$308)-SUMIFS(Lugares!$I$5:$I$308,Lugares!$G$5:$G$308,2,Lugares!$C$5:$C$308,"Comida")-SUMIFS(Lugares!$I$5:$I$308,Lugares!$G$5:$G$308,2,Lugares!$C$5:$C$308,"Música")</f>
        <v/>
      </c>
      <c r="D5" s="49">
        <f>B5+C5</f>
        <v/>
      </c>
      <c r="E5" s="50" t="inlineStr">
        <is>
          <t>SUMIF sobre la hoja Lugares: suma 'US$ p/p' de las filas con interés 2, RESTANDO las categorías Comida y Música (esas se cuentan abajo en sus propias filas, para no contarlas dos veces). Si cambian un 0/1/2 allá, esto se recalcula.</t>
        </is>
      </c>
    </row>
    <row r="6" ht="26" customHeight="1">
      <c r="A6" s="47" t="inlineStr">
        <is>
          <t>Subte / bus (OMNY, tope semanal)</t>
        </is>
      </c>
      <c r="B6" s="48" t="n">
        <v>70</v>
      </c>
      <c r="C6" s="48" t="n">
        <v>55</v>
      </c>
      <c r="D6" s="49">
        <f>B6+C6</f>
        <v/>
      </c>
      <c r="E6" s="50" t="inlineStr">
        <is>
          <t>OMNY 2026: $3,00 por viaje, tope $35 por período de 7 días. JP: 9 días en NYC = 2 períodos = $70 máximo. Thais: menos días de turismo, estimado $55.</t>
        </is>
      </c>
    </row>
    <row r="7" ht="26" customHeight="1">
      <c r="A7" s="47" t="inlineStr">
        <is>
          <t>NJ Transit Raritan ↔ NY Penn</t>
        </is>
      </c>
      <c r="B7" s="48" t="n">
        <v>74</v>
      </c>
      <c r="C7" s="48" t="n">
        <v>37</v>
      </c>
      <c r="D7" s="49">
        <f>B7+C7</f>
        <v/>
      </c>
      <c r="E7" s="50" t="inlineStr">
        <is>
          <t>PLAN CONFIRMADO. JP: 4 tramos × $18,50 (vuelta a NJ el 31, ida el 1, vuelta el 2, ida el 3 con las maletas). Thais: 2 tramos (ida el 31, vuelta el 3). Los pasajes sueltos son lo más barato: no hay descuento por round-trip ni 10-trip. Desde julio de 2026 los one-way VENCEN a los 30 días de comprados.</t>
        </is>
      </c>
    </row>
    <row r="8" ht="26" customHeight="1">
      <c r="A8" s="47" t="inlineStr">
        <is>
          <t>Uber Branchburg ↔ estación Raritan</t>
        </is>
      </c>
      <c r="B8" s="48" t="n">
        <v>72</v>
      </c>
      <c r="C8" s="48" t="n">
        <v>36</v>
      </c>
      <c r="D8" s="49">
        <f>B8+C8</f>
        <v/>
      </c>
      <c r="E8" s="50" t="inlineStr">
        <is>
          <t>JP 4 tramos y Thais 2, × ~$18 estimado (4 millas, zona semi-rural). El hotel NO tiene shuttle. Pedir el auto la noche anterior: a las 6 AM en Branchburg puede no haber conductores.</t>
        </is>
      </c>
    </row>
    <row r="9" ht="26" customHeight="1">
      <c r="A9" s="47" t="inlineStr">
        <is>
          <t>EWR ↔ Manhattan (ida y vuelta)</t>
        </is>
      </c>
      <c r="B9" s="48" t="n">
        <v>38</v>
      </c>
      <c r="C9" s="48" t="n">
        <v>38</v>
      </c>
      <c r="D9" s="49">
        <f>B9+C9</f>
        <v/>
      </c>
      <c r="E9" s="50" t="inlineStr">
        <is>
          <t>Llegada: AirTrain + NJ Transit $17,25. Salida: subte $3,00 + NJ Transit $17,25 = $20,25.</t>
        </is>
      </c>
    </row>
    <row r="10" ht="26" customHeight="1">
      <c r="A10" s="47" t="inlineStr">
        <is>
          <t>Comida — TODAS las comidas del viaje</t>
        </is>
      </c>
      <c r="B10" s="48" t="n">
        <v>630</v>
      </c>
      <c r="C10" s="48" t="n">
        <v>630</v>
      </c>
      <c r="D10" s="49">
        <f>B10+C10</f>
        <v/>
      </c>
      <c r="E10" s="50" t="inlineStr">
        <is>
          <t>9 días × ~$70 por persona por día, desayuno-almuerzo-cena incluidos. Realista si mezclan barrios étnicos ($12-20 por comida: Jackson Heights, Sunset Park, Flushing, Arthur Avenue) con algunas cenas de $40-50. Esta fila reemplaza a los restaurantes individuales de la hoja Lugares — por eso se restan arriba.</t>
        </is>
      </c>
    </row>
    <row r="11" ht="26" customHeight="1">
      <c r="A11" s="47" t="inlineStr">
        <is>
          <t>Música en vivo (jazz y clubes)</t>
        </is>
      </c>
      <c r="B11" s="48" t="n">
        <v>130</v>
      </c>
      <c r="C11" s="48" t="n">
        <v>90</v>
      </c>
      <c r="D11" s="49">
        <f>B11+C11</f>
        <v/>
      </c>
      <c r="E11" s="50" t="inlineStr">
        <is>
          <t>Village Vanguard ~$50 (cover + mínimo), Smalls/Mezzrow $25 con bebida, Bar LunÀtico $10 en efectivo, Dizzy's late night ~$20-30. Reemplaza a los clubes individuales de la hoja Lugares.</t>
        </is>
      </c>
    </row>
    <row r="12" ht="26" customHeight="1">
      <c r="A12" s="47" t="inlineStr">
        <is>
          <t>Broadway / teatro (opcional)</t>
        </is>
      </c>
      <c r="B12" s="48" t="n">
        <v>65</v>
      </c>
      <c r="C12" s="48" t="n">
        <v>65</v>
      </c>
      <c r="D12" s="49">
        <f>B12+C12</f>
        <v/>
      </c>
      <c r="E12" s="50" t="inlineStr">
        <is>
          <t>Estimado con lotería o TKTS. Comprado directo, un musical grande promedia $92-112 por persona.</t>
        </is>
      </c>
    </row>
    <row r="14" ht="24" customHeight="1">
      <c r="A14" s="51" t="inlineStr">
        <is>
          <t>TOTAL ESTIMADO</t>
        </is>
      </c>
      <c r="B14" s="52">
        <f>SUM(B5:B12)</f>
        <v/>
      </c>
      <c r="C14" s="52">
        <f>SUM(C5:C12)</f>
        <v/>
      </c>
      <c r="D14" s="52">
        <f>B14+C14</f>
        <v/>
      </c>
      <c r="E14" s="53" t="inlineStr">
        <is>
          <t>No incluye alojamiento ni vuelos.</t>
        </is>
      </c>
    </row>
    <row r="17">
      <c r="A17" s="54" t="inlineStr">
        <is>
          <t>AHORRO DEL CALENDARIO GRATUITO</t>
        </is>
      </c>
    </row>
    <row r="18" ht="30" customHeight="1">
      <c r="A18" s="8" t="inlineStr">
        <is>
          <t>Día</t>
        </is>
      </c>
      <c r="B18" s="8" t="inlineStr">
        <is>
          <t>Qué es gratis</t>
        </is>
      </c>
      <c r="C18" s="8" t="inlineStr">
        <is>
          <t>Valor evitado (2 personas)</t>
        </is>
      </c>
      <c r="D18" s="8" t="inlineStr"/>
      <c r="E18" s="8" t="inlineStr"/>
      <c r="F18" s="8" t="inlineStr"/>
    </row>
    <row r="19">
      <c r="A19" s="42" t="inlineStr">
        <is>
          <t>Miércoles 2/9</t>
        </is>
      </c>
      <c r="B19" s="55" t="inlineStr">
        <is>
          <t>MCNY gratis + Frick pay-what-you-wish</t>
        </is>
      </c>
      <c r="C19" s="55" t="inlineStr">
        <is>
          <t>$106 (2 personas)</t>
        </is>
      </c>
    </row>
    <row r="20">
      <c r="A20" s="42" t="inlineStr">
        <is>
          <t>Viernes 4/9</t>
        </is>
      </c>
      <c r="B20" s="55" t="inlineStr">
        <is>
          <t>Whitney gratis 17-22h</t>
        </is>
      </c>
      <c r="C20" s="55" t="inlineStr">
        <is>
          <t>$60 (2 personas)</t>
        </is>
      </c>
    </row>
    <row r="21">
      <c r="A21" s="42" t="inlineStr">
        <is>
          <t>Viernes 4/9</t>
        </is>
      </c>
      <c r="B21" s="55" t="inlineStr">
        <is>
          <t>Morgan Library gratis 17-20h (reserva el 28/8)</t>
        </is>
      </c>
      <c r="C21" s="55" t="inlineStr">
        <is>
          <t>$50 (2 personas)</t>
        </is>
      </c>
    </row>
    <row r="22">
      <c r="A22" s="42" t="inlineStr">
        <is>
          <t>Viernes 4/9</t>
        </is>
      </c>
      <c r="B22" s="55" t="inlineStr">
        <is>
          <t>Noguchi gratis (primer viernes)</t>
        </is>
      </c>
      <c r="C22" s="55" t="inlineStr">
        <is>
          <t>$32 (2 personas)</t>
        </is>
      </c>
    </row>
    <row r="23">
      <c r="A23" s="42" t="inlineStr">
        <is>
          <t>Domingo 6/9</t>
        </is>
      </c>
      <c r="B23" s="55" t="inlineStr">
        <is>
          <t>Guggenheim pay-what-you-wish 16-17:30</t>
        </is>
      </c>
      <c r="C23" s="55" t="inlineStr">
        <is>
          <t>~$32-60 (2 personas)</t>
        </is>
      </c>
    </row>
    <row r="24">
      <c r="A24" s="42" t="inlineStr">
        <is>
          <t>Jueves 3/9</t>
        </is>
      </c>
      <c r="B24" s="55" t="inlineStr">
        <is>
          <t>Museum of the Moving Image gratis 14-18h</t>
        </is>
      </c>
      <c r="C24" s="55" t="inlineStr">
        <is>
          <t>$40 (2 personas)</t>
        </is>
      </c>
    </row>
    <row r="25">
      <c r="A25" s="42" t="inlineStr">
        <is>
          <t>Todo 2026</t>
        </is>
      </c>
      <c r="B25" s="55" t="inlineStr">
        <is>
          <t>MoMA PS1 gratis para todos</t>
        </is>
      </c>
      <c r="C25" s="55" t="inlineStr">
        <is>
          <t>~$40 (2 personas)</t>
        </is>
      </c>
    </row>
    <row r="26">
      <c r="A26" s="42" t="inlineStr">
        <is>
          <t>Sáb 29 y dom 30/8</t>
        </is>
      </c>
      <c r="B26" s="55" t="inlineStr">
        <is>
          <t>Charlie Parker Jazz Festival</t>
        </is>
      </c>
      <c r="C26" s="55" t="inlineStr">
        <is>
          <t>$240+ (equivalente en club)</t>
        </is>
      </c>
    </row>
    <row r="27">
      <c r="A27" s="42" t="inlineStr">
        <is>
          <t>Miércoles 2/9</t>
        </is>
      </c>
      <c r="B27" s="55" t="inlineStr">
        <is>
          <t>SummerStage: Christian McBride</t>
        </is>
      </c>
      <c r="C27" s="55" t="inlineStr">
        <is>
          <t>$120+ (equivalente en club)</t>
        </is>
      </c>
    </row>
    <row r="28" ht="28" customHeight="1">
      <c r="A28" s="56" t="inlineStr">
        <is>
          <t>El calendario gratuito de este itinerario vale aproximadamente $700-780 para los dos. Ningún pase se acerca.</t>
        </is>
      </c>
    </row>
  </sheetData>
  <mergeCells count="3">
    <mergeCell ref="A28:C28"/>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8"/>
  <sheetViews>
    <sheetView showGridLines="0" workbookViewId="0">
      <selection activeCell="A1" sqref="A1"/>
    </sheetView>
  </sheetViews>
  <sheetFormatPr baseColWidth="8" defaultRowHeight="15"/>
  <cols>
    <col width="40" customWidth="1" min="1" max="1"/>
    <col width="22" customWidth="1" min="2" max="2"/>
    <col width="24" customWidth="1" min="3" max="3"/>
    <col width="95" customWidth="1" min="4" max="4"/>
  </cols>
  <sheetData>
    <row r="1" ht="26" customHeight="1">
      <c r="A1" s="1" t="inlineStr">
        <is>
          <t>Transporte</t>
        </is>
      </c>
    </row>
    <row r="2" ht="30" customHeight="1">
      <c r="A2" s="2" t="inlineStr">
        <is>
          <t>Precios y horarios verificados en fuentes oficiales el 16 de agosto de 2026.</t>
        </is>
      </c>
    </row>
    <row r="4" ht="22" customHeight="1">
      <c r="A4" s="33" t="inlineStr">
        <is>
          <t>EWR → Ink48 · sábado 29 de agosto, 6:00 AM</t>
        </is>
      </c>
    </row>
    <row r="5" ht="30" customHeight="1">
      <c r="A5" s="2" t="inlineStr">
        <is>
          <t>RECOMENDADO: Uber Shuttle</t>
        </is>
      </c>
    </row>
    <row r="6" ht="26" customHeight="1">
      <c r="A6" s="57" t="inlineStr">
        <is>
          <t>Opción</t>
        </is>
      </c>
      <c r="B6" s="57" t="inlineStr">
        <is>
          <t>Costo</t>
        </is>
      </c>
      <c r="C6" s="57" t="inlineStr">
        <is>
          <t>Tiempo</t>
        </is>
      </c>
      <c r="D6" s="57" t="inlineStr">
        <is>
          <t>Detalle</t>
        </is>
      </c>
    </row>
    <row r="7" ht="40" customHeight="1">
      <c r="A7" s="39" t="inlineStr">
        <is>
          <t>Uber Shuttle ✅</t>
        </is>
      </c>
      <c r="B7" s="39" t="inlineStr">
        <is>
          <t>$20,70 p/p · $41,40 los dos</t>
        </is>
      </c>
      <c r="C7" s="39" t="inlineStr">
        <is>
          <t>~75 min terminal a hotel</t>
        </is>
      </c>
      <c r="D7" s="39" t="inlineStr">
        <is>
          <t>UN SOLO transporte con las valijas: sin AirTrain, sin transbordo en Penn y sin taxi. Precio fijo por persona y asiento reservado, se pide en la app de Uber. Sale de Terminal B, Zona 5, a ~6 min a pie de llegadas. Horarios del sábado 29: 7:40 y 8:30 a Theatre District (50th y 8ª, 13 min a pie del Ink48); 7:50 y 8:35 a Port Authority (40th y 8ª, 17 min a pie). ⚠️ SALEN CADA 40-50 MIN: si migraciones se estira y pierden el de 7:40, el siguiente llega 9:57 y el día arranca tarde.  ▸ $41,40 los dos, sin nada más que pagar</t>
        </is>
      </c>
    </row>
    <row r="8" ht="40" customHeight="1">
      <c r="A8" s="39" t="inlineStr">
        <is>
          <t>AirTrain + NJ Transit (el plan viejo)</t>
        </is>
      </c>
      <c r="B8" s="39" t="inlineStr">
        <is>
          <t>$17,25 p/p · $34,50 los dos</t>
        </is>
      </c>
      <c r="C8" s="39" t="inlineStr">
        <is>
          <t>~55-70 min desde terminal</t>
        </is>
      </c>
      <c r="D8" s="39" t="inlineStr">
        <is>
          <t>Precio ÚNICO: ya incluye el fee de AirTrain de $8,75, no se compra aparte. Trenes sábado desde EWR: 6:00, 6:07, 6:43, 7:04, 7:15, 7:25, 7:39 — UNO CADA 10-15 MIN, que es su ventaja real sobre el shuttle. Viaje 26-31 min. Comprar en la app MyTix o en máquina — a bordo cobran $5 de recargo. Llegan al hotel 8:15-8:30, casi una hora antes.  ▸ $46,50-52,50 los dos con el taxi de Penn Station al hotel · ES EL PLAN B SI SALEN TARDE DE MIGRACIONES</t>
        </is>
      </c>
    </row>
    <row r="9" ht="40" customHeight="1">
      <c r="A9" s="39" t="inlineStr">
        <is>
          <t>Taxi oficial de EWR</t>
        </is>
      </c>
      <c r="B9" s="39" t="inlineStr">
        <is>
          <t>~$78-90</t>
        </is>
      </c>
      <c r="C9" s="39" t="inlineStr">
        <is>
          <t>45-60 min</t>
        </is>
      </c>
      <c r="D9" s="39" t="inlineStr">
        <is>
          <t>Tarifa fija por zona: Ink48 está en la calle 48 = Zona 2 = $65 fijo, + $2 de airport fee + $6,75-15,75 de peajes + $1 por valija. El recargo de hora pico ($10) rige sáb-dom 12-21h, así que a las 6-7 AM NO aplica.</t>
        </is>
      </c>
    </row>
    <row r="10" ht="40" customHeight="1">
      <c r="A10" s="39" t="inlineStr">
        <is>
          <t>Uber / Lyft</t>
        </is>
      </c>
      <c r="B10" s="39" t="inlineStr">
        <is>
          <t>$70-110 (estimado)</t>
        </is>
      </c>
      <c r="C10" s="39" t="inlineStr">
        <is>
          <t>45-60 min</t>
        </is>
      </c>
      <c r="D10" s="39" t="inlineStr">
        <is>
          <t>A las 7 AM de un sábado el tráfico es liviano. Ink48 está dentro de la zona de congestion pricing (sur de la calle 60): hay recargo adicional.</t>
        </is>
      </c>
    </row>
    <row r="11" ht="40" customHeight="1">
      <c r="A11" s="39" t="inlineStr">
        <is>
          <t>Newark Airport Express ❌</t>
        </is>
      </c>
      <c r="B11" s="39" t="inlineStr">
        <is>
          <t>$18-19 (NO CONFIRMADO)</t>
        </is>
      </c>
      <c r="C11" s="39" t="inlineStr">
        <is>
          <t>60-80 min</t>
        </is>
      </c>
      <c r="D11" s="39" t="inlineStr">
        <is>
          <t>No aporta nada frente al tren: más caro, más lento, sujeto al tráfico del Lincoln Tunnel, y deja en Port Authority a 15 min caminando del hotel. Las fuentes se contradicen sobre el precio.</t>
        </is>
      </c>
    </row>
    <row r="12" ht="40" customHeight="1">
      <c r="A12" s="58" t="inlineStr">
        <is>
          <t>Secuencia realista</t>
        </is>
      </c>
      <c r="B12" s="58" t="inlineStr"/>
      <c r="C12" s="58" t="inlineStr"/>
      <c r="D12" s="58" t="inlineStr">
        <is>
          <t>Aterrizan 6:00 → migraciones y equipaje 45-75 min → 6 min a pie a la Zona 5 de Terminal B → Uber Shuttle 7:40 → Theatre District 8:54 → 13 min a pie → hotel ~9:10. Total ≈ 3h desde que tocan pista, con UN solo transporte. Con el plan viejo llegaban 8:15-8:30 pero cambiando tres veces de vehículo con las valijas.</t>
        </is>
      </c>
    </row>
    <row r="13" ht="40" customHeight="1">
      <c r="A13" s="59" t="inlineStr">
        <is>
          <t>⚠ Alerta</t>
        </is>
      </c>
      <c r="B13" s="59" t="inlineStr"/>
      <c r="C13" s="59" t="inlineStr"/>
      <c r="D13" s="59" t="inlineStr">
        <is>
          <t>El shuttle sale cada 40-50 minutos, no cada 10: mirá el horario en la app de Uber apenas aterricen y, si se estiró migraciones, pasate al tren sin dudar. El AirTrain de Newark está en obra de reemplazo hasta 2030. El servicio por bus solo aplica días de semana de 5:00 a 15:00 — sus dos vuelos caen en fin de semana, así que están cubiertos. Igual reverifiquen 2-3 días antes en njtransit.com.</t>
        </is>
      </c>
    </row>
    <row r="15" ht="22" customHeight="1">
      <c r="A15" s="33" t="inlineStr">
        <is>
          <t>The Beacon → EWR · domingo 6 de septiembre, vuelo 23:40</t>
        </is>
      </c>
    </row>
    <row r="16" ht="30" customHeight="1">
      <c r="A16" s="2" t="inlineStr">
        <is>
          <t>RECOMENDADO: Subte 1/2/3 + NJ Transit — $20,25 total</t>
        </is>
      </c>
    </row>
    <row r="17" ht="26" customHeight="1">
      <c r="A17" s="57" t="inlineStr">
        <is>
          <t>Opción</t>
        </is>
      </c>
      <c r="B17" s="57" t="inlineStr">
        <is>
          <t>Costo</t>
        </is>
      </c>
      <c r="C17" s="57" t="inlineStr">
        <is>
          <t>Tiempo</t>
        </is>
      </c>
      <c r="D17" s="57" t="inlineStr">
        <is>
          <t>Detalle</t>
        </is>
      </c>
    </row>
    <row r="18" ht="40" customHeight="1">
      <c r="A18" s="39" t="inlineStr">
        <is>
          <t>Subte + NJ Transit ✅</t>
        </is>
      </c>
      <c r="B18" s="39" t="inlineStr">
        <is>
          <t>$20,25</t>
        </is>
      </c>
      <c r="C18" s="39" t="inlineStr">
        <is>
          <t>~55 min + AirTrain</t>
        </is>
      </c>
      <c r="D18" s="39" t="inlineStr">
        <is>
          <t>1/2/3 desde 72 St (a 3 cuadras del hotel) hasta 34 St-Penn Station, directo, ~10 min, $3. Después NJ Transit a EWR, $17,25. Trenes domingo: 19:51→20:12, 20:03→20:26, 20:07→20:31, 20:14→20:38, 20:55→21:16.  ▸ Salir del hotel 19:40 → tren de 20:14 (llega 20:38) → AirTrain → en terminal ~20:55, con 2h45 de margen. Colchón: el de 20:55 deja en terminal ~21:35, 2h05 antes.</t>
        </is>
      </c>
    </row>
    <row r="19" ht="40" customHeight="1">
      <c r="A19" s="39" t="inlineStr">
        <is>
          <t>Taxi amarillo desde Manhattan</t>
        </is>
      </c>
      <c r="B19" s="39" t="inlineStr">
        <is>
          <t>$95-120</t>
        </is>
      </c>
      <c r="C19" s="39" t="inlineStr">
        <is>
          <t>50-75 min</t>
        </is>
      </c>
      <c r="D19" s="39" t="inlineStr">
        <is>
          <t>OJO: saliendo de Manhattan NO rige la tarifa fija por zonas (esa es solo para taxis que salen de EWR). Se cobra medidor + recargo Newark de $20 + peajes + congestion charge.</t>
        </is>
      </c>
    </row>
    <row r="20" ht="40" customHeight="1">
      <c r="A20" s="39" t="inlineStr">
        <is>
          <t>Uber / Lyft</t>
        </is>
      </c>
      <c r="B20" s="39" t="inlineStr">
        <is>
          <t>$70-110 + riesgo alto de surge</t>
        </is>
      </c>
      <c r="C20" s="39" t="inlineStr">
        <is>
          <t>50-75 min</t>
        </is>
      </c>
      <c r="D20" s="39" t="inlineStr">
        <is>
          <t>El domingo 6/9 es el domingo del fin de semana largo de Labor Day: el día de mayor tráfico de retorno del año. Riesgo real de surge y de demora.</t>
        </is>
      </c>
    </row>
    <row r="21" ht="40" customHeight="1">
      <c r="A21" s="59" t="inlineStr">
        <is>
          <t>⚠ Alerta</t>
        </is>
      </c>
      <c r="B21" s="59" t="inlineStr"/>
      <c r="C21" s="59" t="inlineStr"/>
      <c r="D21" s="59" t="inlineStr">
        <is>
          <t>El domingo 6 es el domingo del fin de semana largo de Labor Day: la noche de mayor tráfico de retorno del año. Eso castiga fuerte a todo lo que vaya en auto y no afecta al tren, así que esta noche puntual el tren no es solo más barato sino más confiable. Pero EWR va a estar cargado: por eso salimos con 2h45 y no con las 2h de siempre.</t>
        </is>
      </c>
    </row>
    <row r="23" ht="22" customHeight="1">
      <c r="A23" s="33" t="inlineStr">
        <is>
          <t>Bridgewater/Branchburg NJ ↔ Manhattan · 31 ago al 3 sep</t>
        </is>
      </c>
    </row>
    <row r="24" ht="30" customHeight="1">
      <c r="A24" s="2" t="inlineStr">
        <is>
          <t>RECOMENDADO: Estación RARITAN + pasajes sueltos + Uber al tren</t>
        </is>
      </c>
    </row>
    <row r="25" ht="40" customHeight="1">
      <c r="A25" s="59" t="inlineStr">
        <is>
          <t>Hotel</t>
        </is>
      </c>
      <c r="B25" s="59" t="inlineStr"/>
      <c r="C25" s="59" t="inlineStr"/>
      <c r="D25" s="59" t="inlineStr">
        <is>
          <t>Residence Inn Bridgewater Branchburg, 3241 US-22 East. NO TIENE SHUTTLE (confirmado por Marriott). Estacionamiento propio gratis.</t>
        </is>
      </c>
    </row>
    <row r="26" ht="26" customHeight="1">
      <c r="A26" s="57" t="inlineStr">
        <is>
          <t>Estación</t>
        </is>
      </c>
      <c r="B26" s="57" t="inlineStr">
        <is>
          <t>Distancia del hotel</t>
        </is>
      </c>
      <c r="C26" s="57" t="inlineStr">
        <is>
          <t>Estacionamiento</t>
        </is>
      </c>
      <c r="D26" s="57" t="inlineStr">
        <is>
          <t>Servicio</t>
        </is>
      </c>
    </row>
    <row r="27" ht="26" customHeight="1">
      <c r="A27" s="58" t="inlineStr">
        <is>
          <t>Raritan ✅</t>
        </is>
      </c>
      <c r="B27" s="58" t="inlineStr">
        <is>
          <t>6,4 km / 4,0 mi</t>
        </is>
      </c>
      <c r="C27" s="58" t="inlineStr">
        <is>
          <t>$4/día</t>
        </is>
      </c>
      <c r="D27" s="58" t="inlineStr">
        <is>
          <t>Completo. Es cabecera: siempre hay asiento.</t>
        </is>
      </c>
    </row>
    <row r="28" ht="26" customHeight="1">
      <c r="A28" s="39" t="inlineStr">
        <is>
          <t>Somerville</t>
        </is>
      </c>
      <c r="B28" s="39" t="inlineStr">
        <is>
          <t>8,1 km / 5,0 mi</t>
        </is>
      </c>
      <c r="C28" s="39" t="inlineStr">
        <is>
          <t>$5/día (garage Robeson St)</t>
        </is>
      </c>
      <c r="D28" s="39" t="inlineStr">
        <is>
          <t>Completo. Resta 3 min de viaje pero está 1 milla más lejos.</t>
        </is>
      </c>
    </row>
    <row r="29" ht="26" customHeight="1">
      <c r="A29" s="39" t="inlineStr">
        <is>
          <t>North Branch ❌</t>
        </is>
      </c>
      <c r="B29" s="39" t="inlineStr">
        <is>
          <t>1,7 km / 1,0 mi</t>
        </is>
      </c>
      <c r="C29" s="39" t="inlineStr">
        <is>
          <t>GRATIS, 40 lugares</t>
        </is>
      </c>
      <c r="D29" s="39" t="inlineStr">
        <is>
          <t>SOLO horas pico. Es la más cercana pero no sirve.</t>
        </is>
      </c>
    </row>
    <row r="30" ht="26" customHeight="1">
      <c r="A30" s="39" t="inlineStr">
        <is>
          <t>Bridgewater</t>
        </is>
      </c>
      <c r="B30" s="39" t="inlineStr">
        <is>
          <t>13,2 km / 8,2 mi</t>
        </is>
      </c>
      <c r="C30" s="39" t="inlineStr">
        <is>
          <t>$4/día</t>
        </is>
      </c>
      <c r="D30" s="39" t="inlineStr">
        <is>
          <t>Completo, pero es la más lejana del hotel.</t>
        </is>
      </c>
    </row>
    <row r="32" ht="26" customHeight="1">
      <c r="A32" s="57" t="inlineStr">
        <is>
          <t>Tipo de pasaje</t>
        </is>
      </c>
      <c r="B32" s="57" t="inlineStr">
        <is>
          <t>Precio</t>
        </is>
      </c>
      <c r="C32" s="57" t="inlineStr"/>
      <c r="D32" s="57" t="inlineStr">
        <is>
          <t>Nota</t>
        </is>
      </c>
    </row>
    <row r="33" ht="40" customHeight="1">
      <c r="A33" s="58" t="inlineStr">
        <is>
          <t>Pasaje suelto Raritan → NY Penn</t>
        </is>
      </c>
      <c r="B33" s="58" t="inlineStr">
        <is>
          <t>$18,50</t>
        </is>
      </c>
      <c r="C33" s="58" t="inlineStr"/>
      <c r="D33" s="58" t="inlineStr">
        <is>
          <t>PLAN CONFIRMADO: JP hace 4 tramos = $74 (ida el 1, vuelta el 2, ida el 3, más la vuelta del 31). Thais hace 2 = $37. Total $111 ← LA OPCIÓN MÁS BARATA</t>
        </is>
      </c>
    </row>
    <row r="34" ht="26" customHeight="1">
      <c r="A34" s="39" t="inlineStr">
        <is>
          <t>Round-trip</t>
        </is>
      </c>
      <c r="B34" s="39" t="inlineStr">
        <is>
          <t>$37,00</t>
        </is>
      </c>
      <c r="C34" s="39" t="inlineStr"/>
      <c r="D34" s="39" t="inlineStr">
        <is>
          <t>Exactamente 2 × $18,50. NO hay descuento.</t>
        </is>
      </c>
    </row>
    <row r="35" ht="26" customHeight="1">
      <c r="A35" s="39" t="inlineStr">
        <is>
          <t>10-trip</t>
        </is>
      </c>
      <c r="B35" s="39" t="inlineStr">
        <is>
          <t>$185,00</t>
        </is>
      </c>
      <c r="C35" s="39" t="inlineStr"/>
      <c r="D35" s="39" t="inlineStr">
        <is>
          <t>Exactamente 10 × $18,50. Más caro y sobran 2 viajes.</t>
        </is>
      </c>
    </row>
    <row r="36" ht="26" customHeight="1">
      <c r="A36" s="39" t="inlineStr">
        <is>
          <t>Pase semanal</t>
        </is>
      </c>
      <c r="B36" s="39" t="inlineStr">
        <is>
          <t>$164,00</t>
        </is>
      </c>
      <c r="C36" s="39" t="inlineStr"/>
      <c r="D36" s="39" t="inlineStr">
        <is>
          <t>Más caro que 8 pasajes sueltos.</t>
        </is>
      </c>
    </row>
    <row r="37" ht="40" customHeight="1">
      <c r="A37" s="39" t="inlineStr">
        <is>
          <t>FlexPass (20 viajes one-way)</t>
        </is>
      </c>
      <c r="B37" s="39" t="inlineStr">
        <is>
          <t>$314,50</t>
        </is>
      </c>
      <c r="C37" s="39" t="inlineStr"/>
      <c r="D37" s="39" t="inlineStr">
        <is>
          <t>El ÚNICO producto con descuento real: 15% off, válido 30 días. Pero son 20 viajes y ustedes hacen 8 — no sirve para este viaje.</t>
        </is>
      </c>
    </row>
    <row r="38" ht="26" customHeight="1">
      <c r="A38" s="39" t="inlineStr">
        <is>
          <t>Bus 114/117 a Port Authority</t>
        </is>
      </c>
      <c r="B38" s="39" t="inlineStr">
        <is>
          <t>$15,80</t>
        </is>
      </c>
      <c r="C38" s="39" t="inlineStr"/>
      <c r="D38" s="39" t="inlineStr">
        <is>
          <t>$22 más barato en total, pero 45 min más por tramo. No compensa.</t>
        </is>
      </c>
    </row>
    <row r="40" ht="40" customHeight="1">
      <c r="A40" s="39" t="inlineStr">
        <is>
          <t>Horarios</t>
        </is>
      </c>
      <c r="B40" s="39" t="inlineStr"/>
      <c r="C40" s="39" t="inlineStr"/>
      <c r="D40" s="39" t="inlineStr">
        <is>
          <t>MAÑANA (Raritan → NY Penn, todos con transbordo en Newark): 4:31→5:59, 6:23→7:37, 6:42→8:05, 6:55→8:20, 7:13→8:31. NOCHE (NY Penn → Raritan), verificado para el miércoles 2/9/2026: 19:42 con transbordo → 21:12 · 20:48 DIRECTO → 22:04 · 21:48 DIRECTO → 23:10 · 22:48 DIRECTO → 00:04 · 00:05 con transbordo → 01:31 · 01:00 con transbordo → 02:35 (último). Viaje 75-90 min.</t>
        </is>
      </c>
    </row>
    <row r="41" ht="40" customHeight="1">
      <c r="A41" s="39" t="inlineStr">
        <is>
          <t>Trenes directos</t>
        </is>
      </c>
      <c r="B41" s="39" t="inlineStr"/>
      <c r="C41" s="39" t="inlineStr"/>
      <c r="D41" s="39" t="inlineStr">
        <is>
          <t>8 trenes DIRECTOS por sentido, solo días hábiles. HACIA EL ESTE (Raritan → NY Penn), llegadas a Penn: 10:06, 11:11, 12:07, 13:08, 14:10, 20:14, 21:16, 22:10. HACIA EL OESTE (NY Penn → Raritan), salidas: 10:40, 11:40, 12:45, 13:40, 14:40 y 20:48, 21:48, 22:48. CORRECCIÓN: yo había dicho que los directos eran solo de valle — es falso, los TRES trenes de la noche son directos y son justo los que ustedes van a usar. El resto del día (pico y madrugada) todos los trenes del RVL nacen o terminan en Newark Penn y hay que transbordar. El motivo: el RVL no está electrificado al oeste de Newark. Los fines de semana NO hay directo. Verificado en el PDF oficial de NJ Transit y en el feed GTFS para el 2 de septiembre de 2026.</t>
        </is>
      </c>
    </row>
    <row r="43" ht="26" customHeight="1">
      <c r="A43" s="57" t="inlineStr">
        <is>
          <t>Escenario</t>
        </is>
      </c>
      <c r="B43" s="57" t="inlineStr">
        <is>
          <t>Cálculo</t>
        </is>
      </c>
      <c r="C43" s="57" t="inlineStr"/>
      <c r="D43" s="57" t="inlineStr">
        <is>
          <t>Total 4 días</t>
        </is>
      </c>
    </row>
    <row r="44" ht="26" customHeight="1">
      <c r="A44" s="58" t="inlineStr">
        <is>
          <t>① Uber ↔ Raritan + tren ✅ (PLAN REAL)</t>
        </is>
      </c>
      <c r="B44" s="58" t="inlineStr">
        <is>
          <t>$111 tren (6 tramos entre los dos) + $108 Uber (6 tramos)</t>
        </is>
      </c>
      <c r="C44" s="58" t="inlineStr"/>
      <c r="D44" s="58" t="inlineStr">
        <is>
          <t>~$219 los dos</t>
        </is>
      </c>
    </row>
    <row r="45" ht="26" customHeight="1">
      <c r="A45" s="39" t="inlineStr">
        <is>
          <t>② Bus 114/117 + Uber</t>
        </is>
      </c>
      <c r="B45" s="39" t="inlineStr">
        <is>
          <t>$126,40 bus + $128-176 Uber</t>
        </is>
      </c>
      <c r="C45" s="39" t="inlineStr"/>
      <c r="D45" s="39" t="inlineStr">
        <is>
          <t>$254-302 (pero +45 min por tramo)</t>
        </is>
      </c>
    </row>
    <row r="46" ht="26" customHeight="1">
      <c r="A46" s="39" t="inlineStr">
        <is>
          <t>③ Auto de alquiler + park&amp;ride</t>
        </is>
      </c>
      <c r="B46" s="39" t="inlineStr">
        <is>
          <t>$160-300 alquiler + $16 parking + nafta + $148 tren</t>
        </is>
      </c>
      <c r="C46" s="39" t="inlineStr"/>
      <c r="D46" s="39" t="inlineStr">
        <is>
          <t>$329-469 ❌</t>
        </is>
      </c>
    </row>
    <row r="47" ht="26" customHeight="1">
      <c r="A47" s="39" t="inlineStr">
        <is>
          <t>④ Auto hasta Newark Penn + PATH</t>
        </is>
      </c>
      <c r="B47" s="39" t="inlineStr">
        <is>
          <t>$160-300 alquiler + $80-120 parking + $26 PATH</t>
        </is>
      </c>
      <c r="C47" s="39" t="inlineStr"/>
      <c r="D47" s="39" t="inlineStr">
        <is>
          <t>$266-446 ❌</t>
        </is>
      </c>
    </row>
    <row r="48" ht="40" customHeight="1">
      <c r="A48" s="59" t="inlineStr">
        <is>
          <t>¿Conviene alquilar auto?</t>
        </is>
      </c>
      <c r="B48" s="59" t="inlineStr">
        <is>
          <t>NO</t>
        </is>
      </c>
      <c r="C48" s="59" t="inlineStr"/>
      <c r="D48" s="59" t="inlineStr">
        <is>
          <t>NO conviene alquilar auto solo para llegar a la estación: sale $70-160 más caro que el Uber y sumás manejar, estacionar y devolver. Solo tiene sentido si van a usar el auto para otra cosa. Y NO manejes hasta PATH: son ~35 millas por la Ruta 78/22 en hora pico (45-70 min por tramo, o sea 1,5-2,5 h diarias al volante) y PATH te deja en downtown, no en Midtown.</t>
        </is>
      </c>
    </row>
    <row r="49" ht="40" customHeight="1">
      <c r="A49" s="59" t="inlineStr">
        <is>
          <t>⚠ Riesgo</t>
        </is>
      </c>
      <c r="B49" s="59" t="inlineStr"/>
      <c r="C49" s="59" t="inlineStr"/>
      <c r="D49" s="59" t="inlineStr">
        <is>
          <t>DOS RIESGOS. (1) EL HUECO DE LAS 22:48: si perdés ese tren, la próxima llegada a Raritan es a la 01:31, o sea 87 minutos después. No hay NADA en el medio. El de las 22:48 es el tren crítico de las dos noches que volvés a New Jersey. (2) Branchburg es zona semi-rural: la disponibilidad de Uber a las 6-7 AM puede ser baja y las esperas largas. Pedí el auto la noche anterior y tené plan B. AVISO: NJ Transit publica cambios por obras con ~2 semanas de anticipación — revisá njtransit.com/travel-alerts-to unos días antes.</t>
        </is>
      </c>
    </row>
    <row r="51" ht="22" customHeight="1">
      <c r="A51" s="33" t="inlineStr">
        <is>
          <t>Moverse dentro de NYC</t>
        </is>
      </c>
    </row>
    <row r="52" ht="40" customHeight="1">
      <c r="A52" s="60" t="inlineStr">
        <is>
          <t>🔴 CAMBIO CLAVE 2026</t>
        </is>
      </c>
      <c r="B52" s="60" t="inlineStr"/>
      <c r="C52" s="60" t="inlineStr"/>
      <c r="D52" s="60" t="inlineStr">
        <is>
          <t>EL METROCARD SE ELIMINÓ. Desde el 1 de enero de 2026 no se puede comprar ni recargar, y los pases de 7 y 30 días ilimitados ya no existen. No hay decisión que tomar: se usa OMNY.</t>
        </is>
      </c>
    </row>
    <row r="53" ht="26" customHeight="1">
      <c r="A53" s="39" t="inlineStr">
        <is>
          <t>Tarifa</t>
        </is>
      </c>
      <c r="B53" s="39" t="inlineStr">
        <is>
          <t>$3,00</t>
        </is>
      </c>
      <c r="C53" s="39" t="inlineStr"/>
      <c r="D53" s="39" t="inlineStr">
        <is>
          <t>$3,00 por viaje de subte o bus local (subió de $2,90 en enero 2026). Bus express $7,25.</t>
        </is>
      </c>
    </row>
    <row r="54" ht="40" customHeight="1">
      <c r="A54" s="58" t="inlineStr">
        <is>
          <t>Fare capping OMNY</t>
        </is>
      </c>
      <c r="B54" s="58" t="inlineStr">
        <is>
          <t>tope $35 / 7 días</t>
        </is>
      </c>
      <c r="C54" s="58" t="inlineStr"/>
      <c r="D54" s="58" t="inlineStr">
        <is>
          <t>Fare capping de OMNY: una vez que gastaste $35 en pasajes dentro de una ventana móvil de 7 días, el resto de esos 7 días viajás gratis. La regla es el MONTO ($35), no la cantidad de viajes — que den ~12 es aritmética ($3 × 11 = $33 y el viaje 12 cobra $2 hasta llegar a $35). La ventana arranca con el PRIMER tap, no el lunes. Los buses express, el AirTrain de JFK y los transbordos NO suman al tope.</t>
        </is>
      </c>
    </row>
    <row r="55" ht="40" customHeight="1">
      <c r="A55" s="59" t="inlineStr">
        <is>
          <t>⚠ CRÍTICO</t>
        </is>
      </c>
      <c r="B55" s="59" t="inlineStr"/>
      <c r="C55" s="59" t="inlineStr"/>
      <c r="D55" s="59" t="inlineStr">
        <is>
          <t>Hay que usar SIEMPRE EL MISMO plástico o dispositivo los 7 días. Si un día tapean con el celular y otro con la tarjeta física, el contador se parte en dos y nunca llegan al tope. Cada persona necesita su propio medio: no se puede tapear dos veces con la misma tarjeta. Y ojo con la tarjeta extranjera: cada tap puede generar comisión por consumo en el exterior — conviene una tarjeta sin esa comisión, o crear una cuenta OMNY.</t>
        </is>
      </c>
    </row>
    <row r="56" ht="40" customHeight="1">
      <c r="A56" s="39" t="inlineStr">
        <is>
          <t>Cuenta del viaje</t>
        </is>
      </c>
      <c r="B56" s="39" t="inlineStr"/>
      <c r="C56" s="39" t="inlineStr"/>
      <c r="D56" s="39" t="inlineStr">
        <is>
          <t>9 días en NYC = dos períodos de 7 días. Con uso intensivo, el techo es $35 + $35 = $70 por persona en todo el viaje. Con uso liviano pagan solo lo que usan: OMNY nunca cobra de más.</t>
        </is>
      </c>
    </row>
    <row r="57" ht="26" customHeight="1">
      <c r="A57" s="39" t="inlineStr">
        <is>
          <t>Ink48 (48th &amp; 11th Ave)</t>
        </is>
      </c>
      <c r="B57" s="39" t="inlineStr"/>
      <c r="C57" s="39" t="inlineStr"/>
      <c r="D57" s="39" t="inlineStr">
        <is>
          <t>50 St (C,E) a ~12 min caminando hacia el este. Es un hotel notoriamente lejos del subte.</t>
        </is>
      </c>
    </row>
    <row r="58" ht="26" customHeight="1">
      <c r="A58" s="39" t="inlineStr">
        <is>
          <t>The Beacon (Broadway &amp; 75th)</t>
        </is>
      </c>
      <c r="B58" s="39" t="inlineStr"/>
      <c r="C58" s="39" t="inlineStr"/>
      <c r="D58" s="39" t="inlineStr">
        <is>
          <t>72 St (1,2,3) a 3 cuadras, 79 St (1) a 4. Directo a Penn Station en 10 min.</t>
        </is>
      </c>
    </row>
  </sheetData>
  <mergeCells count="9">
    <mergeCell ref="A5:D5"/>
    <mergeCell ref="A23:D23"/>
    <mergeCell ref="A2:E2"/>
    <mergeCell ref="A4:D4"/>
    <mergeCell ref="A15:D15"/>
    <mergeCell ref="A1:E1"/>
    <mergeCell ref="A24:D24"/>
    <mergeCell ref="A16:D16"/>
    <mergeCell ref="A51:D5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showGridLines="0" workbookViewId="0">
      <selection activeCell="A1" sqref="A1"/>
    </sheetView>
  </sheetViews>
  <sheetFormatPr baseColWidth="8" defaultRowHeight="15"/>
  <cols>
    <col width="34" customWidth="1" min="1" max="1"/>
    <col width="16" customWidth="1" min="2" max="2"/>
    <col width="26" customWidth="1" min="3" max="3"/>
    <col width="60" customWidth="1" min="4" max="4"/>
    <col width="70" customWidth="1" min="5" max="5"/>
  </cols>
  <sheetData>
    <row r="1" ht="26" customHeight="1">
      <c r="A1" s="1" t="inlineStr">
        <is>
          <t>¿Conviene un pase?</t>
        </is>
      </c>
    </row>
    <row r="2" ht="30" customHeight="1">
      <c r="A2" s="2" t="inlineStr">
        <is>
          <t>Análisis contra el itinerario propuesto.</t>
        </is>
      </c>
    </row>
    <row r="4" ht="34" customHeight="1">
      <c r="A4" s="61" t="inlineStr">
        <is>
          <t>VEREDICTO:  TICKETS INDIVIDUALES. Ningún pase les cierra, y ahora está calculado por separado para cada uno: a Juan la mejor ventana posible le hace perder $60 y a Thais $97. El ahorro real de este viaje está en el calendario gratuito, no en los pases.</t>
        </is>
      </c>
    </row>
    <row r="6">
      <c r="A6" s="54" t="inlineStr">
        <is>
          <t>POR QUÉ</t>
        </is>
      </c>
    </row>
    <row r="7" ht="30" customHeight="1">
      <c r="A7" s="5" t="inlineStr">
        <is>
          <t>1.  El itinerario está construido sobre días gratis y pay-what-you-wish (Whitney viernes, MCNY miércoles, Frick miércoles, Guggenheim domingo, MoMA PS1, MoMI jueves). Nada de eso está en ningún pase, y los pases no lo compensan.</t>
        </is>
      </c>
    </row>
    <row r="8" ht="30" customHeight="1">
      <c r="A8" s="5" t="inlineStr">
        <is>
          <t>2.  SUMMIT One Vanderbilt y el MET — dos de los ítems más caros y deseados — NO están en NINGÚN pase. Se pagan aparte siempre.</t>
        </is>
      </c>
    </row>
    <row r="9" ht="30" customHeight="1">
      <c r="A9" s="5" t="inlineStr">
        <is>
          <t>3.  Los precios 'desde' oficiales son bajos si se compra con anticipación (Edge $34 con Advance Saver a 14+ días, Top of the Rock $42, ESB $44). Los pases se calculan contra los precios PICO ($57-69), no contra estos.</t>
        </is>
      </c>
    </row>
    <row r="10" ht="30" customHeight="1">
      <c r="A10" s="5" t="inlineStr">
        <is>
          <t>4.  El Go City All-Inclusive es de días CONSECUTIVOS: necesitarían ~7 atracciones en 3 días seguidos para amortizarlo, lo que choca de frente con los días de cierre (miércoles cierra el MET, martes cierran Frick y 9/11).</t>
        </is>
      </c>
    </row>
    <row r="11" ht="30" customHeight="1">
      <c r="A11" s="5" t="inlineStr">
        <is>
          <t>5.  Thais no está en Nueva York del 31/8 al 2/9 —trabaja en New Jersey— así que sus días útiles NO son consecutivos, que es justo lo que el pase exige. En todo el viaje hace $82 de atracciones que el pase cubra, contra $169 del pase más barato.</t>
        </is>
      </c>
    </row>
    <row r="13" ht="30" customHeight="1">
      <c r="A13" s="8" t="inlineStr">
        <is>
          <t>Pase</t>
        </is>
      </c>
      <c r="B13" s="8" t="inlineStr">
        <is>
          <t>Precio adulto</t>
        </is>
      </c>
      <c r="C13" s="8" t="inlineStr">
        <is>
          <t>Validez</t>
        </is>
      </c>
      <c r="D13" s="8" t="inlineStr">
        <is>
          <t>Qué incluye</t>
        </is>
      </c>
      <c r="E13" s="8" t="inlineStr">
        <is>
          <t>Análisis para este viaje</t>
        </is>
      </c>
    </row>
    <row r="14" ht="56" customHeight="1">
      <c r="A14" s="62" t="inlineStr">
        <is>
          <t>New York CityPASS C3</t>
        </is>
      </c>
      <c r="B14" s="39" t="inlineStr">
        <is>
          <t>$116 (con fee)</t>
        </is>
      </c>
      <c r="C14" s="39" t="inlineStr">
        <is>
          <t>9 días desde el primer uso</t>
        </is>
      </c>
      <c r="D14" s="39" t="inlineStr">
        <is>
          <t>Elegís 3 de 10: Empire State, Top of the Rock, Statue of Liberty+Ellis, 9/11 Museum, Edge, AMNH, Circle Line, MoMA, Intrepid, Guggenheim</t>
        </is>
      </c>
      <c r="E14" s="39" t="inlineStr">
        <is>
          <t>Con ESB + 9/11 + AMNH cubre $117 a precio 'desde'. Ahorro ≈ $1. Solo conviene si compran a último momento a precio pico (ahorro ~$20).</t>
        </is>
      </c>
    </row>
    <row r="15" ht="56" customHeight="1">
      <c r="A15" s="62" t="inlineStr">
        <is>
          <t>New York CityPASS (5 atracciones)</t>
        </is>
      </c>
      <c r="B15" s="39" t="inlineStr">
        <is>
          <t>$164</t>
        </is>
      </c>
      <c r="C15" s="39" t="inlineStr">
        <is>
          <t>9 días desde el primer uso</t>
        </is>
      </c>
      <c r="D15" s="39" t="inlineStr">
        <is>
          <t>Obligatorias: Empire State + AMNH. Después 3 de 6: Top of the Rock, 9/11, Statue of Liberty, Circle Line, Intrepid, Guggenheim</t>
        </is>
      </c>
      <c r="E15" s="39" t="inlineStr">
        <is>
          <t>El único con ahorro defendible: ~$28 a precio 'desde', ~$47 a precio pico. PERO solo si Circle Line y la Estatua ya estaban en el plan — y en este itinerario no están.</t>
        </is>
      </c>
    </row>
    <row r="16" ht="56" customHeight="1">
      <c r="A16" s="62" t="inlineStr">
        <is>
          <t>Go City Explorer (5 atracciones)</t>
        </is>
      </c>
      <c r="B16" s="39" t="inlineStr">
        <is>
          <t>$179</t>
        </is>
      </c>
      <c r="C16" s="39" t="inlineStr">
        <is>
          <t>30 días desde la primera atracción</t>
        </is>
      </c>
      <c r="D16" s="39" t="inlineStr">
        <is>
          <t>Elegís entre ~90 atracciones. NO incluye SUMMIT, MET, Tenement, Frick, Vessel.</t>
        </is>
      </c>
      <c r="E16" s="39" t="inlineStr">
        <is>
          <t>Ahorro ~$22 + Big Bus Tour gratis (valor hasta $81, promo hasta el 7 de septiembre). Solo vale si de verdad van a usar el bus turístico. Si no, el ahorro es marginal.</t>
        </is>
      </c>
    </row>
    <row r="17" ht="56" customHeight="1">
      <c r="A17" s="60" t="inlineStr">
        <is>
          <t>Go City All-Inclusive (3 días)</t>
        </is>
      </c>
      <c r="B17" s="59" t="inlineStr">
        <is>
          <t>$269</t>
        </is>
      </c>
      <c r="C17" s="59" t="inlineStr">
        <is>
          <t>3 días CONSECUTIVOS</t>
        </is>
      </c>
      <c r="D17" s="59" t="inlineStr">
        <is>
          <t>Todo lo del Explorer, ilimitado en 3 días seguidos</t>
        </is>
      </c>
      <c r="E17" s="59" t="inlineStr">
        <is>
          <t>❌ Necesita ~7 atracciones en 3 días consecutivos. Ritmo agotador y choca con los cierres semanales. No para este viaje.</t>
        </is>
      </c>
    </row>
    <row r="18" ht="56" customHeight="1">
      <c r="A18" s="60" t="inlineStr">
        <is>
          <t>The Sightseeing Pass</t>
        </is>
      </c>
      <c r="B18" s="59" t="inlineStr">
        <is>
          <t>—</t>
        </is>
      </c>
      <c r="C18" s="59" t="inlineStr">
        <is>
          <t>—</t>
        </is>
      </c>
      <c r="D18" s="59" t="inlineStr">
        <is>
          <t>—</t>
        </is>
      </c>
      <c r="E18" s="59" t="inlineStr">
        <is>
          <t>🚫 NO EXISTE MÁS. La empresa suspendió operaciones en junio de 2025; el AMNH le ganó un juicio de $508.474 en marzo de 2026 por entradas impagas. El sitio sigue online. NO COMPRAR.</t>
        </is>
      </c>
    </row>
    <row r="21">
      <c r="A21" s="54" t="inlineStr">
        <is>
          <t>COMPRAR CON ANTICIPACIÓN</t>
        </is>
      </c>
    </row>
    <row r="22" ht="26" customHeight="1">
      <c r="A22" s="63" t="inlineStr">
        <is>
          <t>▸  Edge con tarifa Advance Saver ($34): exige 14+ días de anticipación. Si lo quieren, hay que comprarlo ya.</t>
        </is>
      </c>
    </row>
    <row r="23" ht="26" customHeight="1">
      <c r="A23" s="63" t="inlineStr">
        <is>
          <t>▸  Village Vanguard (Patitucci/Potter/Blade, 1-6 sep): 123 asientos, se agota.</t>
        </is>
      </c>
    </row>
    <row r="24" ht="26" customHeight="1">
      <c r="A24" s="63" t="inlineStr">
        <is>
          <t>▸  Tenement Museum: los tours se agotan y no hay reembolso ni cambio.</t>
        </is>
      </c>
    </row>
    <row r="25" ht="26" customHeight="1">
      <c r="A25" s="63" t="inlineStr">
        <is>
          <t>▸  Estatua de la Libertad corona: se agota MESES antes. Para Labor Day weekend probablemente ya no haya.</t>
        </is>
      </c>
    </row>
    <row r="26" ht="26" customHeight="1">
      <c r="A26" s="63" t="inlineStr">
        <is>
          <t>▸  Morgan Library viernes gratis: la reserva se abre el viernes 28 de agosto, una semana antes.</t>
        </is>
      </c>
    </row>
  </sheetData>
  <mergeCells count="13">
    <mergeCell ref="A4:E4"/>
    <mergeCell ref="A26:E26"/>
    <mergeCell ref="A24:E24"/>
    <mergeCell ref="A2:E2"/>
    <mergeCell ref="A7:E7"/>
    <mergeCell ref="A10:E10"/>
    <mergeCell ref="A25:E25"/>
    <mergeCell ref="A11:E11"/>
    <mergeCell ref="A1:E1"/>
    <mergeCell ref="A23:E23"/>
    <mergeCell ref="A8:E8"/>
    <mergeCell ref="A22:E22"/>
    <mergeCell ref="A9:E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9"/>
  <sheetViews>
    <sheetView showGridLines="0" workbookViewId="0">
      <pane ySplit="4" topLeftCell="A5" activePane="bottomLeft" state="frozen"/>
      <selection pane="bottomLeft" activeCell="A1" sqref="A1"/>
    </sheetView>
  </sheetViews>
  <sheetFormatPr baseColWidth="8" defaultRowHeight="15"/>
  <cols>
    <col width="10" customWidth="1" min="1" max="1"/>
    <col width="44" customWidth="1" min="2" max="2"/>
    <col width="30" customWidth="1" min="3" max="3"/>
    <col width="34" customWidth="1" min="4" max="4"/>
    <col width="82" customWidth="1" min="5" max="5"/>
  </cols>
  <sheetData>
    <row r="1" ht="26" customHeight="1">
      <c r="A1" s="1" t="inlineStr">
        <is>
          <t>Checklist de reservas</t>
        </is>
      </c>
    </row>
    <row r="2" ht="30" customHeight="1">
      <c r="A2" s="2" t="inlineStr">
        <is>
          <t>Ordenado por urgencia. Marcá 'Hecho' en la columna amarilla.</t>
        </is>
      </c>
    </row>
    <row r="4" ht="30" customHeight="1">
      <c r="A4" s="8" t="inlineStr">
        <is>
          <t>Hecho</t>
        </is>
      </c>
      <c r="B4" s="8" t="inlineStr">
        <is>
          <t>Qué reservar</t>
        </is>
      </c>
      <c r="C4" s="8" t="inlineStr">
        <is>
          <t>Cuándo</t>
        </is>
      </c>
      <c r="D4" s="8" t="inlineStr">
        <is>
          <t>Dónde</t>
        </is>
      </c>
      <c r="E4" s="8" t="inlineStr">
        <is>
          <t>Por qué</t>
        </is>
      </c>
    </row>
    <row r="5" ht="40" customHeight="1">
      <c r="A5" s="41" t="inlineStr"/>
      <c r="B5" s="60" t="inlineStr">
        <is>
          <t>Birdland LUNES 31/8 — Vince Giordano &amp; the Nighthawks, set 20:30</t>
        </is>
      </c>
      <c r="C5" s="59" t="inlineStr">
        <is>
          <t>YA</t>
        </is>
      </c>
      <c r="D5" s="59" t="inlineStr">
        <is>
          <t>birdlandjazz.com</t>
        </is>
      </c>
      <c r="E5" s="59" t="inlineStr">
        <is>
          <t>Es ancla fija del lunes y era la ÚNICA ancla sin ítem en este checklist (lo detectó la auditoría). Los lunes de Giordano se llenan.</t>
        </is>
      </c>
    </row>
    <row r="6" ht="40" customHeight="1">
      <c r="A6" s="41" t="inlineStr"/>
      <c r="B6" s="60" t="inlineStr">
        <is>
          <t>PLAY de Broadway sáb 5/9 — COMPRA FIRME esta semana (Stranger Things: The First Shadow, o HP/Paranormal Activity/Imaginary Invalid)</t>
        </is>
      </c>
      <c r="C6" s="59" t="inlineStr">
        <is>
          <t>esta semana</t>
        </is>
      </c>
      <c r="D6" s="59" t="inlineStr">
        <is>
          <t>Telecharge / TodayTix</t>
        </is>
      </c>
      <c r="E6" s="59" t="inlineStr">
        <is>
          <t>Reemplaza al musical (pedido de Juan). Desde ~$76. ⚠️ Al comprar, VERIFICAR el horario de la función del sábado (19:00/19:30/20:00): tiene que TERMINAR ~22:00 para llegar al Café Wha 23:10.</t>
        </is>
      </c>
    </row>
    <row r="7" ht="40" customHeight="1">
      <c r="A7" s="41" t="inlineStr"/>
      <c r="B7" s="60" t="inlineStr">
        <is>
          <t>CAFÉ WHA sáb 5/9 — reserva GRATIS por Eventbrite (Set 2, 23:45)</t>
        </is>
      </c>
      <c r="C7" s="59" t="inlineStr">
        <is>
          <t>YA (la venta cierra el 5/9 y los cupos antes)</t>
        </is>
      </c>
      <c r="D7" s="59" t="inlineStr">
        <is>
          <t>eventbrite.com (The Cafe Wha? House Band - Saturday Set 2)</t>
        </is>
      </c>
      <c r="E7" s="59" t="inlineStr">
        <is>
          <t>Es SOLO reserva, no entrada: TODOS presentes a las 23:30 o liberan los asientos al standby. $20 de music charge por cabeza en la cuenta + consumo. Grupos &gt;10: contact@cafewha.com.</t>
        </is>
      </c>
    </row>
    <row r="8" ht="40" customHeight="1">
      <c r="A8" s="41" t="inlineStr"/>
      <c r="B8" s="60" t="inlineStr">
        <is>
          <t>SUMMIT — VIERNES 4/9, slot ATARDECER ~18:00-18:15</t>
        </is>
      </c>
      <c r="C8" s="59" t="inlineStr">
        <is>
          <t>YA</t>
        </is>
      </c>
      <c r="D8" s="59" t="inlineStr">
        <is>
          <t>summitov.com</t>
        </is>
      </c>
      <c r="E8" s="59" t="inlineStr">
        <is>
          <t>$57-63 la franja de atardecer y es LA que primero se agota. Pedido de ustedes: luz + atardecer (~19:21) + noche en un solo ticket, con los espejos de Kusama en el momento justo.</t>
        </is>
      </c>
    </row>
    <row r="9" ht="40" customHeight="1">
      <c r="A9" s="41" t="inlineStr"/>
      <c r="B9" s="60" t="inlineStr">
        <is>
          <t>Ford Foundation Atrium</t>
        </is>
      </c>
      <c r="C9" s="59" t="inlineStr">
        <is>
          <t>Antes de las 17h del día anterior</t>
        </is>
      </c>
      <c r="D9" s="59" t="inlineStr">
        <is>
          <t>fordfoundation.org</t>
        </is>
      </c>
      <c r="E9" s="59" t="inlineStr">
        <is>
          <t>Preinscripción obligatoria. Solo se puede entrar del 31/8 al 3/9 — cierra el 5, 6, 7 y 9 de septiembre.</t>
        </is>
      </c>
    </row>
    <row r="10" ht="40" customHeight="1">
      <c r="A10" s="41" t="inlineStr"/>
      <c r="B10" s="60" t="inlineStr">
        <is>
          <t>Morgan Library — viernes gratis 17-20h</t>
        </is>
      </c>
      <c r="C10" s="59" t="inlineStr">
        <is>
          <t>VIERNES 28 DE AGOSTO</t>
        </is>
      </c>
      <c r="D10" s="59" t="inlineStr">
        <is>
          <t>themorgan.org</t>
        </is>
      </c>
      <c r="E10" s="59" t="inlineStr">
        <is>
          <t>Las reservas se liberan exactamente una semana antes. Si no la sacan ese día, no entran gratis.</t>
        </is>
      </c>
    </row>
    <row r="11" ht="40" customHeight="1">
      <c r="A11" s="41" t="inlineStr"/>
      <c r="B11" s="60" t="inlineStr">
        <is>
          <t>Whitney — viernes gratis 17-22h</t>
        </is>
      </c>
      <c r="C11" s="59" t="inlineStr">
        <is>
          <t>YA (se liberan hasta 5 semanas antes)</t>
        </is>
      </c>
      <c r="D11" s="59" t="inlineStr">
        <is>
          <t>whitney.org</t>
        </is>
      </c>
      <c r="E11" s="59" t="inlineStr">
        <is>
          <t>OBLIGATORIA: el museo dice explícitamente que se necesita ticket y el cupo es limitado. No se entra caminando. OJO ADEMÁS: desde el 19 de agosto el Whitney volvió a su horario regular y CIERRA LOS MARTES.</t>
        </is>
      </c>
    </row>
    <row r="12" ht="40" customHeight="1">
      <c r="A12" s="41" t="inlineStr"/>
      <c r="B12" s="60" t="inlineStr">
        <is>
          <t>Moulin Rouge! — últimas funciones</t>
        </is>
      </c>
      <c r="C12" s="59" t="inlineStr">
        <is>
          <t>URGENTE si la quieren</t>
        </is>
      </c>
      <c r="D12" s="59" t="inlineStr">
        <is>
          <t>Telecharge / LuckySeat</t>
        </is>
      </c>
      <c r="E12" s="59" t="inlineStr">
        <is>
          <t>Cierra el 30 de agosto. Las funciones de cierre se agotan y se encarecen.</t>
        </is>
      </c>
    </row>
    <row r="13" ht="40" customHeight="1">
      <c r="A13" s="41" t="inlineStr"/>
      <c r="B13" s="60" t="inlineStr">
        <is>
          <t>9/11 Memorial Museum — JUEVES 3/9 ~10:30</t>
        </is>
      </c>
      <c r="C13" s="59" t="inlineStr">
        <is>
          <t>YA</t>
        </is>
      </c>
      <c r="D13" s="59" t="inlineStr">
        <is>
          <t>911memorial.org</t>
        </is>
      </c>
      <c r="E13" s="59" t="inlineStr">
        <is>
          <t>$36, TIMED TICKET OBLIGATORIO (el sitio oficial exige compra anticipada). Modificable hasta 24h antes. Movido del lunes gratis al jueves para hacer el WTC completo en una bajada.</t>
        </is>
      </c>
    </row>
    <row r="14" ht="40" customHeight="1">
      <c r="A14" s="41" t="inlineStr"/>
      <c r="B14" s="60" t="inlineStr">
        <is>
          <t>Top of the Rock — LUNES 31/8, slot ~18:00-18:15 (ATARDECER)</t>
        </is>
      </c>
      <c r="C14" s="59" t="inlineStr">
        <is>
          <t>YA</t>
        </is>
      </c>
      <c r="D14" s="59" t="inlineStr">
        <is>
          <t>topoftherocknyc.com</t>
        </is>
      </c>
      <c r="E14" s="59" t="inlineStr">
        <is>
          <t>La franja de atardecer es la cara (~$57-65) y la que vuela. Arco completo: luz → atardecer ~19:28 → noche hasta 20:05, y Birdland queda a 12 min a pie.</t>
        </is>
      </c>
    </row>
    <row r="15" ht="40" customHeight="1">
      <c r="A15" s="41" t="inlineStr"/>
      <c r="B15" s="60" t="inlineStr">
        <is>
          <t>PETER LUGER — SÁBADO 5/9 17:00 (Resy)</t>
        </is>
      </c>
      <c r="C15" s="59" t="inlineStr">
        <is>
          <t>YA MISMO</t>
        </is>
      </c>
      <c r="D15" s="59" t="inlineStr">
        <is>
          <t>Resy / peterluger.com</t>
        </is>
      </c>
      <c r="E15" s="59" t="inlineStr">
        <is>
          <t>Los sábados se agotan con SEMANAS. Y ojo al pagar: SIN tarjetas de crédito — efectivo, débito US o cheque. Llevar ~$200 en cash. Plan B: almuerzo del mismo sábado.</t>
        </is>
      </c>
    </row>
    <row r="16" ht="40" customHeight="1">
      <c r="A16" s="41" t="inlineStr"/>
      <c r="B16" s="60" t="inlineStr">
        <is>
          <t>✅ RESUELTO — la rotonda del Guggenheim está CERRADA hasta el 17/9. Por eso el domingo entra MoMA PS1 en su lugar; el Guggenheim quedó como alternativa escrita en el bloque de las 18:20</t>
        </is>
      </c>
      <c r="C16" s="59" t="inlineStr">
        <is>
          <t>verificado el 27/8, ya no hay que llamar</t>
        </is>
      </c>
      <c r="D16" s="59" t="inlineStr">
        <is>
          <t>guggenheim.org</t>
        </is>
      </c>
      <c r="E16" s="59" t="inlineStr">
        <is>
          <t>Es la única decisión del último día y ahora tiene plan B armado. La rotonda estaría en montaje hasta el 18 de septiembre, con entrada rebajada a ~$16; el pay-what-you-wish de domingos 16-17:30 no lo pude confirmar en fuente oficial (el sitio bloquea la lectura). SI LA ROTONDA ESTÁ CERRADA: el edificio —que es la razón para ir— se ve a medias, y conviene cambiarlo por MoMA PS1, el último imprescindible que queda afuera del viaje. Es gratis, abre los domingos hasta las 18 y ese día pasan a 1,2 km. Los tiempos están en el bloque de las 15:00 del domingo y no tocan el vuelo.</t>
        </is>
      </c>
    </row>
    <row r="17" ht="40" customHeight="1">
      <c r="A17" s="41" t="inlineStr"/>
      <c r="B17" s="60" t="inlineStr">
        <is>
          <t>STUDIO MUSEUM sáb 29 — entrada con HORARIO ASIGNADO, sacarla antes. «Fade» cierra el 6/9: el sábado es la única pasada del viaje</t>
        </is>
      </c>
      <c r="C17" s="59" t="inlineStr">
        <is>
          <t>HOY</t>
        </is>
      </c>
      <c r="D17" s="59" t="inlineStr">
        <is>
          <t>studiomuseum.org</t>
        </is>
      </c>
      <c r="E17" s="59" t="inlineStr">
        <is>
          <t>Reabrió este año tras siete cerrado, en el edificio nuevo de Adjaye. Sugerido $16, gratis los domingos. Lo detectó el barrido del 27/8: la entrada es con hora asignada, no se entra y ya.</t>
        </is>
      </c>
    </row>
    <row r="18" ht="40" customHeight="1">
      <c r="A18" s="41" t="inlineStr"/>
      <c r="B18" s="60" t="inlineStr">
        <is>
          <t>FRICK mié 2 — reservar la ventana a voluntad de 13:30 a 17:30</t>
        </is>
      </c>
      <c r="C18" s="59" t="inlineStr">
        <is>
          <t>HOY</t>
        </is>
      </c>
      <c r="D18" s="59" t="inlineStr">
        <is>
          <t>frick.org</t>
        </is>
      </c>
      <c r="E18" s="59" t="inlineStr">
        <is>
          <t>Esa ventana es TODA: fuera de ella son $30 por cabeza. Online el mínimo es $5. El cupo en puerta existe pero no está garantizado, y son solo cuatro horas.</t>
        </is>
      </c>
    </row>
    <row r="19" ht="40" customHeight="1">
      <c r="A19" s="41" t="inlineStr"/>
      <c r="B19" s="60" t="inlineStr">
        <is>
          <t>MORGAN LIBRARY vie 4 — las reservas del viernes gratis (17-20h) se liberan HOY, viernes 28</t>
        </is>
      </c>
      <c r="C19" s="59" t="inlineStr">
        <is>
          <t>HOY, es el día</t>
        </is>
      </c>
      <c r="D19" s="59" t="inlineStr">
        <is>
          <t>themorgan.org</t>
        </is>
      </c>
      <c r="E19" s="59" t="inlineStr">
        <is>
          <t>Reserva obligatoria y se agota. Si no sale, el viernes queda un hueco de 17:00 a 18:10 antes del SUMMIT.</t>
        </is>
      </c>
    </row>
    <row r="20" ht="40" customHeight="1">
      <c r="A20" s="41" t="inlineStr"/>
      <c r="B20" s="60" t="inlineStr">
        <is>
          <t>Revisar travel alerts de NJ Transit para la noche del 2/9 y la mañana del 3/9</t>
        </is>
      </c>
      <c r="C20" s="59" t="inlineStr">
        <is>
          <t>2-3 días antes</t>
        </is>
      </c>
      <c r="D20" s="59" t="inlineStr">
        <is>
          <t>njtransit.com/travel-alerts-to</t>
        </is>
      </c>
      <c r="E20" s="59" t="inlineStr">
        <is>
          <t>La ÚNICA noche que queda de vuelta a New Jersey (mié 2) depende del directo de las 22:48 — si se cae, la próxima llegada a Raritan es 01:31. Y el jueves 6:55 con las maletas también es NJT.</t>
        </is>
      </c>
    </row>
    <row r="21" ht="40" customHeight="1">
      <c r="A21" s="41" t="inlineStr"/>
      <c r="B21" s="62" t="inlineStr">
        <is>
          <t>MO Lounge (Mandarin Oriental, piso 35) — JUEVES 3/9 ~20:30, antes de Dizzy's</t>
        </is>
      </c>
      <c r="C21" s="39" t="inlineStr">
        <is>
          <t>1 semana antes</t>
        </is>
      </c>
      <c r="D21" s="39" t="inlineStr">
        <is>
          <t>mandarinoriental.com (SevenRooms)</t>
        </is>
      </c>
      <c r="E21" s="39" t="inlineStr">
        <is>
          <t>Ventanales sobre Central Park y está en el MISMO edificio que Dizzy's: se baja en ascensor. Coctel ~$26-32, sin cover. Alternativa en el mismo piso: The Bar (mar-sáb 17-1h, 45 asientos).</t>
        </is>
      </c>
    </row>
    <row r="22" ht="40" customHeight="1">
      <c r="A22" s="41" t="inlineStr"/>
      <c r="B22" s="62" t="inlineStr">
        <is>
          <t>Dos mails operativos: early check-in Ink48 (para el sáb 29) y luggage drop en The Beacon desde las 8:45 (jue 3)</t>
        </is>
      </c>
      <c r="C22" s="39" t="inlineStr">
        <is>
          <t>esta semana</t>
        </is>
      </c>
      <c r="D22" s="39" t="inlineStr">
        <is>
          <t>mail a cada hotel</t>
        </is>
      </c>
      <c r="E22" s="39" t="inlineStr">
        <is>
          <t>El día 1 y el día 6 dependen de que los dos hoteles digan que sí. Un mail de dos líneas cada uno.</t>
        </is>
      </c>
    </row>
    <row r="23" ht="40" customHeight="1">
      <c r="A23" s="41" t="inlineStr"/>
      <c r="B23" s="62" t="inlineStr">
        <is>
          <t>✅ RESUELTO — festival Charlie Parker: sáb 29, Marcus Garvey Park, 14:00 a 19:00, cierra JOSHUA REDMAN con Nat Adderley Jr., Catherine Russell y Nicole Glover</t>
        </is>
      </c>
      <c r="C23" s="39" t="inlineStr">
        <is>
          <t>verificado el 27/8</t>
        </is>
      </c>
      <c r="D23" s="39" t="inlineStr">
        <is>
          <t>cityparksfoundation.org</t>
        </is>
      </c>
      <c r="E23" s="39" t="inlineStr">
        <is>
          <t>La salida obligada de las 18:30 puede o no cortar el set de cierre. Saberlo el día antes permite decidir el plan B del subte (salir 18:10) con datos.</t>
        </is>
      </c>
    </row>
    <row r="24" ht="40" customHeight="1">
      <c r="A24" s="41" t="inlineStr"/>
      <c r="B24" s="62" t="inlineStr">
        <is>
          <t>Broadway — loterías digitales</t>
        </is>
      </c>
      <c r="C24" s="39" t="inlineStr">
        <is>
          <t>TODOS LOS DÍAS desde ya</t>
        </is>
      </c>
      <c r="D24" s="39" t="inlineStr">
        <is>
          <t>Broadway Direct, Telecharge, LuckySeat, TodayTix</t>
        </is>
      </c>
      <c r="E24" s="39" t="inlineStr">
        <is>
          <t>Entrar es GRATIS. Hamilton $10, Maybe Happy Ending $20,64, MJ/Hadestown/Moulin Rouge $49. Anotarse a 5-6 por día no cuesta nada.</t>
        </is>
      </c>
    </row>
    <row r="25" ht="40" customHeight="1">
      <c r="A25" s="41" t="inlineStr"/>
      <c r="B25" s="62" t="inlineStr">
        <is>
          <t>One World Observatory — JUEVES 3/9 ~13:45</t>
        </is>
      </c>
      <c r="C25" s="39" t="inlineStr">
        <is>
          <t>1-2 semanas antes</t>
        </is>
      </c>
      <c r="D25" s="39" t="inlineStr">
        <is>
          <t>oneworldobservatory.com</t>
        </is>
      </c>
      <c r="E25" s="39" t="inlineStr">
        <is>
          <t>$44 + $3,50 fee, ventana de entrada de 15 min. Los slots de la tarde se agotan en verano.</t>
        </is>
      </c>
    </row>
    <row r="26" ht="40" customHeight="1">
      <c r="A26" s="41" t="inlineStr"/>
      <c r="B26" s="62" t="inlineStr">
        <is>
          <t>Mercer Labs — DOMINGO 30/8, slot 17:30 (Fever)</t>
        </is>
      </c>
      <c r="C26" s="39" t="inlineStr">
        <is>
          <t>esta semana</t>
        </is>
      </c>
      <c r="D26" s="39" t="inlineStr">
        <is>
          <t>mercerlabs.com</t>
        </is>
      </c>
      <c r="E26" s="39" t="inlineStr">
        <is>
          <t>Hasta $57 por cabeza según franja; los slots del fin de semana se agotan en Fever. El domingo abre hasta las 22, así que si el 17:30 no está, cualquier slot 17:00-18:00 mantiene la cadena (Crown al atardecer 19:15).</t>
        </is>
      </c>
    </row>
    <row r="27" ht="40" customHeight="1">
      <c r="A27" s="41" t="inlineStr"/>
      <c r="B27" s="62" t="inlineStr">
        <is>
          <t>JGStay SoHo — RESUELTO (JP: 31/8 → 2/9). Confirmar la CONSIGNA de equipaje por mensaje</t>
        </is>
      </c>
      <c r="C27" s="39" t="inlineStr">
        <is>
          <t>esta semana</t>
        </is>
      </c>
      <c r="D27" s="39" t="inlineStr">
        <is>
          <t>jgstay.com</t>
        </is>
      </c>
      <c r="E27" s="39" t="inlineStr">
        <is>
          <t>Ya reservado por Juan: adiós a dos de las tres vueltas nocturnas a NJ. Confirmar: dejar bolso lunes ~8:35 (antes del check-in) y consigna el miércoles post-checkout hasta ~17:00. Desayuno incluido 7-9 AM; recepción 24 h; Canal St (6, N/Q/R/W, J/Z) a pasos.</t>
        </is>
      </c>
    </row>
    <row r="28" ht="40" customHeight="1">
      <c r="A28" s="41" t="inlineStr"/>
      <c r="B28" s="62" t="inlineStr">
        <is>
          <t>Uber en Branchburg — quedó UNA sola mañana (jueves 3, 6:20)</t>
        </is>
      </c>
      <c r="C28" s="39" t="inlineStr">
        <is>
          <t>mié 2: pedir el de Raritan→hotel ANTES de subir al tren, y programar el del jueves 6:20</t>
        </is>
      </c>
      <c r="D28" s="39" t="inlineStr">
        <is>
          <t>app</t>
        </is>
      </c>
      <c r="E28" s="39" t="inlineStr">
        <is>
          <t>Zona semi-rural: a las 0:04 y a las 6:20 puede no haber conductores. Programar con anticipación y tener plan B.</t>
        </is>
      </c>
    </row>
    <row r="29" ht="40" customHeight="1">
      <c r="A29" s="41" t="inlineStr"/>
      <c r="B29" s="62" t="inlineStr">
        <is>
          <t>Birdland sáb 29/8 — RESERVAR set 21:30: David DeJesus &amp; the Boptet, 'Celebrating Charlie Parker'</t>
        </is>
      </c>
      <c r="C29" s="39" t="inlineStr">
        <is>
          <t>YA</t>
        </is>
      </c>
      <c r="D29" s="39" t="inlineStr">
        <is>
          <t>birdlandjazz.com</t>
        </is>
      </c>
      <c r="E29" s="39" t="inlineStr">
        <is>
          <t>Cartelera verificada (22/8): tributo a Charlie Parker el día del cumpleaños de Bird, en el club que lleva su nombre, a 8 cuadras del Ink48 — encaja exacto tras los 90 min de mesa en Hudson VU (mesa cierra 21:00). Alternativa más tarde: Makoto Ozone Trio 22:30.</t>
        </is>
      </c>
    </row>
    <row r="30" ht="40" customHeight="1">
      <c r="A30" s="41" t="inlineStr"/>
      <c r="B30" s="62" t="inlineStr">
        <is>
          <t>AirTrain + NJ Transit — ahora es el PLAN B de la llegada (entró el Uber Shuttle). Igual conviene reverificarlo: es lo que salva el sábado si migraciones se estira</t>
        </is>
      </c>
      <c r="C30" s="39" t="inlineStr">
        <is>
          <t>HOY, viernes 28</t>
        </is>
      </c>
      <c r="D30" s="39" t="inlineStr">
        <is>
          <t>njtransit.com</t>
        </is>
      </c>
      <c r="E30" s="39" t="inlineStr">
        <is>
          <t>Obra de reemplazo hasta 2030, con advisories que se renuevan mes a mes.</t>
        </is>
      </c>
    </row>
    <row r="31" ht="40" customHeight="1">
      <c r="A31" s="41" t="inlineStr"/>
      <c r="B31" s="62" t="inlineStr">
        <is>
          <t>Dizzy's JUEVES 3/9 21:00 — solo si deciden mantenerlo</t>
        </is>
      </c>
      <c r="C31" s="39" t="inlineStr">
        <is>
          <t>2-3 días antes</t>
        </is>
      </c>
      <c r="D31" s="39" t="inlineStr">
        <is>
          <t>jazz.org/dizzys</t>
        </is>
      </c>
      <c r="E31" s="39" t="inlineStr">
        <is>
          <t>Entradas con horario. CONDICIONAL: es la noche del día de ~17 horas con 5 de sueño — decidan a las 20:00 de ese día; la reserva flexible o el set Late Night (~22:45) son las opciones de bajo riesgo.</t>
        </is>
      </c>
    </row>
    <row r="32" ht="40" customHeight="1">
      <c r="A32" s="41" t="inlineStr"/>
      <c r="B32" s="62" t="inlineStr">
        <is>
          <t>Tenement Museum — SOLO SI deciden sumarlo (quedó FUERA del plan)</t>
        </is>
      </c>
      <c r="C32" s="39" t="inlineStr">
        <is>
          <t>solo si lo suman</t>
        </is>
      </c>
      <c r="D32" s="39" t="inlineStr">
        <is>
          <t>tenement.org</t>
        </is>
      </c>
      <c r="E32" s="39" t="inlineStr">
        <is>
          <t>Los dos lo bajaron a 'quizás' y no está en ningún día. OJO: es sin reembolso — no reservar algo que no está agendado.</t>
        </is>
      </c>
    </row>
    <row r="33" ht="40" customHeight="1">
      <c r="A33" s="41" t="inlineStr"/>
      <c r="B33" s="62" t="inlineStr">
        <is>
          <t>Edge — tarifa Advance Saver $34</t>
        </is>
      </c>
      <c r="C33" s="39" t="inlineStr">
        <is>
          <t>YA (exige 14+ días)</t>
        </is>
      </c>
      <c r="D33" s="39" t="inlineStr">
        <is>
          <t>edgenyc.com</t>
        </is>
      </c>
      <c r="E33" s="39" t="inlineStr">
        <is>
          <t>FUERA del plan (lo marcaron 0/0 en la última pasada). Solo si cambian de idea; con SUMMIT y Top of the Rock ya se solapa mucho.</t>
        </is>
      </c>
    </row>
    <row r="34" ht="40" customHeight="1">
      <c r="A34" s="41" t="inlineStr"/>
      <c r="B34" s="62" t="inlineStr">
        <is>
          <t>Noguchi Museum — FUERA del plan (0/0)</t>
        </is>
      </c>
      <c r="C34" s="39" t="inlineStr">
        <is>
          <t>solo si lo suman</t>
        </is>
      </c>
      <c r="D34" s="39" t="inlineStr">
        <is>
          <t>noguchi.org</t>
        </is>
      </c>
      <c r="E34" s="39" t="inlineStr">
        <is>
          <t>Lo marcaron 0/0: no reservar salvo cambio de idea. (El primer viernes del mes es gratis hasta las 20h, por si acaso.)</t>
        </is>
      </c>
    </row>
    <row r="35" ht="40" customHeight="1">
      <c r="A35" s="41" t="inlineStr"/>
      <c r="B35" s="62" t="inlineStr">
        <is>
          <t>Lincoln Center — revisar calendario de la semana 3-6/9 (Atrium gratis, Film at Lincoln Center)</t>
        </is>
      </c>
      <c r="C35" s="39" t="inlineStr">
        <is>
          <t>1 semana antes</t>
        </is>
      </c>
      <c r="D35" s="39" t="inlineStr">
        <is>
          <t>lincolncenter.org</t>
        </is>
      </c>
      <c r="E35" s="39" t="inlineStr">
        <is>
          <t>Las salas grandes están entre temporadas (Filarmónica abre 10/9; Met Opera y Ballet después), pero el David Rubenstein Atrium suele tener shows GRATIS entre semana y Film at Lincoln Center proyecta todo el año. Si aparece algo bueno el jueves o viernes, la plaza ya está en el plan del jueves 20:30 y el cambio es trivial.</t>
        </is>
      </c>
    </row>
    <row r="36" ht="40" customHeight="1">
      <c r="A36" s="41" t="inlineStr"/>
      <c r="B36" s="62" t="inlineStr">
        <is>
          <t>The Vessel — VIERNES 4/9 10:00</t>
        </is>
      </c>
      <c r="C36" s="39" t="inlineStr">
        <is>
          <t>2-3 días antes</t>
        </is>
      </c>
      <c r="D36" s="39" t="inlineStr">
        <is>
          <t>hudsonyardsnewyork.com</t>
        </is>
      </c>
      <c r="E36" s="39" t="inlineStr">
        <is>
          <t>$10 (flex $15). Suele haber en el día, pero el timed ticket de las 10:00 asegura el arranque sin fila.</t>
        </is>
      </c>
    </row>
    <row r="37" ht="40" customHeight="1">
      <c r="A37" s="41" t="inlineStr"/>
      <c r="B37" s="62" t="inlineStr">
        <is>
          <t>Estatua de la Libertad — corona o pedestal</t>
        </is>
      </c>
      <c r="C37" s="39" t="inlineStr">
        <is>
          <t>YA, y probablemente sea tarde</t>
        </is>
      </c>
      <c r="D37" s="39" t="inlineStr">
        <is>
          <t>statuecitycruises.com</t>
        </is>
      </c>
      <c r="E37" s="39" t="inlineStr">
        <is>
          <t>La corona se agota meses antes. SOLO por el sitio oficial: ninguna agencia vende corona.</t>
        </is>
      </c>
    </row>
    <row r="38" ht="40" customHeight="1">
      <c r="A38" s="41" t="inlineStr"/>
      <c r="B38" s="62" t="inlineStr">
        <is>
          <t>Bill's Place — SALIÓ del plan (lo desplazó el Vanguard del viernes)</t>
        </is>
      </c>
      <c r="C38" s="39" t="inlineStr">
        <is>
          <t>solo si cambian de idea</t>
        </is>
      </c>
      <c r="D38" s="39" t="inlineStr">
        <is>
          <t>billsplaceharlem.com</t>
        </is>
      </c>
      <c r="E38" s="39" t="inlineStr">
        <is>
          <t>Toca viernes y sábado nomás, y las dos noches están tomadas. Queda como la alternativa si prefieren el speakeasy de Harlem antes que el Vanguard: en ese caso el Vanguard vuelve al martes y Juan va solo.</t>
        </is>
      </c>
    </row>
    <row r="39" ht="40" customHeight="1">
      <c r="A39" s="41" t="inlineStr"/>
      <c r="B39" s="62" t="inlineStr">
        <is>
          <t>Village Vanguard — VIERNES 4/9, set de las 22:00 (Patitucci/Potter/Blade), DOS lugares</t>
        </is>
      </c>
      <c r="C39" s="39" t="inlineStr">
        <is>
          <t>COMPRADAS 26/8</t>
        </is>
      </c>
      <c r="D39" s="39" t="inlineStr">
        <is>
          <t>2 x GA $45 - #18741454 y #18741456</t>
        </is>
      </c>
      <c r="E39" s="39" t="inlineStr">
        <is>
          <t>LISTO. A nombre de Juan Pablo Garicoits, $90 en total. Lo que queda del dia: son asientos POR ORDEN DE LLEGADA (el acomodo del 2do set abre 21:30, no 22:00) y hay minimo de una consumicion por cabeza. No sirven comida: cenar antes.</t>
        </is>
      </c>
    </row>
  </sheetData>
  <mergeCells count="2">
    <mergeCell ref="A2:E2"/>
    <mergeCell ref="A1:E1"/>
  </mergeCells>
  <dataValidations count="1">
    <dataValidation sqref="A5:A40" showDropDown="0" showInputMessage="0" showErrorMessage="0" allowBlank="1" type="list">
      <formula1>"SÍ,NO"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showGridLines="0" workbookViewId="0">
      <selection activeCell="A1" sqref="A1"/>
    </sheetView>
  </sheetViews>
  <sheetFormatPr baseColWidth="8" defaultRowHeight="15"/>
  <cols>
    <col width="36" customWidth="1" min="1" max="1"/>
    <col width="70" customWidth="1" min="2" max="2"/>
    <col width="70" customWidth="1" min="3" max="3"/>
    <col width="70" customWidth="1" min="4" max="4"/>
  </cols>
  <sheetData>
    <row r="1" ht="26" customHeight="1">
      <c r="A1" s="1" t="inlineStr">
        <is>
          <t>Decisiones abiertas</t>
        </is>
      </c>
    </row>
    <row r="2" ht="30" customHeight="1">
      <c r="A2" s="2" t="inlineStr">
        <is>
          <t>Lo que falta definir, con los números para decidir.</t>
        </is>
      </c>
    </row>
    <row r="4" ht="30" customHeight="1">
      <c r="A4" s="8" t="inlineStr">
        <is>
          <t>Decisión</t>
        </is>
      </c>
      <c r="B4" s="8" t="inlineStr">
        <is>
          <t>De qué se trata</t>
        </is>
      </c>
      <c r="C4" s="8" t="inlineStr">
        <is>
          <t>Los números</t>
        </is>
      </c>
      <c r="D4" s="8" t="inlineStr">
        <is>
          <t>Qué hace falta / mi recomendación</t>
        </is>
      </c>
    </row>
    <row r="5" ht="78" customHeight="1">
      <c r="A5" s="62" t="inlineStr">
        <is>
          <t>✅ RESUELTO — dónde duerme JP del 31 al 3</t>
        </is>
      </c>
      <c r="B5" s="39" t="inlineStr">
        <is>
          <t>Confirmado por Juan: noche del 31 en New Jersey, noche del 1 en NYC (habitación propia), noche del 2 en New Jersey, y el jueves 3 viaja desde New Jersey con las maletas para dejarlas en The Beacon temprano.</t>
        </is>
      </c>
      <c r="C5" s="39" t="inlineStr">
        <is>
          <t>4 tramos de tren × $18,50 = $74 + 4 Ubers Branchburg↔Raritan × ~$18 = $72. Total ~$146 para JP. Thais suma 2 tramos ($37) + 2 Ubers (~$36) por su ida el 31 y su vuelta el 3.</t>
        </is>
      </c>
      <c r="D5" s="39" t="inlineStr">
        <is>
          <t>ACTUALIZADO con el JGStay SoHo: quedó UNA sola vuelta nocturna a New Jersey — el miércoles después del SummerStage, con el directo de las 22:48 que llega a Raritan ~0:04, más Uber. Sigue siendo la noche cara: el jueves hay que levantarse 5:45 para el tren de las 6:55 con las maletas. El lunes y el martes JP duerme en SoHo, sin trenes.</t>
        </is>
      </c>
    </row>
    <row r="6" ht="78" customHeight="1">
      <c r="A6" s="62" t="inlineStr">
        <is>
          <t>Moulin Rouge! el domingo 30 vs Charlie Parker Festival</t>
        </is>
      </c>
      <c r="B6" s="39" t="inlineStr">
        <is>
          <t>Las últimas funciones de Moulin Rouge son ese fin de semana y probablemente la de cierre sea la matinée del domingo, que choca de lleno con Ravi Coltrane en Tompkins Square.</t>
        </is>
      </c>
      <c r="C6" s="39" t="inlineStr">
        <is>
          <t>Moulin Rouge: $49 por lotería, $90+ comprado. Charlie Parker: gratis.</t>
        </is>
      </c>
      <c r="D6" s="39" t="inlineStr">
        <is>
          <t>Hay que confirmar el horario exacto de la función de cierre. Mi recomendación: Charlie Parker, y Broadway otro día por TKTS o lotería.</t>
        </is>
      </c>
    </row>
    <row r="7" ht="78" customHeight="1">
      <c r="A7" s="62" t="inlineStr">
        <is>
          <t>¿Cuántos observatorios pagos?</t>
        </is>
      </c>
      <c r="B7" s="39" t="inlineStr">
        <is>
          <t>SUMMIT, Top of the Rock, Edge, Empire State y One World se solapan mucho entre sí. El video que mandaste propone tres ($120 por persona).</t>
        </is>
      </c>
      <c r="C7" s="39" t="inlineStr">
        <is>
          <t>Mi recomendación: UNO pago (Top of the Rock, el único desde el que se ve el Empire State en el encuadre) + los gratuitos: Roosevelt Island Tramway ($3), Gantry Plaza, Brooklyn Heights Promenade, Staten Island Ferry, Westlight. Si quieren la experiencia-espectáculo, SUMMIT en vez de Top of the Rock.</t>
        </is>
      </c>
      <c r="D7" s="39" t="inlineStr">
        <is>
          <t>Si eligen SUMMIT: no está en ningún pase, se compra suelto.</t>
        </is>
      </c>
    </row>
    <row r="8" ht="78" customHeight="1">
      <c r="A8" s="62" t="inlineStr">
        <is>
          <t>US Open</t>
        </is>
      </c>
      <c r="B8" s="39" t="inlineStr">
        <is>
          <t>El cuadro principal arranca el 30 de agosto y les cae encima toda la estadía. Marcaron que no les interesa, pero lo dejo anotado.</t>
        </is>
      </c>
      <c r="C8" s="39" t="inlineStr">
        <is>
          <t>Grounds pass desde ~$80. Las primeras rondas (30 ago - 2 sep) es cuando más partidos simultáneos hay.</t>
        </is>
      </c>
      <c r="D8" s="39" t="inlineStr">
        <is>
          <t>Se come un día entero. Si lo quisieran, el mejor encaje sería el martes 1 o miércoles 2 (días de JP solo).</t>
        </is>
      </c>
    </row>
    <row r="9" ht="78" customHeight="1">
      <c r="A9" s="62" t="inlineStr">
        <is>
          <t>Tu lista de Google Maps</t>
        </is>
      </c>
      <c r="B9" s="39" t="inlineStr">
        <is>
          <t>No pude leerla (la extensión de Chrome no conecta). Está pendiente de incorporar.</t>
        </is>
      </c>
      <c r="C9" s="39" t="inlineStr">
        <is>
          <t>—</t>
        </is>
      </c>
      <c r="D9" s="39" t="inlineStr">
        <is>
          <t>Pegá los nombres en el chat y los cruzo contra estos 130 lugares: marco los que ya están, agrego los que faltan y te digo cuáles chocan con el itinerario.</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2026-09-02T03:38:01Z</dcterms:created>
  <dcterms:modified xsi:type="dcterms:W3CDTF">2026-09-02T03:38:02Z</dcterms:modified>
</cp:coreProperties>
</file>