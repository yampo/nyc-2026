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59" authorId="0" shapeId="0">
      <text>
        <t>una botella ronda $12-20; probar es gratis</t>
      </text>
    </comment>
    <comment ref="I260" authorId="0" shapeId="0">
      <text>
        <t>una botella ronda $12-20; probar es gratis</t>
      </text>
    </comment>
    <comment ref="I267" authorId="0" shapeId="0">
      <text>
        <t>Entrada libre 7-19h. Trolley tours con costo: sab 29/8 y sab 5/9, 13-15h.</t>
      </text>
    </comment>
    <comment ref="I269" authorId="0" shapeId="0">
      <text>
        <t>estimado, sin verificar contra la fuente</t>
      </text>
    </comment>
    <comment ref="I270" authorId="0" shapeId="0">
      <text>
        <t>$10. GRATIS todos los jueves.</t>
      </text>
    </comment>
    <comment ref="U270" authorId="0" shapeId="0">
      <text>
        <t>En la lista de Google figura como: Wave Hill Public Garden &amp; Cultural Center
(coincide con lo que habíamos propuesto nosotros)</t>
      </text>
    </comment>
    <comment ref="U287" authorId="0" shapeId="0">
      <text>
        <t>En la lista de Google figura como: Washington Square Park
(coincide con lo que habíamos propuesto nosotros)</t>
      </text>
    </comment>
    <comment ref="U288" authorId="0" shapeId="0">
      <text>
        <t>En la lista de Google figura como: High Line
(coincide con lo que habíamos propuesto nosotros)</t>
      </text>
    </comment>
    <comment ref="I289" authorId="0" shapeId="0">
      <text>
        <t>Grounds pass desde ~$80 segun sesion</t>
      </text>
    </comment>
    <comment ref="I290" authorId="0" shapeId="0">
      <text>
        <t>GRATIS, sin reserva</t>
      </text>
    </comment>
    <comment ref="I291" authorId="0" shapeId="0">
      <text>
        <t>GRATIS, sin reserva</t>
      </text>
    </comment>
    <comment ref="I292" authorId="0" shapeId="0">
      <text>
        <t>GRATIS</t>
      </text>
    </comment>
    <comment ref="I293" authorId="0" shapeId="0">
      <text>
        <t>precios no publicados aun - VERIFICAR en wiadcacarnival.org</t>
      </text>
    </comment>
    <comment ref="I296" authorId="0" shapeId="0">
      <text>
        <t>precio no publicado - consultar green-wood.com</t>
      </text>
    </comment>
    <comment ref="I297" authorId="0" shapeId="0">
      <text>
        <t>Promedio real pagado $112. LOTERIA $10 (HamiltonMusical.com, cierra jueves 12h de la semana previa).</t>
      </text>
    </comment>
    <comment ref="I298" authorId="0" shapeId="0">
      <text>
        <t>Promedio real pagado $59. LOTERIA $20.64 (Telecharge, cierra 15h del dia previo). Rush $49.</t>
      </text>
    </comment>
    <comment ref="I299" authorId="0" shapeId="0">
      <text>
        <t>Loteria LuckySeat $49. Funciones de cierre suelen encarecerse.</t>
      </text>
    </comment>
    <comment ref="I300" authorId="0" shapeId="0">
      <text>
        <t>Promedio real $63. Rush $49 en boleteria a las 10h. TKTS ~40% off.</t>
      </text>
    </comment>
    <comment ref="I301" authorId="0" shapeId="0">
      <text>
        <t>Loteria digital $40 (Telecharge, sorteos 10h y 15h)</t>
      </text>
    </comment>
    <comment ref="I302" authorId="0" shapeId="0">
      <text>
        <t>Desde ~$76-100 segun funcion. Alternativas de play esa semana: Harry Potter and the Cursed Child (Lyric), Paranormal Activity (August Wilson), The Imaginary Invalid (Roundabout).</t>
      </text>
    </comment>
    <comment ref="I303" authorId="0" shapeId="0">
      <text>
        <t>Hasta 50% off (tipico 40%) + $8 de fee por ticket. Max 6 por persona.</t>
      </text>
    </comment>
    <comment ref="U303" authorId="0" shapeId="0">
      <text>
        <t>En la lista de Google figura como: TKTS Lincoln Center
(coincide con lo que habíamos propuesto nosotros)</t>
      </text>
    </comment>
    <comment ref="U305" authorId="0" shapeId="0">
      <text>
        <t>En la lista de Google figura como: Ink 48 Hotel
(coincide con lo que habíamos propuesto nosotros)</t>
      </text>
    </comment>
    <comment ref="U306" authorId="0" shapeId="0">
      <text>
        <t>En la lista de Google figura como: Hotel Beacon
(coincide con lo que habíamos propuesto nosotros)</t>
      </text>
    </comment>
    <comment ref="U308"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ATONIST%20Chelsea%20Market%2C%2075%209th%20Ave%20%28dentro%20del%20Chelsea%20Market%29%2C%20New%20York" TargetMode="External" Id="rId255" /><Relationship Type="http://schemas.openxmlformats.org/officeDocument/2006/relationships/hyperlink" Target="https://www.google.com/maps/search/?api=1&amp;query=HEATONIST%20Williamsburg%2C%20121%20Wythe%20Ave%2C%20Brooklyn%2C%20New%20York" TargetMode="External" Id="rId256" /><Relationship Type="http://schemas.openxmlformats.org/officeDocument/2006/relationships/hyperlink" Target="https://www.google.com/maps/search/?api=1&amp;query=Hell%27s%20Kitchen%20Flea%20Market%2C%20W%2039th%20St%20entre%209th%20y%2010th%20Ave%2C%20New%20York" TargetMode="External" Id="rId257" /><Relationship Type="http://schemas.openxmlformats.org/officeDocument/2006/relationships/hyperlink" Target="https://www.google.com/maps/search/?api=1&amp;query=Housing%20Works%20Bookstore%2C%20126%20Crosby%20St%2C%20New%20York" TargetMode="External" Id="rId258" /><Relationship Type="http://schemas.openxmlformats.org/officeDocument/2006/relationships/hyperlink" Target="https://www.google.com/maps/search/?api=1&amp;query=Louis%20Vuitton%2C%201%20E%2057th%20St%2C%20New%20York" TargetMode="External" Id="rId259" /><Relationship Type="http://schemas.openxmlformats.org/officeDocument/2006/relationships/hyperlink" Target="https://www.google.com/maps/search/?api=1&amp;query=M%26M%27S%20World%20New%20York%2C%201600%20Broadway%2C%20New%20York" TargetMode="External" Id="rId260" /><Relationship Type="http://schemas.openxmlformats.org/officeDocument/2006/relationships/hyperlink" Target="https://www.google.com/maps/search/?api=1&amp;query=McNally%20Jackson%20Books%2C%20134%20Prince%20St%2C%20New%20York" TargetMode="External" Id="rId261" /><Relationship Type="http://schemas.openxmlformats.org/officeDocument/2006/relationships/hyperlink" Target="https://www.google.com/maps/search/?api=1&amp;query=The%20Mills%20at%20Jersey%20Gardens%2C%20651%20Kapkowski%20Rd%2C%20Elizabeth%2C%20NJ%2C%20New%20York" TargetMode="External" Id="rId262" /><Relationship Type="http://schemas.openxmlformats.org/officeDocument/2006/relationships/hyperlink" Target="https://www.google.com/maps/search/?api=1&amp;query=Green-Wood%20Cemetery%2C%20500%2025th%20St%2C%20Brooklyn%2C%20New%20York" TargetMode="External" Id="rId263" /><Relationship Type="http://schemas.openxmlformats.org/officeDocument/2006/relationships/hyperlink" Target="https://www.google.com/maps/search/?api=1&amp;query=Inwood%20Hill%20Park%2C%20Inwood%20Hill%20Park%2C%20Manhattan%2C%20New%20York" TargetMode="External" Id="rId264" /><Relationship Type="http://schemas.openxmlformats.org/officeDocument/2006/relationships/hyperlink" Target="https://www.google.com/maps/search/?api=1&amp;query=New%20York%20Botanical%20Garden%2C%202900%20Southern%20Blvd%2C%20Bronx%2C%20New%20York" TargetMode="External" Id="rId265" /><Relationship Type="http://schemas.openxmlformats.org/officeDocument/2006/relationships/hyperlink" Target="https://www.google.com/maps/search/?api=1&amp;query=Wave%20Hill%2C%204900%20Independence%20Ave%2C%20Bronx%2C%20New%20York" TargetMode="External" Id="rId266" /><Relationship Type="http://schemas.openxmlformats.org/officeDocument/2006/relationships/hyperlink" Target="https://www.google.com/maps/search/?api=1&amp;query=Elizabeth%20Street%20Garden%2C%20Elizabeth%20St%20entre%20Prince%20y%20Spring%2C%20New%20York" TargetMode="External" Id="rId267" /><Relationship Type="http://schemas.openxmlformats.org/officeDocument/2006/relationships/hyperlink" Target="https://www.google.com/maps/search/?api=1&amp;query=Socrates%20Sculpture%20Park%2C%2032-01%20Vernon%20Blvd%2C%20LIC%2C%20New%20York" TargetMode="External" Id="rId268" /><Relationship Type="http://schemas.openxmlformats.org/officeDocument/2006/relationships/hyperlink" Target="https://www.google.com/maps/search/?api=1&amp;query=Astoria%20Park%2C%2019th%20St%20%26%2023rd%20Ave%2C%20Astoria%2C%20New%20York" TargetMode="External" Id="rId269" /><Relationship Type="http://schemas.openxmlformats.org/officeDocument/2006/relationships/hyperlink" Target="https://www.google.com/maps/search/?api=1&amp;query=Battery%20Park%2C%20New%20York" TargetMode="External" Id="rId270" /><Relationship Type="http://schemas.openxmlformats.org/officeDocument/2006/relationships/hyperlink" Target="https://www.google.com/maps/search/?api=1&amp;query=Brooklyn%20Bridge%20Park%2C%20334%20Furman%20St%2C%20Brooklyn%2C%20New%20York" TargetMode="External" Id="rId271" /><Relationship Type="http://schemas.openxmlformats.org/officeDocument/2006/relationships/hyperlink" Target="https://www.google.com/maps/search/?api=1&amp;query=Bryant%20Park%2C%20Bryant%20Park%2C%20New%20York%2C%20New%20York" TargetMode="External" Id="rId272" /><Relationship Type="http://schemas.openxmlformats.org/officeDocument/2006/relationships/hyperlink" Target="https://www.google.com/maps/search/?api=1&amp;query=Carl%20Schurz%20Park%2C%20East%20End%20Ave%20y%20E%2086th%20St%2C%20New%20York" TargetMode="External" Id="rId273" /><Relationship Type="http://schemas.openxmlformats.org/officeDocument/2006/relationships/hyperlink" Target="https://www.google.com/maps/search/?api=1&amp;query=Central%20Park%2C%20Central%20Park%2C%20New%20York%2C%20New%20York" TargetMode="External" Id="rId274" /><Relationship Type="http://schemas.openxmlformats.org/officeDocument/2006/relationships/hyperlink" Target="https://www.google.com/maps/search/?api=1&amp;query=Clinton%20Community%20Garden%2C%20434%20W%2048th%20St%2C%20New%20York" TargetMode="External" Id="rId275" /><Relationship Type="http://schemas.openxmlformats.org/officeDocument/2006/relationships/hyperlink" Target="https://www.google.com/maps/search/?api=1&amp;query=Columbus%20Park%2C%20Columbus%20Park%2C%20Baxter%20St%2C%20New%20York" TargetMode="External" Id="rId276" /><Relationship Type="http://schemas.openxmlformats.org/officeDocument/2006/relationships/hyperlink" Target="https://www.google.com/maps/search/?api=1&amp;query=Greenacre%20Park%2C%20217%20E%2051st%20St%2C%20New%20York" TargetMode="External" Id="rId277" /><Relationship Type="http://schemas.openxmlformats.org/officeDocument/2006/relationships/hyperlink" Target="https://www.google.com/maps/search/?api=1&amp;query=Hudson%20River%20Park%20Pier%2084%2C%20W%2044th%20St%20y%2012th%20Ave%2C%20New%20York" TargetMode="External" Id="rId278" /><Relationship Type="http://schemas.openxmlformats.org/officeDocument/2006/relationships/hyperlink" Target="https://www.google.com/maps/search/?api=1&amp;query=Paley%20Park%2C%203%20E%2053rd%20St%2C%20New%20York" TargetMode="External" Id="rId279" /><Relationship Type="http://schemas.openxmlformats.org/officeDocument/2006/relationships/hyperlink" Target="https://www.google.com/maps/search/?api=1&amp;query=Prospect%20Park%2C%20New%20York" TargetMode="External" Id="rId280" /><Relationship Type="http://schemas.openxmlformats.org/officeDocument/2006/relationships/hyperlink" Target="https://www.google.com/maps/search/?api=1&amp;query=Straus%20Park%2C%20Broadway%20%26%20W%20106th%20St%2C%20New%20York" TargetMode="External" Id="rId281" /><Relationship Type="http://schemas.openxmlformats.org/officeDocument/2006/relationships/hyperlink" Target="https://www.google.com/maps/search/?api=1&amp;query=Tudor%20City%20Greens%2C%20Tudor%20City%20Pl%2C%20New%20York" TargetMode="External" Id="rId282" /><Relationship Type="http://schemas.openxmlformats.org/officeDocument/2006/relationships/hyperlink" Target="https://www.google.com/maps/search/?api=1&amp;query=Washington%20Square%20Park%2C%20Washington%20Square%20Park%2C%20New%20York" TargetMode="External" Id="rId283" /><Relationship Type="http://schemas.openxmlformats.org/officeDocument/2006/relationships/hyperlink" Target="https://www.google.com/maps/search/?api=1&amp;query=The%20High%20Line%2C%20High%20Line%2C%20Gansevoort%20St%20a%20W%2034th%20St%2C%20New%20York" TargetMode="External" Id="rId284" /><Relationship Type="http://schemas.openxmlformats.org/officeDocument/2006/relationships/hyperlink" Target="https://www.google.com/maps/search/?api=1&amp;query=US%20Open%20%28primeras%20rondas%29%2C%20USTA%20Billie%20Jean%20King%20NTC%2C%20Flushing%2C%20New%20York" TargetMode="External" Id="rId285" /><Relationship Type="http://schemas.openxmlformats.org/officeDocument/2006/relationships/hyperlink" Target="https://www.google.com/maps/search/?api=1&amp;query=Charlie%20Parker%20Jazz%20Festival%20-%20East%20Village%2C%20Tompkins%20Square%20Park%2C%20New%20York" TargetMode="External" Id="rId286" /><Relationship Type="http://schemas.openxmlformats.org/officeDocument/2006/relationships/hyperlink" Target="https://www.google.com/maps/search/?api=1&amp;query=Charlie%20Parker%20Jazz%20Festival%20-%20Harlem%2C%20Marcus%20Garvey%20Park%2C%20Harlem%2C%20New%20York" TargetMode="External" Id="rId287" /><Relationship Type="http://schemas.openxmlformats.org/officeDocument/2006/relationships/hyperlink" Target="https://www.google.com/maps/search/?api=1&amp;query=SummerStage%3A%20Christian%20McBride%20%28gratis%29%2C%20Rumsey%20Playfield%2C%20Central%20Park%2C%20New%20York" TargetMode="External" Id="rId288" /><Relationship Type="http://schemas.openxmlformats.org/officeDocument/2006/relationships/hyperlink" Target="https://www.google.com/maps/search/?api=1&amp;query=NY%20Caribbean%20Carnival%20Week%20%28Panorama%29%2C%20Brooklyn%20Museum%2C%20200%20Eastern%20Pkwy%2C%20New%20York" TargetMode="External" Id="rId289" /><Relationship Type="http://schemas.openxmlformats.org/officeDocument/2006/relationships/hyperlink" Target="https://www.google.com/maps/search/?api=1&amp;query=Paint%20%27N%20Pour%2C%20New%20York" TargetMode="External" Id="rId290" /><Relationship Type="http://schemas.openxmlformats.org/officeDocument/2006/relationships/hyperlink" Target="https://www.google.com/maps/search/?api=1&amp;query=Time%20To%20Paint%20-%20Painting%20Studio%2C%20New%20York" TargetMode="External" Id="rId291" /><Relationship Type="http://schemas.openxmlformats.org/officeDocument/2006/relationships/hyperlink" Target="https://www.google.com/maps/search/?api=1&amp;query=Green-Wood%20Discover%20Trolley%20Tour%2C%20500%2025th%20St%2C%20Brooklyn%2C%20New%20York" TargetMode="External" Id="rId292" /><Relationship Type="http://schemas.openxmlformats.org/officeDocument/2006/relationships/hyperlink" Target="https://www.google.com/maps/search/?api=1&amp;query=Hamilton%2C%20Richard%20Rodgers%20Theatre%2C%20226%20W%2046th%20St%2C%20New%20York" TargetMode="External" Id="rId293" /><Relationship Type="http://schemas.openxmlformats.org/officeDocument/2006/relationships/hyperlink" Target="https://www.google.com/maps/search/?api=1&amp;query=Maybe%20Happy%20Ending%2C%20Belasco%20Theatre%2C%20111%20W%2044th%20St%2C%20New%20York" TargetMode="External" Id="rId294" /><Relationship Type="http://schemas.openxmlformats.org/officeDocument/2006/relationships/hyperlink" Target="https://www.google.com/maps/search/?api=1&amp;query=Moulin%20Rouge%21%20%28ULTIMAS%20FUNCIONES%29%2C%20Al%20Hirschfeld%20Theatre%2C%20302%20W%2045th%20St%2C%20New%20York" TargetMode="External" Id="rId295" /><Relationship Type="http://schemas.openxmlformats.org/officeDocument/2006/relationships/hyperlink" Target="https://www.google.com/maps/search/?api=1&amp;query=Operation%20Mincemeat%2C%20John%20Golden%20Theatre%2C%20252%20W%2045th%20St%2C%20New%20York" TargetMode="External" Id="rId296" /><Relationship Type="http://schemas.openxmlformats.org/officeDocument/2006/relationships/hyperlink" Target="https://www.google.com/maps/search/?api=1&amp;query=Little%20Shop%20of%20Horrors%20%28Off-Broadway%29%2C%20Westside%20Theatre%2C%20407%20W%2043rd%20St%2C%20New%20York" TargetMode="External" Id="rId297" /><Relationship Type="http://schemas.openxmlformats.org/officeDocument/2006/relationships/hyperlink" Target="https://www.google.com/maps/search/?api=1&amp;query=Stranger%20Things%3A%20The%20First%20Shadow%20%28play%29%2C%20Marquis%20Theatre%2C%20210%20W%2046th%20St%2C%20New%20York" TargetMode="External" Id="rId298" /><Relationship Type="http://schemas.openxmlformats.org/officeDocument/2006/relationships/hyperlink" Target="https://www.google.com/maps/search/?api=1&amp;query=TKTS%20Lincoln%20Center%2C%2061%20W%2062nd%20St%2C%20New%20York" TargetMode="External" Id="rId299" /><Relationship Type="http://schemas.openxmlformats.org/officeDocument/2006/relationships/hyperlink" Target="https://www.google.com/maps/search/?api=1&amp;query=NYC%20Ferry%20DUMBO%20%E2%86%92%20Wall%20St%2C%20New%20York" TargetMode="External" Id="rId300" /><Relationship Type="http://schemas.openxmlformats.org/officeDocument/2006/relationships/hyperlink" Target="https://www.google.com/maps/search/?api=1&amp;query=Hotel%20Ink48%20%2829-31%20ago%29%2C%20653%2011th%20Ave%2C%20New%20York" TargetMode="External" Id="rId301" /><Relationship Type="http://schemas.openxmlformats.org/officeDocument/2006/relationships/hyperlink" Target="https://www.google.com/maps/search/?api=1&amp;query=Hotel%20The%20Beacon%20%283-6%20sep%29%2C%202130%20Broadway%2C%20New%20York" TargetMode="External" Id="rId302" /><Relationship Type="http://schemas.openxmlformats.org/officeDocument/2006/relationships/hyperlink" Target="https://www.google.com/maps/search/?api=1&amp;query=JGSTAY%20SoHo%20%28JP%3A%2031%20ago-2%20sep%29%2C%20120%20Lafayette%20St%2C%20NY%2010013%2C%20New%20York" TargetMode="External" Id="rId303"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8"/>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 Día 5 · mié 2/9</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6" t="inlineStr">
        <is>
          <t>—</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6 · jue 3/9, 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HEATONIST Chelsea Market</t>
        </is>
      </c>
      <c r="B259" s="10" t="inlineStr">
        <is>
          <t>Tienda con historia</t>
        </is>
      </c>
      <c r="C259" s="11" t="inlineStr">
        <is>
          <t>Arquitectura</t>
        </is>
      </c>
      <c r="D259" s="11" t="inlineStr">
        <is>
          <t>Chelsea</t>
        </is>
      </c>
      <c r="E259" s="11" t="inlineStr">
        <is>
          <t>Manhattan</t>
        </is>
      </c>
      <c r="F259" s="12" t="n">
        <v>1</v>
      </c>
      <c r="G259" s="12" t="n">
        <v>1</v>
      </c>
      <c r="H259" s="13">
        <f>IF(AND(F259=2,G259=2),"AMBOS",IF(AND(F259=2,G259&lt;2),"solo JP",IF(AND(F259&lt;2,G259=2),"solo Thais","-")))</f>
        <v/>
      </c>
      <c r="I259" s="14" t="n">
        <v>15</v>
      </c>
      <c r="J259" s="15" t="n">
        <v>0.3</v>
      </c>
      <c r="K259" s="13" t="inlineStr">
        <is>
          <t>no</t>
        </is>
      </c>
      <c r="L259" s="16" t="inlineStr">
        <is>
          <t>lunes a domingo: 12:00–18:45</t>
        </is>
      </c>
      <c r="M259" s="11" t="inlineStr">
        <is>
          <t>—</t>
        </is>
      </c>
      <c r="N259" s="16" t="inlineStr">
        <is>
          <t>—</t>
        </is>
      </c>
      <c r="O259" s="16" t="inlineStr">
        <is>
          <t>—</t>
        </is>
      </c>
      <c r="P259" s="16" t="inlineStr">
        <is>
          <t>14 St (A,C,E), 8 Av (L)</t>
        </is>
      </c>
      <c r="Q259" s="16" t="inlineStr">
        <is>
          <t>La sucursal chica, ADENTRO del Chelsea Market donde ya almuerzan el viernes. Mismo catalogo de mas de 100 salsas y la misma cata, en menos metros y con mas gente.</t>
        </is>
      </c>
      <c r="R259" s="16" t="inlineStr">
        <is>
          <t>75 9th Ave (dentro del Chelsea Market)</t>
        </is>
      </c>
      <c r="S259" s="17" t="inlineStr">
        <is>
          <t>Día 6 · jue 3/9</t>
        </is>
      </c>
      <c r="T259" s="18" t="inlineStr">
        <is>
          <t>Abrir ↗</t>
        </is>
      </c>
      <c r="U259" s="21" t="inlineStr">
        <is>
          <t>otros</t>
        </is>
      </c>
      <c r="V259" s="20" t="inlineStr"/>
    </row>
    <row r="260" ht="46" customHeight="1">
      <c r="A260" s="9" t="inlineStr">
        <is>
          <t>HEATONIST Williamsburg</t>
        </is>
      </c>
      <c r="B260" s="10" t="inlineStr">
        <is>
          <t>Tienda con historia</t>
        </is>
      </c>
      <c r="C260" s="11" t="inlineStr">
        <is>
          <t>Arquitectura</t>
        </is>
      </c>
      <c r="D260" s="11" t="inlineStr">
        <is>
          <t>Williamsburg</t>
        </is>
      </c>
      <c r="E260" s="11" t="inlineStr">
        <is>
          <t>Brooklyn</t>
        </is>
      </c>
      <c r="F260" s="12" t="n">
        <v>1</v>
      </c>
      <c r="G260" s="12" t="n">
        <v>1</v>
      </c>
      <c r="H260" s="13">
        <f>IF(AND(F260=2,G260=2),"AMBOS",IF(AND(F260=2,G260&lt;2),"solo JP",IF(AND(F260&lt;2,G260=2),"solo Thais","-")))</f>
        <v/>
      </c>
      <c r="I260" s="14" t="n">
        <v>15</v>
      </c>
      <c r="J260" s="15" t="n">
        <v>0.5</v>
      </c>
      <c r="K260" s="13" t="inlineStr">
        <is>
          <t>no</t>
        </is>
      </c>
      <c r="L260" s="16" t="inlineStr">
        <is>
          <t>lunes a domingo: 12:00–19:00</t>
        </is>
      </c>
      <c r="M260" s="11" t="inlineStr">
        <is>
          <t>—</t>
        </is>
      </c>
      <c r="N260" s="16" t="inlineStr">
        <is>
          <t>—</t>
        </is>
      </c>
      <c r="O260" s="16" t="inlineStr">
        <is>
          <t>—</t>
        </is>
      </c>
      <c r="P260" s="16" t="inlineStr">
        <is>
          <t>Bedford Av (L)</t>
        </is>
      </c>
      <c r="Q260" s="16" t="inlineStr">
        <is>
          <t>La tienda insignia: mas de 100 salsas artesanales para PROBAR en el local, con el lineup completo de Hot Ones — las mismas diez que toman los invitados del programa, en orden de menor a mayor. El local es el grande de los dos.</t>
        </is>
      </c>
      <c r="R260" s="16" t="inlineStr">
        <is>
          <t>121 Wythe Ave, Brooklyn</t>
        </is>
      </c>
      <c r="S260" s="17" t="inlineStr">
        <is>
          <t>Día 8 · sáb 5/9</t>
        </is>
      </c>
      <c r="T260" s="18" t="inlineStr">
        <is>
          <t>Abrir ↗</t>
        </is>
      </c>
      <c r="U260" s="21" t="inlineStr">
        <is>
          <t>otros</t>
        </is>
      </c>
      <c r="V260" s="20" t="inlineStr"/>
    </row>
    <row r="261" ht="46" customHeight="1">
      <c r="A261" s="9" t="inlineStr">
        <is>
          <t>Hell's Kitchen Flea Market</t>
        </is>
      </c>
      <c r="B261" s="10" t="inlineStr">
        <is>
          <t>Tienda con historia</t>
        </is>
      </c>
      <c r="C261" s="11" t="inlineStr">
        <is>
          <t>Arquitectura</t>
        </is>
      </c>
      <c r="D261" s="11" t="inlineStr">
        <is>
          <t>Hell's Kitchen</t>
        </is>
      </c>
      <c r="E261" s="11" t="inlineStr">
        <is>
          <t>Manhattan</t>
        </is>
      </c>
      <c r="F261" s="12" t="n">
        <v>1</v>
      </c>
      <c r="G261" s="12" t="n">
        <v>1</v>
      </c>
      <c r="H261" s="13">
        <f>IF(AND(F261=2,G261=2),"AMBOS",IF(AND(F261=2,G261&lt;2),"solo JP",IF(AND(F261&lt;2,G261=2),"solo Thais","-")))</f>
        <v/>
      </c>
      <c r="I261" s="14" t="n">
        <v>0</v>
      </c>
      <c r="J261" s="15" t="n">
        <v>0.8</v>
      </c>
      <c r="K261" s="13" t="inlineStr">
        <is>
          <t>no</t>
        </is>
      </c>
      <c r="L261" s="16" t="inlineStr">
        <is>
          <t>—</t>
        </is>
      </c>
      <c r="M261" s="11" t="inlineStr">
        <is>
          <t>—</t>
        </is>
      </c>
      <c r="N261" s="16" t="inlineStr">
        <is>
          <t>—</t>
        </is>
      </c>
      <c r="O261" s="16" t="inlineStr">
        <is>
          <t>—</t>
        </is>
      </c>
      <c r="P261" s="16" t="inlineStr">
        <is>
          <t>42 St-Port Authority (A,C,E)</t>
        </is>
      </c>
      <c r="Q261" s="16" t="inlineStr">
        <is>
          <t>Feria de antiguedades al aire libre, sabados y domingos. Vinilos, camaras y cosas que no vas a encontrar en otro lado.</t>
        </is>
      </c>
      <c r="R261" s="16" t="inlineStr">
        <is>
          <t>W 39th St entre 9th y 10th Ave</t>
        </is>
      </c>
      <c r="S261" s="16" t="inlineStr">
        <is>
          <t>—</t>
        </is>
      </c>
      <c r="T261" s="18" t="inlineStr">
        <is>
          <t>Abrir ↗</t>
        </is>
      </c>
      <c r="U261" s="21" t="inlineStr">
        <is>
          <t>otros</t>
        </is>
      </c>
      <c r="V261" s="20" t="inlineStr"/>
    </row>
    <row r="262" ht="46" customHeight="1">
      <c r="A262" s="9" t="inlineStr">
        <is>
          <t>Housing Works Bookstore</t>
        </is>
      </c>
      <c r="B262" s="10" t="inlineStr">
        <is>
          <t>Tienda con historia</t>
        </is>
      </c>
      <c r="C262" s="11" t="inlineStr">
        <is>
          <t>Arquitectura</t>
        </is>
      </c>
      <c r="D262" s="11" t="inlineStr">
        <is>
          <t>SoHo</t>
        </is>
      </c>
      <c r="E262" s="11" t="inlineStr">
        <is>
          <t>Manhattan</t>
        </is>
      </c>
      <c r="F262" s="12" t="n">
        <v>1</v>
      </c>
      <c r="G262" s="12" t="n">
        <v>1</v>
      </c>
      <c r="H262" s="13">
        <f>IF(AND(F262=2,G262=2),"AMBOS",IF(AND(F262=2,G262&lt;2),"solo JP",IF(AND(F262&lt;2,G262=2),"solo Thais","-")))</f>
        <v/>
      </c>
      <c r="I262" s="14" t="n">
        <v>0</v>
      </c>
      <c r="J262" s="15" t="n">
        <v>0.6</v>
      </c>
      <c r="K262" s="13" t="inlineStr">
        <is>
          <t>no</t>
        </is>
      </c>
      <c r="L262" s="16" t="inlineStr">
        <is>
          <t>—</t>
        </is>
      </c>
      <c r="M262" s="11" t="inlineStr">
        <is>
          <t>—</t>
        </is>
      </c>
      <c r="N262" s="16" t="inlineStr">
        <is>
          <t>—</t>
        </is>
      </c>
      <c r="O262" s="16" t="inlineStr">
        <is>
          <t>—</t>
        </is>
      </c>
      <c r="P262" s="16" t="inlineStr">
        <is>
          <t>Spring St (6)</t>
        </is>
      </c>
      <c r="Q262" s="16" t="inlineStr">
        <is>
          <t>Librería de dos pisos con café: todo lo donado y toda la ganancia va a personas con VIH sin hogar.</t>
        </is>
      </c>
      <c r="R262" s="16" t="inlineStr">
        <is>
          <t>126 Crosby St</t>
        </is>
      </c>
      <c r="S262" s="16" t="inlineStr">
        <is>
          <t>—</t>
        </is>
      </c>
      <c r="T262" s="18" t="inlineStr">
        <is>
          <t>Abrir ↗</t>
        </is>
      </c>
      <c r="U262" s="19" t="inlineStr">
        <is>
          <t>lista google</t>
        </is>
      </c>
      <c r="V262" s="20" t="inlineStr"/>
    </row>
    <row r="263" ht="46" customHeight="1">
      <c r="A263" s="9" t="inlineStr">
        <is>
          <t>Louis Vuitton</t>
        </is>
      </c>
      <c r="B263" s="10" t="inlineStr">
        <is>
          <t>Tienda con historia</t>
        </is>
      </c>
      <c r="C263" s="11" t="inlineStr">
        <is>
          <t>Arquitectura</t>
        </is>
      </c>
      <c r="D263" s="11" t="inlineStr">
        <is>
          <t>Midtown</t>
        </is>
      </c>
      <c r="E263" s="11" t="inlineStr">
        <is>
          <t>Manhattan</t>
        </is>
      </c>
      <c r="F263" s="12" t="n">
        <v>1</v>
      </c>
      <c r="G263" s="12" t="n">
        <v>2</v>
      </c>
      <c r="H263" s="13">
        <f>IF(AND(F263=2,G263=2),"AMBOS",IF(AND(F263=2,G263&lt;2),"solo JP",IF(AND(F263&lt;2,G263=2),"solo Thais","-")))</f>
        <v/>
      </c>
      <c r="I263" s="14" t="n">
        <v>0</v>
      </c>
      <c r="J263" s="15" t="n">
        <v>0.5</v>
      </c>
      <c r="K263" s="13" t="inlineStr">
        <is>
          <t>SÍ</t>
        </is>
      </c>
      <c r="L263" s="16" t="inlineStr">
        <is>
          <t>—</t>
        </is>
      </c>
      <c r="M263" s="11" t="inlineStr">
        <is>
          <t>—</t>
        </is>
      </c>
      <c r="N263" s="16" t="inlineStr">
        <is>
          <t>—</t>
        </is>
      </c>
      <c r="O263" s="16" t="inlineStr">
        <is>
          <t>—</t>
        </is>
      </c>
      <c r="P263" s="16" t="inlineStr">
        <is>
          <t>5 Av/53 St (E,M)</t>
        </is>
      </c>
      <c r="Q263" s="16" t="inlineStr">
        <is>
          <t>Flagship de la Quinta. En la lista de Google, presumiblemente para compras.</t>
        </is>
      </c>
      <c r="R263" s="16" t="inlineStr">
        <is>
          <t>1 E 57th St</t>
        </is>
      </c>
      <c r="S263" s="16" t="inlineStr">
        <is>
          <t>—</t>
        </is>
      </c>
      <c r="T263" s="18" t="inlineStr">
        <is>
          <t>Abrir ↗</t>
        </is>
      </c>
      <c r="U263" s="19" t="inlineStr">
        <is>
          <t>lista google</t>
        </is>
      </c>
      <c r="V263" s="20" t="inlineStr"/>
    </row>
    <row r="264" ht="46" customHeight="1">
      <c r="A264" s="9" t="inlineStr">
        <is>
          <t>M&amp;M'S World New York</t>
        </is>
      </c>
      <c r="B264" s="10" t="inlineStr">
        <is>
          <t>Tienda con historia</t>
        </is>
      </c>
      <c r="C264" s="11" t="inlineStr">
        <is>
          <t>Arquitectura</t>
        </is>
      </c>
      <c r="D264" s="11" t="inlineStr">
        <is>
          <t>Times Square</t>
        </is>
      </c>
      <c r="E264" s="11" t="inlineStr">
        <is>
          <t>Manhattan</t>
        </is>
      </c>
      <c r="F264" s="12" t="n">
        <v>1</v>
      </c>
      <c r="G264" s="12" t="n">
        <v>1</v>
      </c>
      <c r="H264" s="13">
        <f>IF(AND(F264=2,G264=2),"AMBOS",IF(AND(F264=2,G264&lt;2),"solo JP",IF(AND(F264&lt;2,G264=2),"solo Thais","-")))</f>
        <v/>
      </c>
      <c r="I264" s="14" t="n">
        <v>0</v>
      </c>
      <c r="J264" s="15" t="n">
        <v>0.5</v>
      </c>
      <c r="K264" s="13" t="inlineStr">
        <is>
          <t>SÍ</t>
        </is>
      </c>
      <c r="L264" s="16" t="inlineStr">
        <is>
          <t>—</t>
        </is>
      </c>
      <c r="M264" s="11" t="inlineStr">
        <is>
          <t>—</t>
        </is>
      </c>
      <c r="N264" s="16" t="inlineStr">
        <is>
          <t>—</t>
        </is>
      </c>
      <c r="O264" s="16" t="inlineStr">
        <is>
          <t>—</t>
        </is>
      </c>
      <c r="P264" s="16" t="inlineStr">
        <is>
          <t>42 St-Times Sq</t>
        </is>
      </c>
      <c r="Q264" s="16" t="inlineStr">
        <is>
          <t>Tres pisos de merchandising en Times Square. Es lo que promete, ni más ni menos.</t>
        </is>
      </c>
      <c r="R264" s="16" t="inlineStr">
        <is>
          <t>1600 Broadway</t>
        </is>
      </c>
      <c r="S264" s="16" t="inlineStr">
        <is>
          <t>—</t>
        </is>
      </c>
      <c r="T264" s="18" t="inlineStr">
        <is>
          <t>Abrir ↗</t>
        </is>
      </c>
      <c r="U264" s="19" t="inlineStr">
        <is>
          <t>lista google</t>
        </is>
      </c>
      <c r="V264" s="20" t="inlineStr"/>
    </row>
    <row r="265" ht="46" customHeight="1">
      <c r="A265" s="9" t="inlineStr">
        <is>
          <t>McNally Jackson Books</t>
        </is>
      </c>
      <c r="B265" s="10" t="inlineStr">
        <is>
          <t>Tienda con historia</t>
        </is>
      </c>
      <c r="C265" s="11" t="inlineStr">
        <is>
          <t>Arquitectura</t>
        </is>
      </c>
      <c r="D265" s="11" t="inlineStr">
        <is>
          <t>SoHo</t>
        </is>
      </c>
      <c r="E265" s="11" t="inlineStr">
        <is>
          <t>Manhattan</t>
        </is>
      </c>
      <c r="F265" s="12" t="n">
        <v>1</v>
      </c>
      <c r="G265" s="12" t="n">
        <v>1</v>
      </c>
      <c r="H265" s="13">
        <f>IF(AND(F265=2,G265=2),"AMBOS",IF(AND(F265=2,G265&lt;2),"solo JP",IF(AND(F265&lt;2,G265=2),"solo Thais","-")))</f>
        <v/>
      </c>
      <c r="I265" s="14" t="n">
        <v>0</v>
      </c>
      <c r="J265" s="15" t="n">
        <v>0.5</v>
      </c>
      <c r="K265" s="13" t="inlineStr">
        <is>
          <t>no</t>
        </is>
      </c>
      <c r="L265" s="16" t="inlineStr">
        <is>
          <t>—</t>
        </is>
      </c>
      <c r="M265" s="11" t="inlineStr">
        <is>
          <t>—</t>
        </is>
      </c>
      <c r="N265" s="16" t="inlineStr">
        <is>
          <t>—</t>
        </is>
      </c>
      <c r="O265" s="16" t="inlineStr">
        <is>
          <t>—</t>
        </is>
      </c>
      <c r="P265" s="16" t="inlineStr">
        <is>
          <t>Prince St (N,R,W)</t>
        </is>
      </c>
      <c r="Q265" s="16" t="inlineStr">
        <is>
          <t>La libreria independiente que definio el SoHo literario: mesas curadas a mano y una seccion de traduccion que no tiene nadie.</t>
        </is>
      </c>
      <c r="R265" s="16" t="inlineStr">
        <is>
          <t>134 Prince St</t>
        </is>
      </c>
      <c r="S265" s="16" t="inlineStr">
        <is>
          <t>—</t>
        </is>
      </c>
      <c r="T265" s="18" t="inlineStr">
        <is>
          <t>Abrir ↗</t>
        </is>
      </c>
      <c r="U265" s="21" t="inlineStr">
        <is>
          <t>otros</t>
        </is>
      </c>
      <c r="V265" s="20" t="inlineStr"/>
    </row>
    <row r="266" ht="46" customHeight="1">
      <c r="A266" s="9" t="inlineStr">
        <is>
          <t>The Mills at Jersey Gardens</t>
        </is>
      </c>
      <c r="B266" s="10" t="inlineStr">
        <is>
          <t>Tienda con historia</t>
        </is>
      </c>
      <c r="C266" s="11" t="inlineStr">
        <is>
          <t>Arquitectura</t>
        </is>
      </c>
      <c r="D266" s="11" t="inlineStr">
        <is>
          <t>Elizabeth</t>
        </is>
      </c>
      <c r="E266" s="11" t="inlineStr">
        <is>
          <t>New Jersey</t>
        </is>
      </c>
      <c r="F266" s="12" t="n">
        <v>1</v>
      </c>
      <c r="G266" s="12" t="n">
        <v>1</v>
      </c>
      <c r="H266" s="13">
        <f>IF(AND(F266=2,G266=2),"AMBOS",IF(AND(F266=2,G266&lt;2),"solo JP",IF(AND(F266&lt;2,G266=2),"solo Thais","-")))</f>
        <v/>
      </c>
      <c r="I266" s="14" t="n">
        <v>0</v>
      </c>
      <c r="J266" s="15" t="n">
        <v>3</v>
      </c>
      <c r="K266" s="13" t="inlineStr">
        <is>
          <t>no</t>
        </is>
      </c>
      <c r="L266" s="16" t="inlineStr">
        <is>
          <t>—</t>
        </is>
      </c>
      <c r="M266" s="11" t="inlineStr">
        <is>
          <t>—</t>
        </is>
      </c>
      <c r="N266" s="16" t="inlineStr">
        <is>
          <t>—</t>
        </is>
      </c>
      <c r="O266" s="16" t="inlineStr">
        <is>
          <t>—</t>
        </is>
      </c>
      <c r="P266" s="16" t="inlineStr">
        <is>
          <t>NJ Transit bus 40 o shuttle desde EWR</t>
        </is>
      </c>
      <c r="Q266"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6" s="16" t="inlineStr">
        <is>
          <t>651 Kapkowski Rd, Elizabeth, NJ</t>
        </is>
      </c>
      <c r="S266" s="16" t="inlineStr">
        <is>
          <t>—</t>
        </is>
      </c>
      <c r="T266" s="18" t="inlineStr">
        <is>
          <t>Abrir ↗</t>
        </is>
      </c>
      <c r="U266" s="21" t="inlineStr">
        <is>
          <t>otros</t>
        </is>
      </c>
      <c r="V266" s="20" t="inlineStr"/>
    </row>
    <row r="267" ht="46" customHeight="1">
      <c r="A267" s="9" t="inlineStr">
        <is>
          <t>Green-Wood Cemetery</t>
        </is>
      </c>
      <c r="B267" s="10" t="inlineStr">
        <is>
          <t>Cementerio-jardín</t>
        </is>
      </c>
      <c r="C267" s="11" t="inlineStr">
        <is>
          <t>Parque</t>
        </is>
      </c>
      <c r="D267" s="11" t="inlineStr">
        <is>
          <t>Greenwood Heights</t>
        </is>
      </c>
      <c r="E267" s="11" t="inlineStr">
        <is>
          <t>Brooklyn</t>
        </is>
      </c>
      <c r="F267" s="12" t="n">
        <v>0</v>
      </c>
      <c r="G267" s="12" t="n">
        <v>0</v>
      </c>
      <c r="H267" s="13">
        <f>IF(AND(F267=2,G267=2),"AMBOS",IF(AND(F267=2,G267&lt;2),"solo JP",IF(AND(F267&lt;2,G267=2),"solo Thais","-")))</f>
        <v/>
      </c>
      <c r="I267" s="14" t="n">
        <v>0</v>
      </c>
      <c r="J267" s="15" t="n">
        <v>2.5</v>
      </c>
      <c r="K267" s="13" t="inlineStr">
        <is>
          <t>no</t>
        </is>
      </c>
      <c r="L267" s="16" t="inlineStr">
        <is>
          <t>—</t>
        </is>
      </c>
      <c r="M267" s="11" t="inlineStr">
        <is>
          <t>—</t>
        </is>
      </c>
      <c r="N267" s="16" t="inlineStr">
        <is>
          <t>—</t>
        </is>
      </c>
      <c r="O267" s="16" t="inlineStr">
        <is>
          <t>—</t>
        </is>
      </c>
      <c r="P267" s="16" t="inlineStr">
        <is>
          <t>25 St (R)</t>
        </is>
      </c>
      <c r="Q267" s="16" t="inlineStr">
        <is>
          <t>190 hectareas de cementerio-jardin victoriano de 1838, con la colina mas alta de Brooklyn y vista de Manhattan. Hay guia gratuita en la app Bloomberg Connects. Es un parque enorme donde no hay nadie.</t>
        </is>
      </c>
      <c r="R267" s="16" t="inlineStr">
        <is>
          <t>500 25th St, Brooklyn</t>
        </is>
      </c>
      <c r="S267" s="16" t="inlineStr">
        <is>
          <t>—</t>
        </is>
      </c>
      <c r="T267" s="18" t="inlineStr">
        <is>
          <t>Abrir ↗</t>
        </is>
      </c>
      <c r="U267" s="21" t="inlineStr">
        <is>
          <t>otros</t>
        </is>
      </c>
      <c r="V267" s="20" t="inlineStr"/>
    </row>
    <row r="268" ht="46" customHeight="1">
      <c r="A268" s="9" t="inlineStr">
        <is>
          <t>Inwood Hill Park</t>
        </is>
      </c>
      <c r="B268" s="10" t="inlineStr">
        <is>
          <t>Naturaleza</t>
        </is>
      </c>
      <c r="C268" s="11" t="inlineStr">
        <is>
          <t>Parque</t>
        </is>
      </c>
      <c r="D268" s="11" t="inlineStr">
        <is>
          <t>Inwood</t>
        </is>
      </c>
      <c r="E268" s="11" t="inlineStr">
        <is>
          <t>Manhattan</t>
        </is>
      </c>
      <c r="F268" s="12" t="n">
        <v>1</v>
      </c>
      <c r="G268" s="12" t="n">
        <v>0</v>
      </c>
      <c r="H268" s="13">
        <f>IF(AND(F268=2,G268=2),"AMBOS",IF(AND(F268=2,G268&lt;2),"solo JP",IF(AND(F268&lt;2,G268=2),"solo Thais","-")))</f>
        <v/>
      </c>
      <c r="I268" s="14" t="n">
        <v>0</v>
      </c>
      <c r="J268" s="15" t="n">
        <v>2</v>
      </c>
      <c r="K268" s="13" t="inlineStr">
        <is>
          <t>no</t>
        </is>
      </c>
      <c r="L268" s="16" t="inlineStr">
        <is>
          <t>—</t>
        </is>
      </c>
      <c r="M268" s="11" t="inlineStr">
        <is>
          <t>—</t>
        </is>
      </c>
      <c r="N268" s="16" t="inlineStr">
        <is>
          <t>—</t>
        </is>
      </c>
      <c r="O268" s="16" t="inlineStr">
        <is>
          <t>—</t>
        </is>
      </c>
      <c r="P268" s="16" t="inlineStr">
        <is>
          <t>Dyckman St o 207 St (A)</t>
        </is>
      </c>
      <c r="Q268" s="16" t="inlineStr">
        <is>
          <t>El unico bosque primario que queda en Manhattan, con cuevas de roca usadas por los Lenape y vista del Hudson y los Palisades. Cuesta creer que sea la misma isla.</t>
        </is>
      </c>
      <c r="R268" s="16" t="inlineStr">
        <is>
          <t>Inwood Hill Park, Manhattan</t>
        </is>
      </c>
      <c r="S268" s="16" t="inlineStr">
        <is>
          <t>—</t>
        </is>
      </c>
      <c r="T268" s="18" t="inlineStr">
        <is>
          <t>Abrir ↗</t>
        </is>
      </c>
      <c r="U268" s="21" t="inlineStr">
        <is>
          <t>otros</t>
        </is>
      </c>
      <c r="V268" s="20" t="inlineStr"/>
    </row>
    <row r="269" ht="46" customHeight="1">
      <c r="A269" s="9" t="inlineStr">
        <is>
          <t>New York Botanical Garden</t>
        </is>
      </c>
      <c r="B269" s="10" t="inlineStr">
        <is>
          <t>Naturaleza</t>
        </is>
      </c>
      <c r="C269" s="11" t="inlineStr">
        <is>
          <t>Parque</t>
        </is>
      </c>
      <c r="D269" s="11" t="inlineStr">
        <is>
          <t>Bronx Park</t>
        </is>
      </c>
      <c r="E269" s="11" t="inlineStr">
        <is>
          <t>Bronx</t>
        </is>
      </c>
      <c r="F269" s="12" t="n">
        <v>1</v>
      </c>
      <c r="G269" s="12" t="n">
        <v>1</v>
      </c>
      <c r="H269" s="13">
        <f>IF(AND(F269=2,G269=2),"AMBOS",IF(AND(F269=2,G269&lt;2),"solo JP",IF(AND(F269&lt;2,G269=2),"solo Thais","-")))</f>
        <v/>
      </c>
      <c r="I269" s="14" t="n">
        <v>35</v>
      </c>
      <c r="J269" s="15" t="n">
        <v>3</v>
      </c>
      <c r="K269" s="13" t="inlineStr">
        <is>
          <t>no</t>
        </is>
      </c>
      <c r="L269" s="16" t="inlineStr">
        <is>
          <t>—</t>
        </is>
      </c>
      <c r="M269" s="11" t="inlineStr">
        <is>
          <t>—</t>
        </is>
      </c>
      <c r="N269" s="16" t="inlineStr">
        <is>
          <t>—</t>
        </is>
      </c>
      <c r="O269" s="16" t="inlineStr">
        <is>
          <t>—</t>
        </is>
      </c>
      <c r="P269" s="16" t="inlineStr">
        <is>
          <t>Metro-North a Botanical Garden, o Bx26</t>
        </is>
      </c>
      <c r="Q269" s="16" t="inlineStr">
        <is>
          <t>Un bosque original de 20 hectareas que nunca se talo, mas el invernadero victoriano. A diez cuadras de Arthur Avenue.</t>
        </is>
      </c>
      <c r="R269" s="16" t="inlineStr">
        <is>
          <t>2900 Southern Blvd, Bronx</t>
        </is>
      </c>
      <c r="S269" s="16" t="inlineStr">
        <is>
          <t>—</t>
        </is>
      </c>
      <c r="T269" s="18" t="inlineStr">
        <is>
          <t>Abrir ↗</t>
        </is>
      </c>
      <c r="U269" s="21" t="inlineStr">
        <is>
          <t>otros</t>
        </is>
      </c>
      <c r="V269" s="20" t="inlineStr"/>
    </row>
    <row r="270" ht="46" customHeight="1">
      <c r="A270" s="9" t="inlineStr">
        <is>
          <t>Wave Hill</t>
        </is>
      </c>
      <c r="B270" s="10" t="inlineStr">
        <is>
          <t>Naturaleza</t>
        </is>
      </c>
      <c r="C270" s="11" t="inlineStr">
        <is>
          <t>Parque</t>
        </is>
      </c>
      <c r="D270" s="11" t="inlineStr">
        <is>
          <t>Riverdale</t>
        </is>
      </c>
      <c r="E270" s="11" t="inlineStr">
        <is>
          <t>Bronx</t>
        </is>
      </c>
      <c r="F270" s="12" t="n">
        <v>1</v>
      </c>
      <c r="G270" s="12" t="n">
        <v>1</v>
      </c>
      <c r="H270" s="13">
        <f>IF(AND(F270=2,G270=2),"AMBOS",IF(AND(F270=2,G270&lt;2),"solo JP",IF(AND(F270&lt;2,G270=2),"solo Thais","-")))</f>
        <v/>
      </c>
      <c r="I270" s="14" t="n">
        <v>10</v>
      </c>
      <c r="J270" s="15" t="n">
        <v>2.5</v>
      </c>
      <c r="K270" s="13" t="inlineStr">
        <is>
          <t>no</t>
        </is>
      </c>
      <c r="L270" s="16" t="inlineStr">
        <is>
          <t>—</t>
        </is>
      </c>
      <c r="M270" s="11" t="inlineStr">
        <is>
          <t>lunes</t>
        </is>
      </c>
      <c r="N270" s="16" t="inlineStr">
        <is>
          <t>—</t>
        </is>
      </c>
      <c r="O270" s="16" t="inlineStr">
        <is>
          <t>—</t>
        </is>
      </c>
      <c r="P270" s="16" t="inlineStr">
        <is>
          <t>Metro-North a Riverdale + shuttle</t>
        </is>
      </c>
      <c r="Q270" s="16" t="inlineStr">
        <is>
          <t>Jardin botanico sobre un acantilado del Hudson, con los Palisades enfrente. Es el lugar mas tranquilo de los cinco boroughs.</t>
        </is>
      </c>
      <c r="R270" s="16" t="inlineStr">
        <is>
          <t>4900 Independence Ave, Bronx</t>
        </is>
      </c>
      <c r="S270" s="16" t="inlineStr">
        <is>
          <t>—</t>
        </is>
      </c>
      <c r="T270" s="18" t="inlineStr">
        <is>
          <t>Abrir ↗</t>
        </is>
      </c>
      <c r="U270" s="19" t="inlineStr">
        <is>
          <t>lista google</t>
        </is>
      </c>
      <c r="V270" s="20" t="inlineStr"/>
    </row>
    <row r="271" ht="46" customHeight="1">
      <c r="A271" s="9" t="inlineStr">
        <is>
          <t>Elizabeth Street Garden</t>
        </is>
      </c>
      <c r="B271" s="10" t="inlineStr">
        <is>
          <t>Parque de esculturas</t>
        </is>
      </c>
      <c r="C271" s="11" t="inlineStr">
        <is>
          <t>Parque</t>
        </is>
      </c>
      <c r="D271" s="11" t="inlineStr">
        <is>
          <t>Nolita</t>
        </is>
      </c>
      <c r="E271" s="11" t="inlineStr">
        <is>
          <t>Manhattan</t>
        </is>
      </c>
      <c r="F271" s="12" t="n">
        <v>1</v>
      </c>
      <c r="G271" s="12" t="n">
        <v>1</v>
      </c>
      <c r="H271" s="13">
        <f>IF(AND(F271=2,G271=2),"AMBOS",IF(AND(F271=2,G271&lt;2),"solo JP",IF(AND(F271&lt;2,G271=2),"solo Thais","-")))</f>
        <v/>
      </c>
      <c r="I271" s="14" t="n">
        <v>0</v>
      </c>
      <c r="J271" s="15" t="n">
        <v>0.4</v>
      </c>
      <c r="K271" s="13" t="inlineStr">
        <is>
          <t>no</t>
        </is>
      </c>
      <c r="L271" s="16" t="inlineStr">
        <is>
          <t>—</t>
        </is>
      </c>
      <c r="M271" s="11" t="inlineStr">
        <is>
          <t>—</t>
        </is>
      </c>
      <c r="N271" s="16" t="inlineStr">
        <is>
          <t>—</t>
        </is>
      </c>
      <c r="O271" s="16" t="inlineStr">
        <is>
          <t>—</t>
        </is>
      </c>
      <c r="P271" s="16" t="inlineStr">
        <is>
          <t>Spring St (6)</t>
        </is>
      </c>
      <c r="Q271" s="16" t="inlineStr">
        <is>
          <t>Jardin de esculturas metido entre edificios, con estatuas victorianas entre los yuyos. Gratis y lleno de vecinos, no de turistas.</t>
        </is>
      </c>
      <c r="R271" s="16" t="inlineStr">
        <is>
          <t>Elizabeth St entre Prince y Spring</t>
        </is>
      </c>
      <c r="S271" s="16" t="inlineStr">
        <is>
          <t>—</t>
        </is>
      </c>
      <c r="T271" s="18" t="inlineStr">
        <is>
          <t>Abrir ↗</t>
        </is>
      </c>
      <c r="U271" s="21" t="inlineStr">
        <is>
          <t>otros</t>
        </is>
      </c>
      <c r="V271" s="20" t="inlineStr"/>
    </row>
    <row r="272" ht="46" customHeight="1">
      <c r="A272" s="9" t="inlineStr">
        <is>
          <t>Socrates Sculpture Park</t>
        </is>
      </c>
      <c r="B272" s="10" t="inlineStr">
        <is>
          <t>Parque de esculturas</t>
        </is>
      </c>
      <c r="C272" s="11" t="inlineStr">
        <is>
          <t>Parque</t>
        </is>
      </c>
      <c r="D272" s="11" t="inlineStr">
        <is>
          <t>Long Island City</t>
        </is>
      </c>
      <c r="E272" s="11" t="inlineStr">
        <is>
          <t>Queens</t>
        </is>
      </c>
      <c r="F272" s="12" t="n">
        <v>0</v>
      </c>
      <c r="G272" s="12" t="n">
        <v>0</v>
      </c>
      <c r="H272" s="13">
        <f>IF(AND(F272=2,G272=2),"AMBOS",IF(AND(F272=2,G272&lt;2),"solo JP",IF(AND(F272&lt;2,G272=2),"solo Thais","-")))</f>
        <v/>
      </c>
      <c r="I272" s="14" t="n">
        <v>0</v>
      </c>
      <c r="J272" s="15" t="n">
        <v>1</v>
      </c>
      <c r="K272" s="13" t="inlineStr">
        <is>
          <t>no</t>
        </is>
      </c>
      <c r="L272" s="16" t="inlineStr">
        <is>
          <t>—</t>
        </is>
      </c>
      <c r="M272" s="11" t="inlineStr">
        <is>
          <t>—</t>
        </is>
      </c>
      <c r="N272" s="16" t="inlineStr">
        <is>
          <t>—</t>
        </is>
      </c>
      <c r="O272" s="16" t="inlineStr">
        <is>
          <t>—</t>
        </is>
      </c>
      <c r="P272" s="16" t="inlineStr">
        <is>
          <t>Broadway (N,W)</t>
        </is>
      </c>
      <c r="Q272" s="16" t="inlineStr">
        <is>
          <t>Ex basural convertido en parque de esculturas sobre el East River. 'Homecoming' de Chakaia Booker (esculturas de neumaticos) hasta abril 2027. A 5 minutos del Noguchi.</t>
        </is>
      </c>
      <c r="R272" s="16" t="inlineStr">
        <is>
          <t>32-01 Vernon Blvd, LIC</t>
        </is>
      </c>
      <c r="S272" s="16" t="inlineStr">
        <is>
          <t>—</t>
        </is>
      </c>
      <c r="T272" s="18" t="inlineStr">
        <is>
          <t>Abrir ↗</t>
        </is>
      </c>
      <c r="U272" s="21" t="inlineStr">
        <is>
          <t>otros</t>
        </is>
      </c>
      <c r="V272" s="20" t="inlineStr"/>
    </row>
    <row r="273" ht="46" customHeight="1">
      <c r="A273" s="9" t="inlineStr">
        <is>
          <t>Astoria Park</t>
        </is>
      </c>
      <c r="B273" s="10" t="inlineStr">
        <is>
          <t>Parque urbano</t>
        </is>
      </c>
      <c r="C273" s="11" t="inlineStr">
        <is>
          <t>Parque</t>
        </is>
      </c>
      <c r="D273" s="11" t="inlineStr">
        <is>
          <t>Astoria</t>
        </is>
      </c>
      <c r="E273" s="11" t="inlineStr">
        <is>
          <t>Queens</t>
        </is>
      </c>
      <c r="F273" s="12" t="n">
        <v>1</v>
      </c>
      <c r="G273" s="12" t="n">
        <v>1</v>
      </c>
      <c r="H273" s="13">
        <f>IF(AND(F273=2,G273=2),"AMBOS",IF(AND(F273=2,G273&lt;2),"solo JP",IF(AND(F273&lt;2,G273=2),"solo Thais","-")))</f>
        <v/>
      </c>
      <c r="I273" s="14" t="n">
        <v>0</v>
      </c>
      <c r="J273" s="15" t="n">
        <v>1</v>
      </c>
      <c r="K273" s="13" t="inlineStr">
        <is>
          <t>no</t>
        </is>
      </c>
      <c r="L273" s="16" t="inlineStr">
        <is>
          <t>—</t>
        </is>
      </c>
      <c r="M273" s="11" t="inlineStr">
        <is>
          <t>—</t>
        </is>
      </c>
      <c r="N273" s="16" t="inlineStr">
        <is>
          <t>—</t>
        </is>
      </c>
      <c r="O273" s="16" t="inlineStr">
        <is>
          <t>—</t>
        </is>
      </c>
      <c r="P273" s="16" t="inlineStr">
        <is>
          <t>Astoria Blvd (N,W) + caminata</t>
        </is>
      </c>
      <c r="Q273" s="16" t="inlineStr">
        <is>
          <t>Debajo del Hell Gate Bridge, con el Triborough al lado y Manhattan enfrente. Al atardecer es de los mejores lugares de la ciudad y solo hay vecinos corriendo.</t>
        </is>
      </c>
      <c r="R273" s="16" t="inlineStr">
        <is>
          <t>19th St &amp; 23rd Ave, Astoria</t>
        </is>
      </c>
      <c r="S273" s="16" t="inlineStr">
        <is>
          <t>—</t>
        </is>
      </c>
      <c r="T273" s="18" t="inlineStr">
        <is>
          <t>Abrir ↗</t>
        </is>
      </c>
      <c r="U273" s="21" t="inlineStr">
        <is>
          <t>otros</t>
        </is>
      </c>
      <c r="V273" s="20" t="inlineStr"/>
    </row>
    <row r="274" ht="46" customHeight="1">
      <c r="A274" s="9" t="inlineStr">
        <is>
          <t>Battery Park</t>
        </is>
      </c>
      <c r="B274" s="10" t="inlineStr">
        <is>
          <t>Parque urbano</t>
        </is>
      </c>
      <c r="C274" s="11" t="inlineStr">
        <is>
          <t>Parque</t>
        </is>
      </c>
      <c r="D274" s="11" t="inlineStr">
        <is>
          <t>Financial District</t>
        </is>
      </c>
      <c r="E274" s="11" t="inlineStr">
        <is>
          <t>Manhattan</t>
        </is>
      </c>
      <c r="F274" s="12" t="n">
        <v>1</v>
      </c>
      <c r="G274" s="12" t="n">
        <v>1</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Bowling Green (4,5), South Ferry (1)</t>
        </is>
      </c>
      <c r="Q274" s="16" t="inlineStr">
        <is>
          <t>La punta sur de la isla: la bahía, la Estatua a lo lejos y el embarcadero del ferry. Gratis.</t>
        </is>
      </c>
      <c r="R274" s="16" t="inlineStr"/>
      <c r="S274" s="16" t="inlineStr">
        <is>
          <t>—</t>
        </is>
      </c>
      <c r="T274" s="18" t="inlineStr">
        <is>
          <t>Abrir ↗</t>
        </is>
      </c>
      <c r="U274" s="19" t="inlineStr">
        <is>
          <t>lista google</t>
        </is>
      </c>
      <c r="V274" s="20" t="inlineStr"/>
    </row>
    <row r="275" ht="46" customHeight="1">
      <c r="A275" s="9" t="inlineStr">
        <is>
          <t>Brooklyn Bridge Park</t>
        </is>
      </c>
      <c r="B275" s="10" t="inlineStr">
        <is>
          <t>Parque urbano</t>
        </is>
      </c>
      <c r="C275" s="11" t="inlineStr">
        <is>
          <t>Parque</t>
        </is>
      </c>
      <c r="D275" s="11" t="inlineStr">
        <is>
          <t>DUMBO / Brooklyn Heights</t>
        </is>
      </c>
      <c r="E275" s="11" t="inlineStr">
        <is>
          <t>Brooklyn</t>
        </is>
      </c>
      <c r="F275" s="12" t="n">
        <v>2</v>
      </c>
      <c r="G275" s="12" t="n">
        <v>2</v>
      </c>
      <c r="H275" s="13">
        <f>IF(AND(F275=2,G275=2),"AMBOS",IF(AND(F275=2,G275&lt;2),"solo JP",IF(AND(F275&lt;2,G275=2),"solo Thais","-")))</f>
        <v/>
      </c>
      <c r="I275" s="14" t="n">
        <v>0</v>
      </c>
      <c r="J275" s="15" t="n">
        <v>1.5</v>
      </c>
      <c r="K275" s="13" t="inlineStr">
        <is>
          <t>SÍ</t>
        </is>
      </c>
      <c r="L275" s="16" t="inlineStr">
        <is>
          <t>—</t>
        </is>
      </c>
      <c r="M275" s="11" t="inlineStr">
        <is>
          <t>—</t>
        </is>
      </c>
      <c r="N275" s="16" t="inlineStr">
        <is>
          <t>—</t>
        </is>
      </c>
      <c r="O275" s="16" t="inlineStr">
        <is>
          <t>—</t>
        </is>
      </c>
      <c r="P275" s="16" t="inlineStr">
        <is>
          <t>York St (F), High St (A,C)</t>
        </is>
      </c>
      <c r="Q275" s="16" t="inlineStr">
        <is>
          <t>Muelles reconvertidos con el skyline de Lower Manhattan de frente. Woody De Othello, 'Guardian Spirit', en el Pier 1 hasta marzo 2027.</t>
        </is>
      </c>
      <c r="R275" s="16" t="inlineStr">
        <is>
          <t>334 Furman St, Brooklyn</t>
        </is>
      </c>
      <c r="S275" s="17" t="inlineStr">
        <is>
          <t>Día 8 · sáb 5/9</t>
        </is>
      </c>
      <c r="T275" s="18" t="inlineStr">
        <is>
          <t>Abrir ↗</t>
        </is>
      </c>
      <c r="U275" s="21" t="inlineStr">
        <is>
          <t>otros</t>
        </is>
      </c>
      <c r="V275" s="20" t="inlineStr">
        <is>
          <t>SÍ</t>
        </is>
      </c>
    </row>
    <row r="276" ht="46" customHeight="1">
      <c r="A276" s="9" t="inlineStr">
        <is>
          <t>Bryant Park</t>
        </is>
      </c>
      <c r="B276" s="10" t="inlineStr">
        <is>
          <t>Parque urbano</t>
        </is>
      </c>
      <c r="C276" s="11" t="inlineStr">
        <is>
          <t>Parque</t>
        </is>
      </c>
      <c r="D276" s="11" t="inlineStr">
        <is>
          <t>Midtown</t>
        </is>
      </c>
      <c r="E276" s="11" t="inlineStr">
        <is>
          <t>Manhattan</t>
        </is>
      </c>
      <c r="F276" s="12" t="n">
        <v>2</v>
      </c>
      <c r="G276" s="12" t="n">
        <v>0</v>
      </c>
      <c r="H276" s="13">
        <f>IF(AND(F276=2,G276=2),"AMBOS",IF(AND(F276=2,G276&lt;2),"solo JP",IF(AND(F276&lt;2,G276=2),"solo Thais","-")))</f>
        <v/>
      </c>
      <c r="I276" s="14" t="n">
        <v>0</v>
      </c>
      <c r="J276" s="15" t="n">
        <v>0.75</v>
      </c>
      <c r="K276" s="13" t="inlineStr">
        <is>
          <t>SÍ</t>
        </is>
      </c>
      <c r="L276" s="16" t="inlineStr">
        <is>
          <t>—</t>
        </is>
      </c>
      <c r="M276" s="11" t="inlineStr">
        <is>
          <t>—</t>
        </is>
      </c>
      <c r="N276" s="16" t="inlineStr">
        <is>
          <t>—</t>
        </is>
      </c>
      <c r="O276" s="16" t="inlineStr">
        <is>
          <t>—</t>
        </is>
      </c>
      <c r="P276" s="16" t="inlineStr">
        <is>
          <t>5 Av-Bryant Pk (7,B,D,F,M)</t>
        </is>
      </c>
      <c r="Q276" s="16" t="inlineStr">
        <is>
          <t>El patio trasero de la Biblioteca Publica. Picnic Performances gratis toda la temporada: sab 29/8 (Accordion Festival), jue 3 y vie 4/9 (Brass Festival).</t>
        </is>
      </c>
      <c r="R276" s="16" t="inlineStr">
        <is>
          <t>Bryant Park, New York</t>
        </is>
      </c>
      <c r="S276" s="17" t="inlineStr">
        <is>
          <t>Día 3 · lun 31/8</t>
        </is>
      </c>
      <c r="T276" s="18" t="inlineStr">
        <is>
          <t>Abrir ↗</t>
        </is>
      </c>
      <c r="U276" s="21" t="inlineStr">
        <is>
          <t>otros</t>
        </is>
      </c>
      <c r="V276" s="20" t="inlineStr">
        <is>
          <t>SÍ</t>
        </is>
      </c>
    </row>
    <row r="277" ht="46" customHeight="1">
      <c r="A277" s="9" t="inlineStr">
        <is>
          <t>Carl Schurz Park</t>
        </is>
      </c>
      <c r="B277" s="10" t="inlineStr">
        <is>
          <t>Parque urbano</t>
        </is>
      </c>
      <c r="C277" s="11" t="inlineStr">
        <is>
          <t>Parque</t>
        </is>
      </c>
      <c r="D277" s="11" t="inlineStr">
        <is>
          <t>Upper East Side</t>
        </is>
      </c>
      <c r="E277" s="11" t="inlineStr">
        <is>
          <t>Manhattan</t>
        </is>
      </c>
      <c r="F277" s="12" t="n">
        <v>1</v>
      </c>
      <c r="G277" s="12" t="n">
        <v>1</v>
      </c>
      <c r="H277" s="13">
        <f>IF(AND(F277=2,G277=2),"AMBOS",IF(AND(F277=2,G277&lt;2),"solo JP",IF(AND(F277&lt;2,G277=2),"solo Thais","-")))</f>
        <v/>
      </c>
      <c r="I277" s="14" t="n">
        <v>0</v>
      </c>
      <c r="J277" s="15" t="n">
        <v>0.6</v>
      </c>
      <c r="K277" s="13" t="inlineStr">
        <is>
          <t>no</t>
        </is>
      </c>
      <c r="L277" s="16" t="inlineStr">
        <is>
          <t>—</t>
        </is>
      </c>
      <c r="M277" s="11" t="inlineStr">
        <is>
          <t>—</t>
        </is>
      </c>
      <c r="N277" s="16" t="inlineStr">
        <is>
          <t>—</t>
        </is>
      </c>
      <c r="O277" s="16" t="inlineStr">
        <is>
          <t>—</t>
        </is>
      </c>
      <c r="P277" s="16" t="inlineStr">
        <is>
          <t>86 St (4,5,6) + M86 al este</t>
        </is>
      </c>
      <c r="Q277" s="16" t="inlineStr">
        <is>
          <t>Promenade sobre el East River con Gracie Mansion adentro, la casa del intendente. Lo usan los vecinos, no los turistas.</t>
        </is>
      </c>
      <c r="R277" s="16" t="inlineStr">
        <is>
          <t>East End Ave y E 86th St</t>
        </is>
      </c>
      <c r="S277" s="16" t="inlineStr">
        <is>
          <t>—</t>
        </is>
      </c>
      <c r="T277" s="18" t="inlineStr">
        <is>
          <t>Abrir ↗</t>
        </is>
      </c>
      <c r="U277" s="21" t="inlineStr">
        <is>
          <t>otros</t>
        </is>
      </c>
      <c r="V277" s="20" t="inlineStr"/>
    </row>
    <row r="278" ht="46" customHeight="1">
      <c r="A278" s="9" t="inlineStr">
        <is>
          <t>Central Park</t>
        </is>
      </c>
      <c r="B278" s="10" t="inlineStr">
        <is>
          <t>Parque urbano</t>
        </is>
      </c>
      <c r="C278" s="11" t="inlineStr">
        <is>
          <t>Parque</t>
        </is>
      </c>
      <c r="D278" s="11" t="inlineStr">
        <is>
          <t>Central Park</t>
        </is>
      </c>
      <c r="E278" s="11" t="inlineStr">
        <is>
          <t>Manhattan</t>
        </is>
      </c>
      <c r="F278" s="12" t="n">
        <v>2</v>
      </c>
      <c r="G278" s="12" t="n">
        <v>2</v>
      </c>
      <c r="H278" s="13">
        <f>IF(AND(F278=2,G278=2),"AMBOS",IF(AND(F278=2,G278&lt;2),"solo JP",IF(AND(F278&lt;2,G278=2),"solo Thais","-")))</f>
        <v/>
      </c>
      <c r="I278" s="14" t="n">
        <v>0</v>
      </c>
      <c r="J278" s="15" t="n">
        <v>3</v>
      </c>
      <c r="K278" s="13" t="inlineStr">
        <is>
          <t>SÍ</t>
        </is>
      </c>
      <c r="L278" s="16" t="inlineStr">
        <is>
          <t>—</t>
        </is>
      </c>
      <c r="M278" s="11" t="inlineStr">
        <is>
          <t>—</t>
        </is>
      </c>
      <c r="N278" s="16" t="inlineStr">
        <is>
          <t>—</t>
        </is>
      </c>
      <c r="O278" s="16" t="inlineStr">
        <is>
          <t>—</t>
        </is>
      </c>
      <c r="P278" s="16" t="inlineStr">
        <is>
          <t>multiples: 72 St (B,C), 59 St-Columbus Circle, 86 St</t>
        </is>
      </c>
      <c r="Q278" s="16" t="inlineStr">
        <is>
          <t>Bethesda Terrace, el Ramble, Bow Bridge, el Reservoir. La mitad norte (arriba de la 96) esta casi vacia y es la mejor. A dos cuadras del hotel The Beacon.</t>
        </is>
      </c>
      <c r="R278" s="16" t="inlineStr">
        <is>
          <t>Central Park, New York</t>
        </is>
      </c>
      <c r="S278" s="17" t="inlineStr">
        <is>
          <t>Día 9 · dom 6/9</t>
        </is>
      </c>
      <c r="T278" s="18" t="inlineStr">
        <is>
          <t>Abrir ↗</t>
        </is>
      </c>
      <c r="U278" s="21" t="inlineStr">
        <is>
          <t>otros</t>
        </is>
      </c>
      <c r="V278" s="20" t="inlineStr">
        <is>
          <t>SÍ</t>
        </is>
      </c>
    </row>
    <row r="279" ht="46" customHeight="1">
      <c r="A279" s="9" t="inlineStr">
        <is>
          <t>Clinton Community Garden</t>
        </is>
      </c>
      <c r="B279" s="10" t="inlineStr">
        <is>
          <t>Parque urbano</t>
        </is>
      </c>
      <c r="C279" s="11" t="inlineStr">
        <is>
          <t>Parque</t>
        </is>
      </c>
      <c r="D279" s="11" t="inlineStr">
        <is>
          <t>Hell's Kitchen</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50 St (C,E)</t>
        </is>
      </c>
      <c r="Q279"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9" s="16" t="inlineStr">
        <is>
          <t>434 W 48th St</t>
        </is>
      </c>
      <c r="S279" s="16" t="inlineStr">
        <is>
          <t>—</t>
        </is>
      </c>
      <c r="T279" s="18" t="inlineStr">
        <is>
          <t>Abrir ↗</t>
        </is>
      </c>
      <c r="U279" s="21" t="inlineStr">
        <is>
          <t>otros</t>
        </is>
      </c>
      <c r="V279" s="20" t="inlineStr"/>
    </row>
    <row r="280" ht="46" customHeight="1">
      <c r="A280" s="9" t="inlineStr">
        <is>
          <t>Columbus Park</t>
        </is>
      </c>
      <c r="B280" s="10" t="inlineStr">
        <is>
          <t>Parque urbano</t>
        </is>
      </c>
      <c r="C280" s="11" t="inlineStr">
        <is>
          <t>Parque</t>
        </is>
      </c>
      <c r="D280" s="11" t="inlineStr">
        <is>
          <t>Chinatown</t>
        </is>
      </c>
      <c r="E280" s="11" t="inlineStr">
        <is>
          <t>Manhattan</t>
        </is>
      </c>
      <c r="F280" s="12" t="n">
        <v>1</v>
      </c>
      <c r="G280" s="12" t="n">
        <v>1</v>
      </c>
      <c r="H280" s="13">
        <f>IF(AND(F280=2,G280=2),"AMBOS",IF(AND(F280=2,G280&lt;2),"solo JP",IF(AND(F280&lt;2,G280=2),"solo Thais","-")))</f>
        <v/>
      </c>
      <c r="I280" s="14" t="n">
        <v>0</v>
      </c>
      <c r="J280" s="15" t="n">
        <v>0.4</v>
      </c>
      <c r="K280" s="13" t="inlineStr">
        <is>
          <t>no</t>
        </is>
      </c>
      <c r="L280" s="16" t="inlineStr">
        <is>
          <t>—</t>
        </is>
      </c>
      <c r="M280" s="11" t="inlineStr">
        <is>
          <t>—</t>
        </is>
      </c>
      <c r="N280" s="16" t="inlineStr">
        <is>
          <t>—</t>
        </is>
      </c>
      <c r="O280" s="16" t="inlineStr">
        <is>
          <t>—</t>
        </is>
      </c>
      <c r="P280" s="16" t="inlineStr">
        <is>
          <t>Canal St (J,N,Q,R,W,6)</t>
        </is>
      </c>
      <c r="Q280" s="16" t="inlineStr">
        <is>
          <t>acá estaba Mulberry Bend, el corazón de Five Points — el peor conventillo de la historia de Nueva York, al que Jacob Riis le dedicó un capítulo entero de *How the Other Half Lives* llamándolo "el núcleo podrido de los suburbios de Nueva York".</t>
        </is>
      </c>
      <c r="R280" s="16" t="inlineStr">
        <is>
          <t>Columbus Park, Baxter St</t>
        </is>
      </c>
      <c r="S280" s="16" t="inlineStr">
        <is>
          <t>—</t>
        </is>
      </c>
      <c r="T280" s="18" t="inlineStr">
        <is>
          <t>Abrir ↗</t>
        </is>
      </c>
      <c r="U280" s="21" t="inlineStr">
        <is>
          <t>otros</t>
        </is>
      </c>
      <c r="V280" s="20" t="inlineStr"/>
    </row>
    <row r="281" ht="46" customHeight="1">
      <c r="A281" s="9" t="inlineStr">
        <is>
          <t>Greenacre Park</t>
        </is>
      </c>
      <c r="B281" s="10" t="inlineStr">
        <is>
          <t>Parque urbano</t>
        </is>
      </c>
      <c r="C281" s="11" t="inlineStr">
        <is>
          <t>Parque</t>
        </is>
      </c>
      <c r="D281" s="11" t="inlineStr">
        <is>
          <t>Midtown East</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51 St (6), Lexington Av-53 St (E,M)</t>
        </is>
      </c>
      <c r="Q281" s="16" t="inlineStr">
        <is>
          <t>El hermano escondido de Paley: cascada de 8 metros en un hueco entre edificios. Casi siempre vacio.</t>
        </is>
      </c>
      <c r="R281" s="16" t="inlineStr">
        <is>
          <t>217 E 51st St</t>
        </is>
      </c>
      <c r="S281" s="16" t="inlineStr">
        <is>
          <t>—</t>
        </is>
      </c>
      <c r="T281" s="18" t="inlineStr">
        <is>
          <t>Abrir ↗</t>
        </is>
      </c>
      <c r="U281" s="21" t="inlineStr">
        <is>
          <t>otros</t>
        </is>
      </c>
      <c r="V281" s="20" t="inlineStr"/>
    </row>
    <row r="282" ht="46" customHeight="1">
      <c r="A282" s="9" t="inlineStr">
        <is>
          <t>Hudson River Park Pier 84</t>
        </is>
      </c>
      <c r="B282" s="10" t="inlineStr">
        <is>
          <t>Parque urbano</t>
        </is>
      </c>
      <c r="C282" s="11" t="inlineStr">
        <is>
          <t>Parque</t>
        </is>
      </c>
      <c r="D282" s="11" t="inlineStr">
        <is>
          <t>Hell's Kitchen</t>
        </is>
      </c>
      <c r="E282" s="11" t="inlineStr">
        <is>
          <t>Manhattan</t>
        </is>
      </c>
      <c r="F282" s="12" t="n">
        <v>1</v>
      </c>
      <c r="G282" s="12" t="n">
        <v>1</v>
      </c>
      <c r="H282" s="13">
        <f>IF(AND(F282=2,G282=2),"AMBOS",IF(AND(F282=2,G282&lt;2),"solo JP",IF(AND(F282&lt;2,G282=2),"solo Thais","-")))</f>
        <v/>
      </c>
      <c r="I282" s="14" t="n">
        <v>0</v>
      </c>
      <c r="J282" s="15" t="n">
        <v>0.5</v>
      </c>
      <c r="K282" s="13" t="inlineStr">
        <is>
          <t>no</t>
        </is>
      </c>
      <c r="L282" s="16" t="inlineStr">
        <is>
          <t>—</t>
        </is>
      </c>
      <c r="M282" s="11" t="inlineStr">
        <is>
          <t>—</t>
        </is>
      </c>
      <c r="N282" s="16" t="inlineStr">
        <is>
          <t>—</t>
        </is>
      </c>
      <c r="O282" s="16" t="inlineStr">
        <is>
          <t>—</t>
        </is>
      </c>
      <c r="P282" s="16" t="inlineStr">
        <is>
          <t>42 St-Port Authority (A,C,E)</t>
        </is>
      </c>
      <c r="Q282" s="16" t="inlineStr">
        <is>
          <t>El muelle publico mas grande del rio, con el Intrepid al lado y el atardecer sobre New Jersey de frente.</t>
        </is>
      </c>
      <c r="R282" s="16" t="inlineStr">
        <is>
          <t>W 44th St y 12th Ave</t>
        </is>
      </c>
      <c r="S282" s="16" t="inlineStr">
        <is>
          <t>—</t>
        </is>
      </c>
      <c r="T282" s="18" t="inlineStr">
        <is>
          <t>Abrir ↗</t>
        </is>
      </c>
      <c r="U282" s="21" t="inlineStr">
        <is>
          <t>otros</t>
        </is>
      </c>
      <c r="V282" s="20" t="inlineStr"/>
    </row>
    <row r="283" ht="46" customHeight="1">
      <c r="A283" s="9" t="inlineStr">
        <is>
          <t>Paley Park</t>
        </is>
      </c>
      <c r="B283" s="10" t="inlineStr">
        <is>
          <t>Parque urbano</t>
        </is>
      </c>
      <c r="C283" s="11" t="inlineStr">
        <is>
          <t>Parque</t>
        </is>
      </c>
      <c r="D283" s="11" t="inlineStr">
        <is>
          <t>Midtown</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5 Av-53 St (E,M)</t>
        </is>
      </c>
      <c r="Q283" s="16" t="inlineStr">
        <is>
          <t>Pocket park de 1967 con una cascada que tapa el ruido de la calle. El mejor invento urbano de Nueva York y entra en media cuadra.</t>
        </is>
      </c>
      <c r="R283" s="16" t="inlineStr">
        <is>
          <t>3 E 53rd St</t>
        </is>
      </c>
      <c r="S283" s="16" t="inlineStr">
        <is>
          <t>—</t>
        </is>
      </c>
      <c r="T283" s="18" t="inlineStr">
        <is>
          <t>Abrir ↗</t>
        </is>
      </c>
      <c r="U283" s="21" t="inlineStr">
        <is>
          <t>otros</t>
        </is>
      </c>
      <c r="V283" s="20" t="inlineStr"/>
    </row>
    <row r="284" ht="46" customHeight="1">
      <c r="A284" s="9" t="inlineStr">
        <is>
          <t>Prospect Park</t>
        </is>
      </c>
      <c r="B284" s="10" t="inlineStr">
        <is>
          <t>Parque urbano</t>
        </is>
      </c>
      <c r="C284" s="11" t="inlineStr">
        <is>
          <t>Parque</t>
        </is>
      </c>
      <c r="D284" s="11" t="inlineStr">
        <is>
          <t>Park Slope</t>
        </is>
      </c>
      <c r="E284" s="11" t="inlineStr">
        <is>
          <t>Brooklyn</t>
        </is>
      </c>
      <c r="F284" s="12" t="n">
        <v>1</v>
      </c>
      <c r="G284" s="12" t="n">
        <v>1</v>
      </c>
      <c r="H284" s="13">
        <f>IF(AND(F284=2,G284=2),"AMBOS",IF(AND(F284=2,G284&lt;2),"solo JP",IF(AND(F284&lt;2,G284=2),"solo Thais","-")))</f>
        <v/>
      </c>
      <c r="I284" s="14" t="n">
        <v>0</v>
      </c>
      <c r="J284" s="15" t="n">
        <v>1.5</v>
      </c>
      <c r="K284" s="13" t="inlineStr">
        <is>
          <t>no</t>
        </is>
      </c>
      <c r="L284" s="16" t="inlineStr">
        <is>
          <t>—</t>
        </is>
      </c>
      <c r="M284" s="11" t="inlineStr">
        <is>
          <t>—</t>
        </is>
      </c>
      <c r="N284" s="16" t="inlineStr">
        <is>
          <t>—</t>
        </is>
      </c>
      <c r="O284" s="16" t="inlineStr">
        <is>
          <t>—</t>
        </is>
      </c>
      <c r="P284" s="16" t="inlineStr">
        <is>
          <t>Grand Army Plaza (2,3)</t>
        </is>
      </c>
      <c r="Q284" s="16" t="inlineStr">
        <is>
          <t>El parque que Olmsted y Vaux consideraban SU obra maestra, mejor que Central Park: más bosque y menos turistas.</t>
        </is>
      </c>
      <c r="R284" s="16" t="inlineStr"/>
      <c r="S284" s="16" t="inlineStr">
        <is>
          <t>—</t>
        </is>
      </c>
      <c r="T284" s="18" t="inlineStr">
        <is>
          <t>Abrir ↗</t>
        </is>
      </c>
      <c r="U284" s="19" t="inlineStr">
        <is>
          <t>lista google</t>
        </is>
      </c>
      <c r="V284" s="20" t="inlineStr"/>
    </row>
    <row r="285" ht="46" customHeight="1">
      <c r="A285" s="9" t="inlineStr">
        <is>
          <t>Straus Park</t>
        </is>
      </c>
      <c r="B285" s="10" t="inlineStr">
        <is>
          <t>Parque urbano</t>
        </is>
      </c>
      <c r="C285" s="11" t="inlineStr">
        <is>
          <t>Parque</t>
        </is>
      </c>
      <c r="D285" s="11" t="inlineStr">
        <is>
          <t>Upper West Side</t>
        </is>
      </c>
      <c r="E285" s="11" t="inlineStr">
        <is>
          <t>Manhattan</t>
        </is>
      </c>
      <c r="F285" s="12" t="n">
        <v>1</v>
      </c>
      <c r="G285" s="12" t="n">
        <v>1</v>
      </c>
      <c r="H285" s="13">
        <f>IF(AND(F285=2,G285=2),"AMBOS",IF(AND(F285=2,G285&lt;2),"solo JP",IF(AND(F285&lt;2,G285=2),"solo Thais","-")))</f>
        <v/>
      </c>
      <c r="I285" s="14" t="n">
        <v>0</v>
      </c>
      <c r="J285" s="15" t="n">
        <v>0.3</v>
      </c>
      <c r="K285" s="13" t="inlineStr">
        <is>
          <t>no</t>
        </is>
      </c>
      <c r="L285" s="16" t="inlineStr">
        <is>
          <t>—</t>
        </is>
      </c>
      <c r="M285" s="11" t="inlineStr">
        <is>
          <t>—</t>
        </is>
      </c>
      <c r="N285" s="16" t="inlineStr">
        <is>
          <t>—</t>
        </is>
      </c>
      <c r="O285" s="16" t="inlineStr">
        <is>
          <t>—</t>
        </is>
      </c>
      <c r="P285" s="16" t="inlineStr">
        <is>
          <t>103 St (1)</t>
        </is>
      </c>
      <c r="Q285" s="16" t="inlineStr">
        <is>
          <t>Isidor Straus era dueño de Macy's y murió en el Titanic. Su mujer Ida se negó a subir al bote salvavidas y se quedó con él.</t>
        </is>
      </c>
      <c r="R285" s="16" t="inlineStr">
        <is>
          <t>Broadway &amp; W 106th St</t>
        </is>
      </c>
      <c r="S285" s="16" t="inlineStr">
        <is>
          <t>—</t>
        </is>
      </c>
      <c r="T285" s="18" t="inlineStr">
        <is>
          <t>Abrir ↗</t>
        </is>
      </c>
      <c r="U285" s="21" t="inlineStr">
        <is>
          <t>otros</t>
        </is>
      </c>
      <c r="V285" s="20" t="inlineStr"/>
    </row>
    <row r="286" ht="46" customHeight="1">
      <c r="A286" s="9" t="inlineStr">
        <is>
          <t>Tudor City Greens</t>
        </is>
      </c>
      <c r="B286" s="10" t="inlineStr">
        <is>
          <t>Parque urbano</t>
        </is>
      </c>
      <c r="C286" s="11" t="inlineStr">
        <is>
          <t>Parque</t>
        </is>
      </c>
      <c r="D286" s="11" t="inlineStr">
        <is>
          <t>Midtown East</t>
        </is>
      </c>
      <c r="E286" s="11" t="inlineStr">
        <is>
          <t>Manhattan</t>
        </is>
      </c>
      <c r="F286" s="12" t="n">
        <v>1</v>
      </c>
      <c r="G286" s="12" t="n">
        <v>1</v>
      </c>
      <c r="H286" s="13">
        <f>IF(AND(F286=2,G286=2),"AMBOS",IF(AND(F286=2,G286&lt;2),"solo JP",IF(AND(F286&lt;2,G286=2),"solo Thais","-")))</f>
        <v/>
      </c>
      <c r="I286" s="14" t="n">
        <v>0</v>
      </c>
      <c r="J286" s="15" t="n">
        <v>0.3</v>
      </c>
      <c r="K286" s="13" t="inlineStr">
        <is>
          <t>no</t>
        </is>
      </c>
      <c r="L286" s="16" t="inlineStr">
        <is>
          <t>—</t>
        </is>
      </c>
      <c r="M286" s="11" t="inlineStr">
        <is>
          <t>—</t>
        </is>
      </c>
      <c r="N286" s="16" t="inlineStr">
        <is>
          <t>—</t>
        </is>
      </c>
      <c r="O286" s="16" t="inlineStr">
        <is>
          <t>—</t>
        </is>
      </c>
      <c r="P286" s="16" t="inlineStr">
        <is>
          <t>Grand Central-42 St (4,5,6,7,S)</t>
        </is>
      </c>
      <c r="Q286" s="16" t="inlineStr">
        <is>
          <t>dos parques privados abiertos al público arriba de un barranco, con el mirador que da directo sobre la 42 hacia el este — es la postal del puente de la 42 sobre el cañón de la calle.</t>
        </is>
      </c>
      <c r="R286" s="16" t="inlineStr">
        <is>
          <t>Tudor City Pl</t>
        </is>
      </c>
      <c r="S286" s="16" t="inlineStr">
        <is>
          <t>—</t>
        </is>
      </c>
      <c r="T286" s="18" t="inlineStr">
        <is>
          <t>Abrir ↗</t>
        </is>
      </c>
      <c r="U286" s="21" t="inlineStr">
        <is>
          <t>otros</t>
        </is>
      </c>
      <c r="V286" s="20" t="inlineStr"/>
    </row>
    <row r="287" ht="46" customHeight="1">
      <c r="A287" s="9" t="inlineStr">
        <is>
          <t>Washington Square Park</t>
        </is>
      </c>
      <c r="B287" s="10" t="inlineStr">
        <is>
          <t>Parque urbano</t>
        </is>
      </c>
      <c r="C287" s="11" t="inlineStr">
        <is>
          <t>Parque</t>
        </is>
      </c>
      <c r="D287" s="11" t="inlineStr">
        <is>
          <t>Greenwich Village</t>
        </is>
      </c>
      <c r="E287" s="11" t="inlineStr">
        <is>
          <t>Manhattan</t>
        </is>
      </c>
      <c r="F287" s="12" t="n">
        <v>2</v>
      </c>
      <c r="G287" s="12" t="n">
        <v>0</v>
      </c>
      <c r="H287" s="13">
        <f>IF(AND(F287=2,G287=2),"AMBOS",IF(AND(F287=2,G287&lt;2),"solo JP",IF(AND(F287&lt;2,G287=2),"solo Thais","-")))</f>
        <v/>
      </c>
      <c r="I287" s="14" t="n">
        <v>0</v>
      </c>
      <c r="J287" s="15" t="n">
        <v>0.75</v>
      </c>
      <c r="K287" s="13" t="inlineStr">
        <is>
          <t>SÍ</t>
        </is>
      </c>
      <c r="L287" s="16" t="inlineStr">
        <is>
          <t>—</t>
        </is>
      </c>
      <c r="M287" s="11" t="inlineStr">
        <is>
          <t>—</t>
        </is>
      </c>
      <c r="N287" s="16" t="inlineStr">
        <is>
          <t>—</t>
        </is>
      </c>
      <c r="O287" s="16" t="inlineStr">
        <is>
          <t>—</t>
        </is>
      </c>
      <c r="P287" s="16" t="inlineStr">
        <is>
          <t>W 4 St (A,B,C,D,E,F,M), 8 St-NYU (R,W)</t>
        </is>
      </c>
      <c r="Q287" s="16" t="inlineStr">
        <is>
          <t>El arco, el piano ambulante, los ajedrecistas y NYU alrededor. Es el mejor lugar de la ciudad para sentarse una hora a mirar gente.</t>
        </is>
      </c>
      <c r="R287" s="16" t="inlineStr">
        <is>
          <t>Washington Square Park</t>
        </is>
      </c>
      <c r="S287" s="17" t="inlineStr">
        <is>
          <t>Día 4 · mar 1/9</t>
        </is>
      </c>
      <c r="T287" s="18" t="inlineStr">
        <is>
          <t>Abrir ↗</t>
        </is>
      </c>
      <c r="U287" s="19" t="inlineStr">
        <is>
          <t>lista google</t>
        </is>
      </c>
      <c r="V287" s="20" t="inlineStr"/>
    </row>
    <row r="288" ht="46" customHeight="1">
      <c r="A288" s="9" t="inlineStr">
        <is>
          <t>The High Line</t>
        </is>
      </c>
      <c r="B288" s="10" t="inlineStr">
        <is>
          <t>Paseo elevado</t>
        </is>
      </c>
      <c r="C288" s="11" t="inlineStr">
        <is>
          <t>Parque</t>
        </is>
      </c>
      <c r="D288" s="11" t="inlineStr">
        <is>
          <t>Chelsea / Meatpacking</t>
        </is>
      </c>
      <c r="E288" s="11" t="inlineStr">
        <is>
          <t>Manhattan</t>
        </is>
      </c>
      <c r="F288" s="12" t="n">
        <v>2</v>
      </c>
      <c r="G288" s="12" t="n">
        <v>2</v>
      </c>
      <c r="H288" s="13">
        <f>IF(AND(F288=2,G288=2),"AMBOS",IF(AND(F288=2,G288&lt;2),"solo JP",IF(AND(F288&lt;2,G288=2),"solo Thais","-")))</f>
        <v/>
      </c>
      <c r="I288" s="14" t="n">
        <v>0</v>
      </c>
      <c r="J288" s="15" t="n">
        <v>1.5</v>
      </c>
      <c r="K288" s="13" t="inlineStr">
        <is>
          <t>SÍ</t>
        </is>
      </c>
      <c r="L288" s="16" t="inlineStr">
        <is>
          <t>—</t>
        </is>
      </c>
      <c r="M288" s="11" t="inlineStr">
        <is>
          <t>—</t>
        </is>
      </c>
      <c r="N288" s="16" t="inlineStr">
        <is>
          <t>—</t>
        </is>
      </c>
      <c r="O288" s="16" t="inlineStr">
        <is>
          <t>—</t>
        </is>
      </c>
      <c r="P288" s="16" t="inlineStr">
        <is>
          <t>14 St (A,C,E), 34 St-Hudson Yards (7)</t>
        </is>
      </c>
      <c r="Q288" s="16" t="inlineStr">
        <is>
          <t>Via ferroviaria elevada convertida en parque lineal de 2,3 km. Recorrer de sur a norte por la luz. Incluye 'The Light That Shines Through the Universe' de Tuan Andrew Nguyen, un Buda de arenisca de 9 metros.</t>
        </is>
      </c>
      <c r="R288" s="16" t="inlineStr">
        <is>
          <t>High Line, Gansevoort St a W 34th St</t>
        </is>
      </c>
      <c r="S288" s="17" t="inlineStr">
        <is>
          <t>Día 5 · mié 2/9, Día 7 · vie 4/9</t>
        </is>
      </c>
      <c r="T288" s="18" t="inlineStr">
        <is>
          <t>Abrir ↗</t>
        </is>
      </c>
      <c r="U288" s="19" t="inlineStr">
        <is>
          <t>lista google</t>
        </is>
      </c>
      <c r="V288" s="20" t="inlineStr">
        <is>
          <t>SÍ</t>
        </is>
      </c>
    </row>
    <row r="289" ht="46" customHeight="1">
      <c r="A289" s="23" t="inlineStr">
        <is>
          <t>US Open (primeras rondas)</t>
        </is>
      </c>
      <c r="B289" s="24" t="inlineStr">
        <is>
          <t>Deporte</t>
        </is>
      </c>
      <c r="C289" s="25" t="inlineStr">
        <is>
          <t>Evento</t>
        </is>
      </c>
      <c r="D289" s="25" t="inlineStr">
        <is>
          <t>Flushing Meadows</t>
        </is>
      </c>
      <c r="E289" s="25" t="inlineStr">
        <is>
          <t>Queens</t>
        </is>
      </c>
      <c r="F289" s="12" t="n">
        <v>0</v>
      </c>
      <c r="G289" s="12" t="n">
        <v>0</v>
      </c>
      <c r="H289" s="26">
        <f>IF(AND(F289=2,G289=2),"AMBOS",IF(AND(F289=2,G289&lt;2),"solo JP",IF(AND(F289&lt;2,G289=2),"solo Thais","-")))</f>
        <v/>
      </c>
      <c r="I289" s="27" t="n">
        <v>80</v>
      </c>
      <c r="J289" s="28" t="n">
        <v>7</v>
      </c>
      <c r="K289" s="26" t="inlineStr">
        <is>
          <t>no</t>
        </is>
      </c>
      <c r="L289" s="29" t="inlineStr">
        <is>
          <t>—</t>
        </is>
      </c>
      <c r="M289" s="25" t="inlineStr">
        <is>
          <t>—</t>
        </is>
      </c>
      <c r="N289" s="29" t="inlineStr">
        <is>
          <t>—</t>
        </is>
      </c>
      <c r="O289" s="29" t="inlineStr">
        <is>
          <t>Ticketmaster</t>
        </is>
      </c>
      <c r="P289" s="29" t="inlineStr">
        <is>
          <t>Mets-Willets Point (7)</t>
        </is>
      </c>
      <c r="Q289" s="29" t="inlineStr">
        <is>
          <t>Cuadro principal del 30 de agosto al 13 de septiembre. Las primeras rondas (30 ago - 2 sep) son cuando mas partidos simultaneos hay y el grounds pass rinde mas: se ve a metros en las canchas exteriores. Se come un dia entero.</t>
        </is>
      </c>
      <c r="R289" s="29" t="inlineStr">
        <is>
          <t>USTA Billie Jean King NTC, Flushing</t>
        </is>
      </c>
      <c r="S289" s="29" t="inlineStr">
        <is>
          <t>—</t>
        </is>
      </c>
      <c r="T289" s="30" t="inlineStr">
        <is>
          <t>Abrir ↗</t>
        </is>
      </c>
      <c r="U289" s="31" t="inlineStr">
        <is>
          <t>otros</t>
        </is>
      </c>
      <c r="V289" s="20" t="inlineStr"/>
    </row>
    <row r="290" ht="46" customHeight="1">
      <c r="A290" s="23" t="inlineStr">
        <is>
          <t>Charlie Parker Jazz Festival - East Village</t>
        </is>
      </c>
      <c r="B290" s="24" t="inlineStr">
        <is>
          <t>Festival gratis</t>
        </is>
      </c>
      <c r="C290" s="25" t="inlineStr">
        <is>
          <t>Evento</t>
        </is>
      </c>
      <c r="D290" s="25" t="inlineStr">
        <is>
          <t>East Village</t>
        </is>
      </c>
      <c r="E290" s="25" t="inlineStr">
        <is>
          <t>Manhattan</t>
        </is>
      </c>
      <c r="F290" s="12" t="n">
        <v>0</v>
      </c>
      <c r="G290" s="12" t="n">
        <v>0</v>
      </c>
      <c r="H290" s="26">
        <f>IF(AND(F290=2,G290=2),"AMBOS",IF(AND(F290=2,G290&lt;2),"solo JP",IF(AND(F290&lt;2,G290=2),"solo Thais","-")))</f>
        <v/>
      </c>
      <c r="I290" s="27" t="n">
        <v>0</v>
      </c>
      <c r="J290" s="28" t="n">
        <v>4</v>
      </c>
      <c r="K290" s="26" t="inlineStr">
        <is>
          <t>no</t>
        </is>
      </c>
      <c r="L290" s="29" t="inlineStr">
        <is>
          <t>—</t>
        </is>
      </c>
      <c r="M290" s="25" t="inlineStr">
        <is>
          <t>—</t>
        </is>
      </c>
      <c r="N290" s="29" t="inlineStr">
        <is>
          <t>—</t>
        </is>
      </c>
      <c r="O290" s="29" t="inlineStr">
        <is>
          <t>—</t>
        </is>
      </c>
      <c r="P290" s="29" t="inlineStr">
        <is>
          <t>1 Av (L), Astor Pl (6)</t>
        </is>
      </c>
      <c r="Q290" s="29" t="inlineStr">
        <is>
          <t>DOMINGO 30 DE AGOSTO, 15-19h. Ravi Coltrane (headliner), Billy Hart Quartet, Kassa Overall, Vanisha Gould. Segundo dia del festival, en el East Village.</t>
        </is>
      </c>
      <c r="R290" s="29" t="inlineStr">
        <is>
          <t>Tompkins Square Park</t>
        </is>
      </c>
      <c r="S290" s="29" t="inlineStr">
        <is>
          <t>—</t>
        </is>
      </c>
      <c r="T290" s="30" t="inlineStr">
        <is>
          <t>Abrir ↗</t>
        </is>
      </c>
      <c r="U290" s="31" t="inlineStr">
        <is>
          <t>otros</t>
        </is>
      </c>
      <c r="V290" s="20" t="inlineStr"/>
    </row>
    <row r="291" ht="46" customHeight="1">
      <c r="A291" s="23" t="inlineStr">
        <is>
          <t>Charlie Parker Jazz Festival - Harlem</t>
        </is>
      </c>
      <c r="B291" s="24" t="inlineStr">
        <is>
          <t>Festival gratis</t>
        </is>
      </c>
      <c r="C291" s="25" t="inlineStr">
        <is>
          <t>Evento</t>
        </is>
      </c>
      <c r="D291" s="25" t="inlineStr">
        <is>
          <t>Harlem</t>
        </is>
      </c>
      <c r="E291" s="25" t="inlineStr">
        <is>
          <t>Manhattan</t>
        </is>
      </c>
      <c r="F291" s="12" t="n">
        <v>2</v>
      </c>
      <c r="G291" s="12" t="n">
        <v>2</v>
      </c>
      <c r="H291" s="26">
        <f>IF(AND(F291=2,G291=2),"AMBOS",IF(AND(F291=2,G291&lt;2),"solo JP",IF(AND(F291&lt;2,G291=2),"solo Thais","-")))</f>
        <v/>
      </c>
      <c r="I291" s="27" t="n">
        <v>0</v>
      </c>
      <c r="J291" s="28" t="n">
        <v>4</v>
      </c>
      <c r="K291" s="26" t="inlineStr">
        <is>
          <t>no</t>
        </is>
      </c>
      <c r="L291" s="29" t="inlineStr">
        <is>
          <t>—</t>
        </is>
      </c>
      <c r="M291" s="25" t="inlineStr">
        <is>
          <t>—</t>
        </is>
      </c>
      <c r="N291" s="29" t="inlineStr">
        <is>
          <t>—</t>
        </is>
      </c>
      <c r="O291" s="29" t="inlineStr">
        <is>
          <t>—</t>
        </is>
      </c>
      <c r="P291" s="29" t="inlineStr">
        <is>
          <t>125 St (2,3)</t>
        </is>
      </c>
      <c r="Q291" s="29" t="inlineStr">
        <is>
          <t>SABADO 29 DE AGOSTO, 14-19h. Joshua Redman (headliner), Nat Adderley Jr., Catherine Russell, Nicole Glover. Gratis, al aire libre, con el mismo nivel artistico que se paga $60-80 en un club. Llevar manta y llegar 1-2 h antes del headliner.</t>
        </is>
      </c>
      <c r="R291" s="29" t="inlineStr">
        <is>
          <t>Marcus Garvey Park, Harlem</t>
        </is>
      </c>
      <c r="S291" s="17" t="inlineStr">
        <is>
          <t>Día 1 · sáb 29/8</t>
        </is>
      </c>
      <c r="T291" s="30" t="inlineStr">
        <is>
          <t>Abrir ↗</t>
        </is>
      </c>
      <c r="U291" s="31" t="inlineStr">
        <is>
          <t>otros</t>
        </is>
      </c>
      <c r="V291" s="20" t="inlineStr">
        <is>
          <t>SÍ</t>
        </is>
      </c>
    </row>
    <row r="292" ht="46" customHeight="1">
      <c r="A292" s="23" t="inlineStr">
        <is>
          <t>SummerStage: Christian McBride (gratis)</t>
        </is>
      </c>
      <c r="B292" s="24" t="inlineStr">
        <is>
          <t>Festival gratis</t>
        </is>
      </c>
      <c r="C292" s="25" t="inlineStr">
        <is>
          <t>Evento</t>
        </is>
      </c>
      <c r="D292" s="25" t="inlineStr">
        <is>
          <t>Central Park</t>
        </is>
      </c>
      <c r="E292" s="25" t="inlineStr">
        <is>
          <t>Manhattan</t>
        </is>
      </c>
      <c r="F292" s="12" t="n">
        <v>2</v>
      </c>
      <c r="G292" s="12" t="n">
        <v>0</v>
      </c>
      <c r="H292" s="26">
        <f>IF(AND(F292=2,G292=2),"AMBOS",IF(AND(F292=2,G292&lt;2),"solo JP",IF(AND(F292&lt;2,G292=2),"solo Thais","-")))</f>
        <v/>
      </c>
      <c r="I292" s="27" t="n">
        <v>0</v>
      </c>
      <c r="J292" s="28" t="n">
        <v>3</v>
      </c>
      <c r="K292" s="26" t="inlineStr">
        <is>
          <t>no</t>
        </is>
      </c>
      <c r="L292" s="29" t="inlineStr">
        <is>
          <t>—</t>
        </is>
      </c>
      <c r="M292" s="25" t="inlineStr">
        <is>
          <t>—</t>
        </is>
      </c>
      <c r="N292" s="29" t="inlineStr">
        <is>
          <t>—</t>
        </is>
      </c>
      <c r="O292" s="29" t="inlineStr">
        <is>
          <t>—</t>
        </is>
      </c>
      <c r="P292" s="29" t="inlineStr">
        <is>
          <t>72 St (B,C)</t>
        </is>
      </c>
      <c r="Q292" s="29" t="inlineStr">
        <is>
          <t>MIERCOLES 2 DE SEPTIEMBRE. Christian McBride + SAMARA JOY (Verve 70 aniversario) + Mei Semones &amp; Friends tocando Getz/Gilberto. Puertas 18:00, show 19:00-22:00. Gratis, sin ticket, por orden de llegada: con ese cartel hay que llegar bastante antes de las 18:00.</t>
        </is>
      </c>
      <c r="R292" s="29" t="inlineStr">
        <is>
          <t>Rumsey Playfield, Central Park</t>
        </is>
      </c>
      <c r="S292" s="17" t="inlineStr">
        <is>
          <t>Día 5 · mié 2/9</t>
        </is>
      </c>
      <c r="T292" s="30" t="inlineStr">
        <is>
          <t>Abrir ↗</t>
        </is>
      </c>
      <c r="U292" s="31" t="inlineStr">
        <is>
          <t>otros</t>
        </is>
      </c>
      <c r="V292" s="20" t="inlineStr">
        <is>
          <t>SÍ</t>
        </is>
      </c>
    </row>
    <row r="293" ht="46" customHeight="1">
      <c r="A293" s="23" t="inlineStr">
        <is>
          <t>NY Caribbean Carnival Week (Panorama)</t>
        </is>
      </c>
      <c r="B293" s="24" t="inlineStr">
        <is>
          <t>Festival pago</t>
        </is>
      </c>
      <c r="C293" s="25" t="inlineStr">
        <is>
          <t>Evento</t>
        </is>
      </c>
      <c r="D293" s="25" t="inlineStr">
        <is>
          <t>Prospect Heights</t>
        </is>
      </c>
      <c r="E293" s="25" t="inlineStr">
        <is>
          <t>Brooklyn</t>
        </is>
      </c>
      <c r="F293" s="12" t="n">
        <v>1</v>
      </c>
      <c r="G293" s="12" t="n">
        <v>1</v>
      </c>
      <c r="H293" s="26">
        <f>IF(AND(F293=2,G293=2),"AMBOS",IF(AND(F293=2,G293&lt;2),"solo JP",IF(AND(F293&lt;2,G293=2),"solo Thais","-")))</f>
        <v/>
      </c>
      <c r="I293" s="27" t="n">
        <v>30</v>
      </c>
      <c r="J293" s="28" t="n">
        <v>4</v>
      </c>
      <c r="K293" s="26" t="inlineStr">
        <is>
          <t>no</t>
        </is>
      </c>
      <c r="L293" s="29" t="inlineStr">
        <is>
          <t>—</t>
        </is>
      </c>
      <c r="M293" s="25" t="inlineStr">
        <is>
          <t>—</t>
        </is>
      </c>
      <c r="N293" s="29" t="inlineStr">
        <is>
          <t>—</t>
        </is>
      </c>
      <c r="O293" s="29" t="inlineStr">
        <is>
          <t>—</t>
        </is>
      </c>
      <c r="P293" s="29" t="inlineStr">
        <is>
          <t>Eastern Pkwy-Brooklyn Museum (2,3)</t>
        </is>
      </c>
      <c r="Q293" s="29" t="inlineStr">
        <is>
          <t>Del 3 al 7 de septiembre en el Brooklyn Museum: Blocko Mania (jue 3), Soca Fest (vie 4), Junior Carnival y Panorama (sab 5 / dom 6). El Panorama es la competencia de steel pan mas grande de Norteamerica. Fechas de fuente secundaria: VERIFICAR.</t>
        </is>
      </c>
      <c r="R293" s="29" t="inlineStr">
        <is>
          <t>Brooklyn Museum, 200 Eastern Pkwy</t>
        </is>
      </c>
      <c r="S293" s="29" t="inlineStr">
        <is>
          <t>—</t>
        </is>
      </c>
      <c r="T293" s="30" t="inlineStr">
        <is>
          <t>Abrir ↗</t>
        </is>
      </c>
      <c r="U293" s="31" t="inlineStr">
        <is>
          <t>otros</t>
        </is>
      </c>
      <c r="V293" s="20" t="inlineStr"/>
    </row>
    <row r="294" ht="46" customHeight="1">
      <c r="A294" s="23" t="inlineStr">
        <is>
          <t>Paint 'N Pour</t>
        </is>
      </c>
      <c r="B294" s="24" t="inlineStr">
        <is>
          <t>Taller y experiencia</t>
        </is>
      </c>
      <c r="C294" s="25" t="inlineStr">
        <is>
          <t>Evento</t>
        </is>
      </c>
      <c r="D294" s="25" t="inlineStr">
        <is>
          <t>Manhattan</t>
        </is>
      </c>
      <c r="E294" s="25" t="inlineStr">
        <is>
          <t>Manhattan</t>
        </is>
      </c>
      <c r="F294" s="12" t="n">
        <v>1</v>
      </c>
      <c r="G294" s="12" t="n">
        <v>1</v>
      </c>
      <c r="H294" s="26">
        <f>IF(AND(F294=2,G294=2),"AMBOS",IF(AND(F294=2,G294&lt;2),"solo JP",IF(AND(F294&lt;2,G294=2),"solo Thais","-")))</f>
        <v/>
      </c>
      <c r="I294" s="27" t="n">
        <v>45</v>
      </c>
      <c r="J294" s="28" t="n">
        <v>2</v>
      </c>
      <c r="K294" s="26" t="inlineStr">
        <is>
          <t>no</t>
        </is>
      </c>
      <c r="L294" s="29" t="inlineStr">
        <is>
          <t>—</t>
        </is>
      </c>
      <c r="M294" s="25" t="inlineStr">
        <is>
          <t>—</t>
        </is>
      </c>
      <c r="N294" s="29" t="inlineStr">
        <is>
          <t>—</t>
        </is>
      </c>
      <c r="O294" s="29" t="inlineStr">
        <is>
          <t>—</t>
        </is>
      </c>
      <c r="P294" s="29" t="inlineStr">
        <is>
          <t>-</t>
        </is>
      </c>
      <c r="Q294" s="29" t="inlineStr">
        <is>
          <t>Taller de pintura con copa de vino. Se reserva por sesión.</t>
        </is>
      </c>
      <c r="R294" s="29" t="inlineStr"/>
      <c r="S294" s="29" t="inlineStr">
        <is>
          <t>—</t>
        </is>
      </c>
      <c r="T294" s="30" t="inlineStr">
        <is>
          <t>Abrir ↗</t>
        </is>
      </c>
      <c r="U294" s="32" t="inlineStr">
        <is>
          <t>lista google</t>
        </is>
      </c>
      <c r="V294" s="20" t="inlineStr"/>
    </row>
    <row r="295" ht="46" customHeight="1">
      <c r="A295" s="23" t="inlineStr">
        <is>
          <t>Time To Paint - Painting Studio</t>
        </is>
      </c>
      <c r="B295" s="24" t="inlineStr">
        <is>
          <t>Taller y experiencia</t>
        </is>
      </c>
      <c r="C295" s="25" t="inlineStr">
        <is>
          <t>Evento</t>
        </is>
      </c>
      <c r="D295" s="25" t="inlineStr">
        <is>
          <t>Manhattan</t>
        </is>
      </c>
      <c r="E295" s="25" t="inlineStr">
        <is>
          <t>Manhattan</t>
        </is>
      </c>
      <c r="F295" s="12" t="n">
        <v>1</v>
      </c>
      <c r="G295" s="12" t="n">
        <v>1</v>
      </c>
      <c r="H295" s="26">
        <f>IF(AND(F295=2,G295=2),"AMBOS",IF(AND(F295=2,G295&lt;2),"solo JP",IF(AND(F295&lt;2,G295=2),"solo Thais","-")))</f>
        <v/>
      </c>
      <c r="I295" s="27" t="n">
        <v>45</v>
      </c>
      <c r="J295" s="28" t="n">
        <v>2</v>
      </c>
      <c r="K295" s="26" t="inlineStr">
        <is>
          <t>no</t>
        </is>
      </c>
      <c r="L295" s="29" t="inlineStr">
        <is>
          <t>—</t>
        </is>
      </c>
      <c r="M295" s="25" t="inlineStr">
        <is>
          <t>—</t>
        </is>
      </c>
      <c r="N295" s="29" t="inlineStr">
        <is>
          <t>—</t>
        </is>
      </c>
      <c r="O295" s="29" t="inlineStr">
        <is>
          <t>—</t>
        </is>
      </c>
      <c r="P295" s="29" t="inlineStr">
        <is>
          <t>-</t>
        </is>
      </c>
      <c r="Q295" s="29" t="inlineStr">
        <is>
          <t>Estudio para pintar por sesión, mismo formato que Paint 'N Pour.</t>
        </is>
      </c>
      <c r="R295" s="29" t="inlineStr"/>
      <c r="S295" s="29" t="inlineStr">
        <is>
          <t>—</t>
        </is>
      </c>
      <c r="T295" s="30" t="inlineStr">
        <is>
          <t>Abrir ↗</t>
        </is>
      </c>
      <c r="U295" s="32" t="inlineStr">
        <is>
          <t>lista google</t>
        </is>
      </c>
      <c r="V295" s="20" t="inlineStr"/>
    </row>
    <row r="296" ht="46" customHeight="1">
      <c r="A296" s="23" t="inlineStr">
        <is>
          <t>Green-Wood Discover Trolley Tour</t>
        </is>
      </c>
      <c r="B296" s="24" t="inlineStr">
        <is>
          <t>Tour guiado</t>
        </is>
      </c>
      <c r="C296" s="25" t="inlineStr">
        <is>
          <t>Evento</t>
        </is>
      </c>
      <c r="D296" s="25" t="inlineStr">
        <is>
          <t>Greenwood Heights</t>
        </is>
      </c>
      <c r="E296" s="25" t="inlineStr">
        <is>
          <t>Brooklyn</t>
        </is>
      </c>
      <c r="F296" s="12" t="n">
        <v>0</v>
      </c>
      <c r="G296" s="12" t="n">
        <v>0</v>
      </c>
      <c r="H296" s="26">
        <f>IF(AND(F296=2,G296=2),"AMBOS",IF(AND(F296=2,G296&lt;2),"solo JP",IF(AND(F296&lt;2,G296=2),"solo Thais","-")))</f>
        <v/>
      </c>
      <c r="I296" s="27" t="n">
        <v>25</v>
      </c>
      <c r="J296" s="28" t="n">
        <v>2</v>
      </c>
      <c r="K296" s="26" t="inlineStr">
        <is>
          <t>no</t>
        </is>
      </c>
      <c r="L296" s="29" t="inlineStr">
        <is>
          <t>—</t>
        </is>
      </c>
      <c r="M296" s="25" t="inlineStr">
        <is>
          <t>—</t>
        </is>
      </c>
      <c r="N296" s="29" t="inlineStr">
        <is>
          <t>—</t>
        </is>
      </c>
      <c r="O296" s="29" t="inlineStr">
        <is>
          <t>reservar</t>
        </is>
      </c>
      <c r="P296" s="29" t="inlineStr">
        <is>
          <t>25 St (R)</t>
        </is>
      </c>
      <c r="Q296" s="29" t="inlineStr">
        <is>
          <t>SABADO 29 DE AGOSTO y SABADO 5 DE SEPTIEMBRE, 13-15h. Recorrido en trolley por las 190 hectareas con guia. Es la forma de ver el cementerio entero sin caminar seis horas.</t>
        </is>
      </c>
      <c r="R296" s="29" t="inlineStr">
        <is>
          <t>500 25th St, Brooklyn</t>
        </is>
      </c>
      <c r="S296" s="29" t="inlineStr">
        <is>
          <t>—</t>
        </is>
      </c>
      <c r="T296" s="30" t="inlineStr">
        <is>
          <t>Abrir ↗</t>
        </is>
      </c>
      <c r="U296" s="31" t="inlineStr">
        <is>
          <t>otros</t>
        </is>
      </c>
      <c r="V296" s="20" t="inlineStr"/>
    </row>
    <row r="297" ht="46" customHeight="1">
      <c r="A297" s="23" t="inlineStr">
        <is>
          <t>Hamilton</t>
        </is>
      </c>
      <c r="B297" s="24" t="inlineStr">
        <is>
          <t>Musical de Broadway</t>
        </is>
      </c>
      <c r="C297" s="25" t="inlineStr">
        <is>
          <t>Teatro</t>
        </is>
      </c>
      <c r="D297" s="25" t="inlineStr">
        <is>
          <t>Theater District</t>
        </is>
      </c>
      <c r="E297" s="25" t="inlineStr">
        <is>
          <t>Manhattan</t>
        </is>
      </c>
      <c r="F297" s="12" t="n">
        <v>0</v>
      </c>
      <c r="G297" s="12" t="n">
        <v>0</v>
      </c>
      <c r="H297" s="26">
        <f>IF(AND(F297=2,G297=2),"AMBOS",IF(AND(F297=2,G297&lt;2),"solo JP",IF(AND(F297&lt;2,G297=2),"solo Thais","-")))</f>
        <v/>
      </c>
      <c r="I297" s="27" t="n">
        <v>112</v>
      </c>
      <c r="J297" s="28" t="n">
        <v>3</v>
      </c>
      <c r="K297" s="26" t="inlineStr">
        <is>
          <t>SÍ</t>
        </is>
      </c>
      <c r="L297" s="29" t="inlineStr">
        <is>
          <t>—</t>
        </is>
      </c>
      <c r="M297" s="25" t="inlineStr">
        <is>
          <t>—</t>
        </is>
      </c>
      <c r="N297" s="29" t="inlineStr">
        <is>
          <t>—</t>
        </is>
      </c>
      <c r="O297" s="29" t="inlineStr">
        <is>
          <t>—</t>
        </is>
      </c>
      <c r="P297" s="29" t="inlineStr">
        <is>
          <t>50 St (1), 49 St (N,R,W)</t>
        </is>
      </c>
      <c r="Q297" s="29" t="inlineStr">
        <is>
          <t>Sigue siendo el show mas dificil de conseguir barato, pero la loteria de $10 es gratis de intentar y asigna butacas de primera fila. Anotarse todos los dias desde ya.</t>
        </is>
      </c>
      <c r="R297" s="29" t="inlineStr">
        <is>
          <t>Richard Rodgers Theatre, 226 W 46th St</t>
        </is>
      </c>
      <c r="S297" s="29" t="inlineStr">
        <is>
          <t>—</t>
        </is>
      </c>
      <c r="T297" s="30" t="inlineStr">
        <is>
          <t>Abrir ↗</t>
        </is>
      </c>
      <c r="U297" s="31" t="inlineStr">
        <is>
          <t>otros</t>
        </is>
      </c>
      <c r="V297" s="20" t="inlineStr"/>
    </row>
    <row r="298" ht="46" customHeight="1">
      <c r="A298" s="23" t="inlineStr">
        <is>
          <t>Maybe Happy Ending</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59</v>
      </c>
      <c r="J298" s="28" t="n">
        <v>2.5</v>
      </c>
      <c r="K298" s="26" t="inlineStr">
        <is>
          <t>no</t>
        </is>
      </c>
      <c r="L298" s="29" t="inlineStr">
        <is>
          <t>—</t>
        </is>
      </c>
      <c r="M298" s="25" t="inlineStr">
        <is>
          <t>—</t>
        </is>
      </c>
      <c r="N298" s="29" t="inlineStr">
        <is>
          <t>—</t>
        </is>
      </c>
      <c r="O298" s="29" t="inlineStr">
        <is>
          <t>—</t>
        </is>
      </c>
      <c r="P298" s="29" t="inlineStr">
        <is>
          <t>49 St (N,R,W)</t>
        </is>
      </c>
      <c r="Q298" s="29" t="inlineStr">
        <is>
          <t>Musical sobre dos robots obsoletos en Seul. Es la mejor relacion calidad/precio de la cartelera actual y la loteria de $20 es de las mas accesibles.</t>
        </is>
      </c>
      <c r="R298" s="29" t="inlineStr">
        <is>
          <t>Belasco Theatre, 111 W 44th St</t>
        </is>
      </c>
      <c r="S298" s="29" t="inlineStr">
        <is>
          <t>—</t>
        </is>
      </c>
      <c r="T298" s="30" t="inlineStr">
        <is>
          <t>Abrir ↗</t>
        </is>
      </c>
      <c r="U298" s="31" t="inlineStr">
        <is>
          <t>otros</t>
        </is>
      </c>
      <c r="V298" s="20" t="inlineStr"/>
    </row>
    <row r="299" ht="46" customHeight="1">
      <c r="A299" s="23" t="inlineStr">
        <is>
          <t>Moulin Rouge! (ULTIMAS FUNCIONES)</t>
        </is>
      </c>
      <c r="B299" s="24" t="inlineStr">
        <is>
          <t>Musical de Broadway</t>
        </is>
      </c>
      <c r="C299" s="25" t="inlineStr">
        <is>
          <t>Teatro</t>
        </is>
      </c>
      <c r="D299" s="25" t="inlineStr">
        <is>
          <t>Theater District</t>
        </is>
      </c>
      <c r="E299" s="25" t="inlineStr">
        <is>
          <t>Manhattan</t>
        </is>
      </c>
      <c r="F299" s="12" t="n">
        <v>1</v>
      </c>
      <c r="G299" s="12" t="n">
        <v>1</v>
      </c>
      <c r="H299" s="26">
        <f>IF(AND(F299=2,G299=2),"AMBOS",IF(AND(F299=2,G299&lt;2),"solo JP",IF(AND(F299&lt;2,G299=2),"solo Thais","-")))</f>
        <v/>
      </c>
      <c r="I299" s="27" t="n">
        <v>90</v>
      </c>
      <c r="J299" s="28" t="n">
        <v>3</v>
      </c>
      <c r="K299" s="26" t="inlineStr">
        <is>
          <t>no</t>
        </is>
      </c>
      <c r="L299" s="29" t="inlineStr">
        <is>
          <t>—</t>
        </is>
      </c>
      <c r="M299" s="25" t="inlineStr">
        <is>
          <t>—</t>
        </is>
      </c>
      <c r="N299" s="29" t="inlineStr">
        <is>
          <t>—</t>
        </is>
      </c>
      <c r="O299" s="29" t="inlineStr">
        <is>
          <t>urgente si lo quieren</t>
        </is>
      </c>
      <c r="P299" s="29" t="inlineStr">
        <is>
          <t>42 St-Port Authority (A,C,E)</t>
        </is>
      </c>
      <c r="Q299" s="29" t="inlineStr">
        <is>
          <t>CIERRA EL 30 DE AGOSTO DE 2026 (ya postergo el cierre una vez, de julio a agosto: puede volver a extender). Las dos ultimas funciones caen en el fin de semana de llegada, con demanda y precios en pico. Aaron Tveit protagoniza del 18 al 29 de agosto.</t>
        </is>
      </c>
      <c r="R299" s="29" t="inlineStr">
        <is>
          <t>Al Hirschfeld Theatre, 302 W 45th St</t>
        </is>
      </c>
      <c r="S299" s="29" t="inlineStr">
        <is>
          <t>—</t>
        </is>
      </c>
      <c r="T299" s="30" t="inlineStr">
        <is>
          <t>Abrir ↗</t>
        </is>
      </c>
      <c r="U299" s="31" t="inlineStr">
        <is>
          <t>otros</t>
        </is>
      </c>
      <c r="V299" s="20" t="inlineStr"/>
    </row>
    <row r="300" ht="46" customHeight="1">
      <c r="A300" s="23" t="inlineStr">
        <is>
          <t>Operation Mincemeat</t>
        </is>
      </c>
      <c r="B300" s="24" t="inlineStr">
        <is>
          <t>Musical de Broadway</t>
        </is>
      </c>
      <c r="C300" s="25" t="inlineStr">
        <is>
          <t>Teatro</t>
        </is>
      </c>
      <c r="D300" s="25" t="inlineStr">
        <is>
          <t>Theater District</t>
        </is>
      </c>
      <c r="E300" s="25" t="inlineStr">
        <is>
          <t>Manhattan</t>
        </is>
      </c>
      <c r="F300" s="12" t="n">
        <v>0</v>
      </c>
      <c r="G300" s="12" t="n">
        <v>0</v>
      </c>
      <c r="H300" s="26">
        <f>IF(AND(F300=2,G300=2),"AMBOS",IF(AND(F300=2,G300&lt;2),"solo JP",IF(AND(F300&lt;2,G300=2),"solo Thais","-")))</f>
        <v/>
      </c>
      <c r="I300" s="27" t="n">
        <v>63</v>
      </c>
      <c r="J300" s="28" t="n">
        <v>2.5</v>
      </c>
      <c r="K300" s="26" t="inlineStr">
        <is>
          <t>no</t>
        </is>
      </c>
      <c r="L300" s="29" t="inlineStr">
        <is>
          <t>—</t>
        </is>
      </c>
      <c r="M300" s="25" t="inlineStr">
        <is>
          <t>—</t>
        </is>
      </c>
      <c r="N300" s="29" t="inlineStr">
        <is>
          <t>—</t>
        </is>
      </c>
      <c r="O300" s="29" t="inlineStr">
        <is>
          <t>—</t>
        </is>
      </c>
      <c r="P300" s="29" t="inlineStr">
        <is>
          <t>49 St (N,R,W)</t>
        </is>
      </c>
      <c r="Q300" s="29" t="inlineStr">
        <is>
          <t>Comedia musical britanica sobre una operacion de contrainteligencia real de la Segunda Guerra. Cinco actores haciendo ochenta personajes. Muy bien recibida y mas barata que los grandes musicales.</t>
        </is>
      </c>
      <c r="R300" s="29" t="inlineStr">
        <is>
          <t>John Golden Theatre, 252 W 45th St</t>
        </is>
      </c>
      <c r="S300" s="29" t="inlineStr">
        <is>
          <t>—</t>
        </is>
      </c>
      <c r="T300" s="30" t="inlineStr">
        <is>
          <t>Abrir ↗</t>
        </is>
      </c>
      <c r="U300" s="31" t="inlineStr">
        <is>
          <t>otros</t>
        </is>
      </c>
      <c r="V300" s="20" t="inlineStr"/>
    </row>
    <row r="301" ht="46" customHeight="1">
      <c r="A301" s="23" t="inlineStr">
        <is>
          <t>Little Shop of Horrors (Off-Broadway)</t>
        </is>
      </c>
      <c r="B301" s="24" t="inlineStr">
        <is>
          <t>Off-Broadway</t>
        </is>
      </c>
      <c r="C301" s="25" t="inlineStr">
        <is>
          <t>Teatro</t>
        </is>
      </c>
      <c r="D301" s="25" t="inlineStr">
        <is>
          <t>Theater District</t>
        </is>
      </c>
      <c r="E301" s="25" t="inlineStr">
        <is>
          <t>Manhattan</t>
        </is>
      </c>
      <c r="F301" s="12" t="n">
        <v>0</v>
      </c>
      <c r="G301" s="12" t="n">
        <v>0</v>
      </c>
      <c r="H301" s="26">
        <f>IF(AND(F301=2,G301=2),"AMBOS",IF(AND(F301=2,G301&lt;2),"solo JP",IF(AND(F301&lt;2,G301=2),"solo Thais","-")))</f>
        <v/>
      </c>
      <c r="I301" s="27" t="n">
        <v>40</v>
      </c>
      <c r="J301" s="28" t="n">
        <v>2</v>
      </c>
      <c r="K301" s="26" t="inlineStr">
        <is>
          <t>no</t>
        </is>
      </c>
      <c r="L301" s="29" t="inlineStr">
        <is>
          <t>—</t>
        </is>
      </c>
      <c r="M301" s="25" t="inlineStr">
        <is>
          <t>—</t>
        </is>
      </c>
      <c r="N301" s="29" t="inlineStr">
        <is>
          <t>—</t>
        </is>
      </c>
      <c r="O301" s="29" t="inlineStr">
        <is>
          <t>—</t>
        </is>
      </c>
      <c r="P301" s="29" t="inlineStr">
        <is>
          <t>50 St (C,E)</t>
        </is>
      </c>
      <c r="Q301" s="29" t="inlineStr">
        <is>
          <t>Sala chica, produccion excelente, y a un cuarto del precio de un musical grande. Off-Broadway hecho bien.</t>
        </is>
      </c>
      <c r="R301" s="29" t="inlineStr">
        <is>
          <t>Westside Theatre, 407 W 43rd St</t>
        </is>
      </c>
      <c r="S301" s="29" t="inlineStr">
        <is>
          <t>—</t>
        </is>
      </c>
      <c r="T301" s="30" t="inlineStr">
        <is>
          <t>Abrir ↗</t>
        </is>
      </c>
      <c r="U301" s="31" t="inlineStr">
        <is>
          <t>otros</t>
        </is>
      </c>
      <c r="V301" s="20" t="inlineStr"/>
    </row>
    <row r="302" ht="46" customHeight="1">
      <c r="A302" s="23" t="inlineStr">
        <is>
          <t>Stranger Things: The First Shadow (play)</t>
        </is>
      </c>
      <c r="B302" s="24" t="inlineStr">
        <is>
          <t>Play de Broadway</t>
        </is>
      </c>
      <c r="C302" s="25" t="inlineStr">
        <is>
          <t>Teatro</t>
        </is>
      </c>
      <c r="D302" s="25" t="inlineStr">
        <is>
          <t>Midtown</t>
        </is>
      </c>
      <c r="E302" s="25" t="inlineStr">
        <is>
          <t>Manhattan</t>
        </is>
      </c>
      <c r="F302" s="12" t="n">
        <v>2</v>
      </c>
      <c r="G302" s="12" t="n">
        <v>2</v>
      </c>
      <c r="H302" s="26">
        <f>IF(AND(F302=2,G302=2),"AMBOS",IF(AND(F302=2,G302&lt;2),"solo JP",IF(AND(F302&lt;2,G302=2),"solo Thais","-")))</f>
        <v/>
      </c>
      <c r="I302" s="27" t="n">
        <v>90</v>
      </c>
      <c r="J302" s="28" t="n">
        <v>2.5</v>
      </c>
      <c r="K302" s="26" t="inlineStr">
        <is>
          <t>SÍ</t>
        </is>
      </c>
      <c r="L302" s="29" t="inlineStr">
        <is>
          <t>—</t>
        </is>
      </c>
      <c r="M302" s="25" t="inlineStr">
        <is>
          <t>—</t>
        </is>
      </c>
      <c r="N302" s="29" t="inlineStr">
        <is>
          <t>—</t>
        </is>
      </c>
      <c r="O302" s="29" t="inlineStr">
        <is>
          <t>compra firme esta semana - verificar horario de funcion (19:00/19:30/20:00)</t>
        </is>
      </c>
      <c r="P302" s="29" t="inlineStr">
        <is>
          <t>Times Sq-42 St</t>
        </is>
      </c>
      <c r="Q302" s="29" t="inlineStr">
        <is>
          <t>EL play-espectaculo de Broadway: la precuela de Stranger Things con la maquinaria escenica que gano el Tony. Para quien viene de Mercer Labs, es el mismo musculo llevado al teatro.</t>
        </is>
      </c>
      <c r="R302" s="29" t="inlineStr">
        <is>
          <t>Marquis Theatre, 210 W 46th St</t>
        </is>
      </c>
      <c r="S302" s="17" t="inlineStr">
        <is>
          <t>Día 8 · sáb 5/9</t>
        </is>
      </c>
      <c r="T302" s="30" t="inlineStr">
        <is>
          <t>Abrir ↗</t>
        </is>
      </c>
      <c r="U302" s="31" t="inlineStr">
        <is>
          <t>otros</t>
        </is>
      </c>
      <c r="V302" s="20" t="inlineStr"/>
    </row>
    <row r="303" ht="46" customHeight="1">
      <c r="A303" s="23" t="inlineStr">
        <is>
          <t>TKTS Lincoln Center</t>
        </is>
      </c>
      <c r="B303" s="24" t="inlineStr">
        <is>
          <t>Tickets con descuento</t>
        </is>
      </c>
      <c r="C303" s="25" t="inlineStr">
        <is>
          <t>Teatro</t>
        </is>
      </c>
      <c r="D303" s="25" t="inlineStr">
        <is>
          <t>Lincoln Square</t>
        </is>
      </c>
      <c r="E303" s="25" t="inlineStr">
        <is>
          <t>Manhattan</t>
        </is>
      </c>
      <c r="F303" s="12" t="n">
        <v>0</v>
      </c>
      <c r="G303" s="12" t="n">
        <v>0</v>
      </c>
      <c r="H303" s="26">
        <f>IF(AND(F303=2,G303=2),"AMBOS",IF(AND(F303=2,G303&lt;2),"solo JP",IF(AND(F303&lt;2,G303=2),"solo Thais","-")))</f>
        <v/>
      </c>
      <c r="I303" s="27" t="n">
        <v>0</v>
      </c>
      <c r="J303" s="28" t="n">
        <v>0.75</v>
      </c>
      <c r="K303" s="26" t="inlineStr">
        <is>
          <t>no</t>
        </is>
      </c>
      <c r="L303" s="29" t="inlineStr">
        <is>
          <t>lunes: cerrado · martes a sábado: 11:00–18:00 · domingo: cerrado</t>
        </is>
      </c>
      <c r="M303" s="25" t="inlineStr">
        <is>
          <t>lunes y domingos</t>
        </is>
      </c>
      <c r="N303" s="29" t="inlineStr">
        <is>
          <t>—</t>
        </is>
      </c>
      <c r="O303" s="29" t="inlineStr">
        <is>
          <t>—</t>
        </is>
      </c>
      <c r="P303" s="29" t="inlineStr">
        <is>
          <t>66 St-Lincoln Center (1)</t>
        </is>
      </c>
      <c r="Q303" s="29" t="inlineStr">
        <is>
          <t>Mismo inventario que el booth de Times Square y casi siempre sin cola. Mar-sab 11-18h. Usar la app de TKTS para ver el inventario en tiempo real ANTES de ir. A 10 cuadras del hotel The Beacon.</t>
        </is>
      </c>
      <c r="R303" s="29" t="inlineStr">
        <is>
          <t>61 W 62nd St</t>
        </is>
      </c>
      <c r="S303" s="29" t="inlineStr">
        <is>
          <t>—</t>
        </is>
      </c>
      <c r="T303" s="30" t="inlineStr">
        <is>
          <t>Abrir ↗</t>
        </is>
      </c>
      <c r="U303" s="32" t="inlineStr">
        <is>
          <t>lista google</t>
        </is>
      </c>
      <c r="V303" s="20" t="inlineStr"/>
    </row>
    <row r="304" ht="46" customHeight="1">
      <c r="A304" s="9" t="inlineStr">
        <is>
          <t>NYC Ferry DUMBO → Wall St</t>
        </is>
      </c>
      <c r="B304" s="10" t="inlineStr">
        <is>
          <t>Ferry y teleférico</t>
        </is>
      </c>
      <c r="C304" s="11" t="inlineStr">
        <is>
          <t>Logística</t>
        </is>
      </c>
      <c r="D304" s="11" t="inlineStr">
        <is>
          <t>East River</t>
        </is>
      </c>
      <c r="E304" s="11" t="inlineStr">
        <is>
          <t>Manhattan</t>
        </is>
      </c>
      <c r="F304" s="12" t="n">
        <v>1</v>
      </c>
      <c r="G304" s="12" t="n">
        <v>1</v>
      </c>
      <c r="H304" s="13">
        <f>IF(AND(F304=2,G304=2),"AMBOS",IF(AND(F304=2,G304&lt;2),"solo JP",IF(AND(F304&lt;2,G304=2),"solo Thais","-")))</f>
        <v/>
      </c>
      <c r="I304" s="14" t="n">
        <v>4</v>
      </c>
      <c r="J304" s="15" t="n">
        <v>0.5</v>
      </c>
      <c r="K304" s="13" t="inlineStr">
        <is>
          <t>no</t>
        </is>
      </c>
      <c r="L304" s="16" t="inlineStr">
        <is>
          <t>—</t>
        </is>
      </c>
      <c r="M304" s="11" t="inlineStr">
        <is>
          <t>—</t>
        </is>
      </c>
      <c r="N304" s="16" t="inlineStr">
        <is>
          <t>—</t>
        </is>
      </c>
      <c r="O304" s="16" t="inlineStr">
        <is>
          <t>—</t>
        </is>
      </c>
      <c r="P304" s="16" t="inlineStr">
        <is>
          <t>Pier 1 DUMBO / Pier 11 Wall St</t>
        </is>
      </c>
      <c r="Q304" s="16" t="inlineStr">
        <is>
          <t>$4,50 y cruza el East River con el puente de Brooklyn de frente: la vista del crucero turístico por precio de subte.</t>
        </is>
      </c>
      <c r="R304" s="16" t="inlineStr"/>
      <c r="S304" s="16" t="inlineStr">
        <is>
          <t>—</t>
        </is>
      </c>
      <c r="T304" s="18" t="inlineStr">
        <is>
          <t>Abrir ↗</t>
        </is>
      </c>
      <c r="U304" s="19" t="inlineStr">
        <is>
          <t>lista google</t>
        </is>
      </c>
      <c r="V304" s="20" t="inlineStr"/>
    </row>
    <row r="305" ht="46" customHeight="1">
      <c r="A305" s="9" t="inlineStr">
        <is>
          <t>Hotel Ink48 (29-31 ago)</t>
        </is>
      </c>
      <c r="B305" s="10" t="inlineStr">
        <is>
          <t>Hotel</t>
        </is>
      </c>
      <c r="C305" s="11" t="inlineStr">
        <is>
          <t>Logística</t>
        </is>
      </c>
      <c r="D305" s="11" t="inlineStr">
        <is>
          <t>Hell's Kitchen</t>
        </is>
      </c>
      <c r="E305" s="11" t="inlineStr">
        <is>
          <t>Manhattan</t>
        </is>
      </c>
      <c r="F305" s="12" t="n">
        <v>2</v>
      </c>
      <c r="G305" s="12" t="n">
        <v>2</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50 St (C,E) a ~12 min caminando</t>
        </is>
      </c>
      <c r="Q305" s="16" t="inlineStr">
        <is>
          <t>Base 29-31 de agosto. Esta lejos del subte (12 min al este hasta la 8va Av). Cerca: Intrepid, High Line norte, Hudson Yards, Birdland.</t>
        </is>
      </c>
      <c r="R305" s="16" t="inlineStr">
        <is>
          <t>653 11th Ave</t>
        </is>
      </c>
      <c r="S305" s="17" t="inlineStr">
        <is>
          <t>Día 1 · sáb 29/8, Día 3 · lun 31/8</t>
        </is>
      </c>
      <c r="T305" s="18" t="inlineStr">
        <is>
          <t>Abrir ↗</t>
        </is>
      </c>
      <c r="U305" s="19" t="inlineStr">
        <is>
          <t>lista google</t>
        </is>
      </c>
      <c r="V305" s="20" t="inlineStr"/>
    </row>
    <row r="306" ht="46" customHeight="1">
      <c r="A306" s="9" t="inlineStr">
        <is>
          <t>Hotel The Beacon (3-6 sep)</t>
        </is>
      </c>
      <c r="B306" s="10" t="inlineStr">
        <is>
          <t>Hotel</t>
        </is>
      </c>
      <c r="C306" s="11" t="inlineStr">
        <is>
          <t>Logística</t>
        </is>
      </c>
      <c r="D306" s="11" t="inlineStr">
        <is>
          <t>Upper West Side</t>
        </is>
      </c>
      <c r="E306" s="11" t="inlineStr">
        <is>
          <t>Manhattan</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72 St (1,2,3) a 3 cuadras</t>
        </is>
      </c>
      <c r="Q306" s="16" t="inlineStr">
        <is>
          <t>Base 3-6 de septiembre. Ubicacion excelente: la 1/2/3 llega a Penn Station en 10 min. Cerca: Central Park, AMNH, TKTS Lincoln Center, Dizzy's.</t>
        </is>
      </c>
      <c r="R306" s="16" t="inlineStr">
        <is>
          <t>2130 Broadway</t>
        </is>
      </c>
      <c r="S306" s="17" t="inlineStr">
        <is>
          <t>Día 6 · jue 3/9, Día 9 · dom 6/9</t>
        </is>
      </c>
      <c r="T306" s="18" t="inlineStr">
        <is>
          <t>Abrir ↗</t>
        </is>
      </c>
      <c r="U306" s="19" t="inlineStr">
        <is>
          <t>lista google</t>
        </is>
      </c>
      <c r="V306" s="20" t="inlineStr"/>
    </row>
    <row r="307" ht="46" customHeight="1">
      <c r="A307" s="9" t="inlineStr">
        <is>
          <t>JGSTAY SoHo (JP: 31 ago-2 sep)</t>
        </is>
      </c>
      <c r="B307" s="10" t="inlineStr">
        <is>
          <t>Hotel</t>
        </is>
      </c>
      <c r="C307" s="11" t="inlineStr">
        <is>
          <t>Logística</t>
        </is>
      </c>
      <c r="D307" s="11" t="inlineStr">
        <is>
          <t>SoHo</t>
        </is>
      </c>
      <c r="E307" s="11" t="inlineStr">
        <is>
          <t>Manhattan</t>
        </is>
      </c>
      <c r="F307" s="12" t="n">
        <v>2</v>
      </c>
      <c r="G307" s="12" t="n">
        <v>0</v>
      </c>
      <c r="H307" s="13">
        <f>IF(AND(F307=2,G307=2),"AMBOS",IF(AND(F307=2,G307&lt;2),"solo JP",IF(AND(F307&lt;2,G307=2),"solo Thais","-")))</f>
        <v/>
      </c>
      <c r="I307" s="14" t="n">
        <v>0</v>
      </c>
      <c r="J307" s="15" t="n">
        <v>0</v>
      </c>
      <c r="K307" s="13" t="inlineStr">
        <is>
          <t>no</t>
        </is>
      </c>
      <c r="L307" s="16" t="inlineStr">
        <is>
          <t>—</t>
        </is>
      </c>
      <c r="M307" s="11" t="inlineStr">
        <is>
          <t>—</t>
        </is>
      </c>
      <c r="N307" s="16" t="inlineStr">
        <is>
          <t>—</t>
        </is>
      </c>
      <c r="O307" s="16" t="inlineStr">
        <is>
          <t>—</t>
        </is>
      </c>
      <c r="P307" s="16" t="inlineStr">
        <is>
          <t>Canal St: la del 6/J/Z esta EN la esquina (Lafayette y Canal); N/Q/R/W a 2 cuadras</t>
        </is>
      </c>
      <c r="Q307" s="16" t="inlineStr">
        <is>
          <t>Base de JP lunes y martes a la noche: se acabaron las dos vueltas nocturnas a New Jersey. Recepcion 24 h, CONSIGNA de equipaje y desayuno incluido 7-9 AM. Canal St al lado = 6 directo al MET y Grand Central, A/C al AMNH, y el Village a 15-20 min a pie.</t>
        </is>
      </c>
      <c r="R307" s="16" t="inlineStr">
        <is>
          <t>120 Lafayette St, NY 10013</t>
        </is>
      </c>
      <c r="S307" s="17" t="inlineStr">
        <is>
          <t>Día 3 · lun 31/8, Día 4 · mar 1/9, Día 5 · mié 2/9, Día 6 · jue 3/9</t>
        </is>
      </c>
      <c r="T307" s="18" t="inlineStr">
        <is>
          <t>Abrir ↗</t>
        </is>
      </c>
      <c r="U307" s="21" t="inlineStr">
        <is>
          <t>otros</t>
        </is>
      </c>
      <c r="V307" s="20" t="inlineStr"/>
    </row>
    <row r="308" ht="46" customHeight="1">
      <c r="A308" s="9" t="inlineStr">
        <is>
          <t>Residence Inn Branchburg (Thais 31/8-3/9 · JP solo la noche del 2)</t>
        </is>
      </c>
      <c r="B308" s="10" t="inlineStr">
        <is>
          <t>Hotel</t>
        </is>
      </c>
      <c r="C308" s="11" t="inlineStr">
        <is>
          <t>Logística</t>
        </is>
      </c>
      <c r="D308" s="11" t="inlineStr">
        <is>
          <t>Branchburg</t>
        </is>
      </c>
      <c r="E308" s="11" t="inlineStr">
        <is>
          <t>New Jersey</t>
        </is>
      </c>
      <c r="F308" s="12" t="n">
        <v>2</v>
      </c>
      <c r="G308" s="12" t="n">
        <v>2</v>
      </c>
      <c r="H308" s="13">
        <f>IF(AND(F308=2,G308=2),"AMBOS",IF(AND(F308=2,G308&lt;2),"solo JP",IF(AND(F308&lt;2,G308=2),"solo Thais","-")))</f>
        <v/>
      </c>
      <c r="I308" s="14" t="n">
        <v>0</v>
      </c>
      <c r="J308" s="15" t="n">
        <v>0</v>
      </c>
      <c r="K308" s="13" t="inlineStr">
        <is>
          <t>no</t>
        </is>
      </c>
      <c r="L308" s="16" t="inlineStr">
        <is>
          <t>—</t>
        </is>
      </c>
      <c r="M308" s="11" t="inlineStr">
        <is>
          <t>—</t>
        </is>
      </c>
      <c r="N308" s="16" t="inlineStr">
        <is>
          <t>—</t>
        </is>
      </c>
      <c r="O308" s="16" t="inlineStr">
        <is>
          <t>—</t>
        </is>
      </c>
      <c r="P308" s="16" t="inlineStr">
        <is>
          <t>Estacion Raritan (NJ Transit RVL) a 6,4 km</t>
        </is>
      </c>
      <c r="Q308" s="16" t="inlineStr">
        <is>
          <t>Base en NJ. NO tiene shuttle (confirmado por Marriott). Estacionamiento propio gratis. Para llegar al tren hay que tomar Uber (~$14-20 por tramo a Raritan).</t>
        </is>
      </c>
      <c r="R308" s="16" t="inlineStr">
        <is>
          <t>3241 US Highway 22 East, Branchburg NJ</t>
        </is>
      </c>
      <c r="S308" s="16" t="inlineStr">
        <is>
          <t>—</t>
        </is>
      </c>
      <c r="T308" s="18" t="inlineStr">
        <is>
          <t>Abrir ↗</t>
        </is>
      </c>
      <c r="U308" s="19" t="inlineStr">
        <is>
          <t>lista google</t>
        </is>
      </c>
      <c r="V308" s="20" t="inlineStr"/>
    </row>
  </sheetData>
  <autoFilter ref="A4:V308"/>
  <mergeCells count="2">
    <mergeCell ref="A2:V2"/>
    <mergeCell ref="A1:V1"/>
  </mergeCells>
  <conditionalFormatting sqref="H5:H308">
    <cfRule type="cellIs" priority="1" operator="equal" dxfId="0">
      <formula>"AMBOS"</formula>
    </cfRule>
  </conditionalFormatting>
  <dataValidations count="2">
    <dataValidation sqref="F5:G308" showDropDown="0" showInputMessage="0" showErrorMessage="0" allowBlank="0" errorTitle="Valor inválido" error="Solo 0, 1 o 2" promptTitle="Nivel de interés" prompt="0 = no me interesa · 1 = quizás · 2 = sí quiero" type="list">
      <formula1>"0,1,2"</formula1>
    </dataValidation>
    <dataValidation sqref="V5:V308"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 xmlns:r="http://schemas.openxmlformats.org/officeDocument/2006/relationships" ref="T307" r:id="rId303"/>
    <hyperlink xmlns:r="http://schemas.openxmlformats.org/officeDocument/2006/relationships" ref="T308" r:id="rId30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4"/>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High Line al amanecer, Historia Natural, Frick a voluntad, MoMA y McBride en Central Park  —  base: JGStay SoHo (YA NO se vuelve a New Jersey)  ·  Solo JP</t>
        </is>
      </c>
    </row>
    <row r="87" ht="32" customHeight="1">
      <c r="A87" s="34" t="inlineStr">
        <is>
          <t>REARMADO EL 1/9, SEGUNDA PASADA. Juan sacó el Vessel (del High Line quiere SOLO la caminata) y con eso se liberaron casi dos horas: ahora entran los TRES museos que no se podían soltar. El día pasó de apretado a encastrado, y el que lo hace posible es el Vessel que se fue. LA LLAVE DEL DÍA es la ventana pay-what-you-wish del FRICK, miércoles 13:30-17:30, la única de la semana: el plan la toma a las 13:30 EN PUNTO, apenas abre, y de ahí sale con tiempo para el MoMA antes de que cierre a las 17:30. Los tres horarios encajan sin margen para improvisar: AMNH abre 10:00, Frick a voluntad 13:30, MoMA cierra 17:30. Correrse media hora en el primero se paga en el último. ⚠️ HAY QUE COMPRAR EL TICKET DEL FRICK HOY: online el mínimo son $5 y GARANTIZA la entrada; en persona se puede pagar menos pero sin garantía de lugar, y un miércoles de septiembre a las 13:30 es la hora pico de la ventana. Por $5 no vale el riesgo de quedarse afuera. EL ALMUERZO SE RESIGNA, por decisión de Juan: se come algo de parado cruzando Central Park entre el museo y el Frick. Es la media hora que hace entrar todo. EL VESSEL NO SE PIERDE: está el viernes con Thais, que lo tiene 2/2 — sacarlo hoy lo mueve, no lo borra. Y como ya no hay tren a New Jersey, el SummerStage se ve entero. CERRADO hoy: el MET (por eso fue ayer).</t>
        </is>
      </c>
    </row>
    <row r="88" ht="30" customHeight="1">
      <c r="A88" s="35" t="n"/>
      <c r="B88" s="36" t="inlineStr">
        <is>
          <t>06:40</t>
        </is>
      </c>
      <c r="C88" s="37" t="inlineStr">
        <is>
          <t>07:00</t>
        </is>
      </c>
      <c r="D88" s="38" t="inlineStr">
        <is>
          <t>Solo JP</t>
        </is>
      </c>
      <c r="E88" s="39" t="inlineStr">
        <is>
          <t>Salir del JGStay. Subte 1 desde Canal St hasta Christopher St, o A/C/E hasta 14 St (~12 min). Hoy se pierde el desayuno incluido del hotel (7-9 AM): se desayuna a media mañana en el Upper West Side, antes de que abra el museo.</t>
        </is>
      </c>
      <c r="F88" s="37" t="inlineStr">
        <is>
          <t>JGSTAY SoHo (JP: 31 ago-2 sep)</t>
        </is>
      </c>
      <c r="G88" s="40" t="inlineStr"/>
      <c r="H88" s="41" t="inlineStr"/>
      <c r="I88" s="41" t="inlineStr"/>
    </row>
    <row r="89" ht="30" customHeight="1">
      <c r="A89" s="35" t="n"/>
      <c r="B89" s="42" t="inlineStr">
        <is>
          <t>07:00</t>
        </is>
      </c>
      <c r="C89" s="43" t="inlineStr">
        <is>
          <t>08:50</t>
        </is>
      </c>
      <c r="D89" s="44" t="inlineStr">
        <is>
          <t>Solo JP</t>
        </is>
      </c>
      <c r="E89" s="45" t="inlineStr">
        <is>
          <t>★★ THE HIGH LINE AL AMANECER — abre 7:00 y esta es LA hora: vacío, con el sol bajo entre los edificios y sin las hordas de la tarde. Entrar por Gansevoort St (extremo SUR) y caminar los 2,3 km hacia el norte, sin apuro: hoy hay casi dos horas para hacerlo lento. Incluye el Buda de arenisca de 9 metros de Tuan Andrew Nguyen. SI QUIERE SUMAR 20 MINUTOS: Little Island está a 5 min de la entrada de Gansevoort y también abre temprano (6:00).</t>
        </is>
      </c>
      <c r="F89" s="43" t="inlineStr">
        <is>
          <t>The High Line</t>
        </is>
      </c>
      <c r="G89" s="40" t="inlineStr"/>
      <c r="H89" s="41" t="inlineStr"/>
      <c r="I89" s="41" t="inlineStr"/>
    </row>
    <row r="90" ht="30" customHeight="1">
      <c r="A90" s="35" t="n"/>
      <c r="B90" s="36" t="inlineStr">
        <is>
          <t>08:50</t>
        </is>
      </c>
      <c r="C90" s="37" t="inlineStr">
        <is>
          <t>09:20</t>
        </is>
      </c>
      <c r="D90" s="38" t="inlineStr">
        <is>
          <t>Solo JP</t>
        </is>
      </c>
      <c r="E90" s="39" t="inlineStr">
        <is>
          <t>Subte al Upper West Side: A/C desde 34 St-Penn Station hasta 81 St-Museum of Natural History, directo y sin transbordo (~20 min). El High Line termina justo ahí arriba.</t>
        </is>
      </c>
      <c r="F90" s="37" t="inlineStr"/>
      <c r="G90" s="40" t="inlineStr"/>
      <c r="H90" s="41" t="inlineStr"/>
      <c r="I90" s="41" t="inlineStr"/>
    </row>
    <row r="91" ht="30" customHeight="1">
      <c r="A91" s="35" t="n"/>
      <c r="B91" s="36" t="inlineStr">
        <is>
          <t>09:20</t>
        </is>
      </c>
      <c r="C91" s="37" t="inlineStr">
        <is>
          <t>10:00</t>
        </is>
      </c>
      <c r="D91" s="38" t="inlineStr">
        <is>
          <t>Solo JP</t>
        </is>
      </c>
      <c r="E91" s="39" t="inlineStr">
        <is>
          <t>Desayuno en el Upper West Side, sobre Amsterdam o Columbus, a metros del museo. Acá se llena el hueco hasta que abra el AMNH y se recupera el desayuno del hotel que se perdió por madrugar.</t>
        </is>
      </c>
      <c r="F91" s="37" t="inlineStr"/>
      <c r="G91" s="40" t="inlineStr"/>
      <c r="H91" s="41" t="inlineStr"/>
      <c r="I91" s="41" t="inlineStr"/>
    </row>
    <row r="92" ht="30" customHeight="1">
      <c r="A92" s="35" t="n"/>
      <c r="B92" s="42" t="inlineStr">
        <is>
          <t>10:00</t>
        </is>
      </c>
      <c r="C92" s="43" t="inlineStr">
        <is>
          <t>12:45</t>
        </is>
      </c>
      <c r="D92" s="44" t="inlineStr">
        <is>
          <t>Solo JP</t>
        </is>
      </c>
      <c r="E92" s="45" t="inlineStr">
        <is>
          <t>★ AMERICAN MUSEUM OF NATURAL HISTORY — ENTRAR A LA APERTURA, 10:00 en punto: son 2h45 y el día no da más. Dinosaurios (4º piso, lo mejor), la ballena azul y el Gilder Center nuevo de Studio Gang. $37. Thais lo marcó 0: es de hoy o no es. A las 12:45 hay que estar saliendo.</t>
        </is>
      </c>
      <c r="F92" s="43" t="inlineStr">
        <is>
          <t>American Museum of Natural History</t>
        </is>
      </c>
      <c r="G92" s="40" t="inlineStr"/>
      <c r="H92" s="41" t="inlineStr"/>
      <c r="I92" s="41" t="inlineStr"/>
    </row>
    <row r="93" ht="30" customHeight="1">
      <c r="A93" s="35" t="n"/>
      <c r="B93" s="36" t="inlineStr">
        <is>
          <t>12:45</t>
        </is>
      </c>
      <c r="C93" s="37" t="inlineStr">
        <is>
          <t>13:30</t>
        </is>
      </c>
      <c r="D93" s="38" t="inlineStr">
        <is>
          <t>Solo JP</t>
        </is>
      </c>
      <c r="E93" s="39" t="inlineStr">
        <is>
          <t>ALMUERZO DE PARADO cruzando Central Park — 1,3 km a pie, unos 18 min: bajar por Central Park West hasta la 72, cruzar el parque por Terrace Drive y salir a la Quinta. Comprar algo antes de entrar (hay carritos en CPW, o el café del propio museo) y comerlo caminando: esta media hora es la que hace entrar los tres museos. Al Frick no se entra con comida.</t>
        </is>
      </c>
      <c r="F93" s="37" t="inlineStr"/>
      <c r="G93" s="40" t="inlineStr"/>
      <c r="H93" s="41" t="inlineStr"/>
      <c r="I93" s="41" t="inlineStr"/>
    </row>
    <row r="94" ht="30" customHeight="1">
      <c r="A94" s="35" t="n"/>
      <c r="B94" s="42" t="inlineStr">
        <is>
          <t>13:30</t>
        </is>
      </c>
      <c r="C94" s="43" t="inlineStr">
        <is>
          <t>15:15</t>
        </is>
      </c>
      <c r="D94" s="44" t="inlineStr">
        <is>
          <t>Solo JP</t>
        </is>
      </c>
      <c r="E94" s="45" t="inlineStr">
        <is>
          <t>★ THE FRICK COLLECTION, A VOLUNTAD — 13:30 EN PUNTO, cuando arranca la ventana pay-what-you-wish de los miércoles, la única de la semana. Reabrió en 2025 tras cinco años de obra: Vermeer, Rembrandt y Bellini colgados en la mansión del magnate, como en una casa. Es el museo más placentero de NYC. TICKET COMPRADO ONLINE ($5 mínimo, garantiza la entrada). 1h45 alcanza bien: es chico a propósito.</t>
        </is>
      </c>
      <c r="F94" s="43" t="inlineStr">
        <is>
          <t>The Frick Collection</t>
        </is>
      </c>
      <c r="G94" s="40" t="inlineStr">
        <is>
          <t>🚶 ~25 min a pie (1.6 km) o 🚇 ~15 min · estimado</t>
        </is>
      </c>
      <c r="H94" s="41" t="inlineStr"/>
      <c r="I94" s="41" t="inlineStr"/>
    </row>
    <row r="95" ht="30" customHeight="1">
      <c r="A95" s="35" t="n"/>
      <c r="B95" s="36" t="inlineStr">
        <is>
          <t>15:15</t>
        </is>
      </c>
      <c r="C95" s="37" t="inlineStr">
        <is>
          <t>15:40</t>
        </is>
      </c>
      <c r="D95" s="38" t="inlineStr">
        <is>
          <t>Solo JP</t>
        </is>
      </c>
      <c r="E95" s="39" t="inlineStr">
        <is>
          <t>Del Frick al MoMA: 1,4 km bajando por la Quinta Avenida, ~18 min a pie, con el Central Park a la derecha y las vidrieras a la izquierda. Es de los mejores paseos de Manhattan y va cuesta abajo. Alternativa si están las piernas cansadas: subte 6 desde 68 St hasta 51 St.</t>
        </is>
      </c>
      <c r="F95" s="37" t="inlineStr"/>
      <c r="G95" s="40" t="inlineStr"/>
      <c r="H95" s="41" t="inlineStr"/>
      <c r="I95" s="41" t="inlineStr"/>
    </row>
    <row r="96" ht="30" customHeight="1">
      <c r="A96" s="35" t="n"/>
      <c r="B96" s="42" t="inlineStr">
        <is>
          <t>15:40</t>
        </is>
      </c>
      <c r="C96" s="43" t="inlineStr">
        <is>
          <t>17:35</t>
        </is>
      </c>
      <c r="D96" s="44" t="inlineStr">
        <is>
          <t>Solo JP</t>
        </is>
      </c>
      <c r="E96" s="45" t="inlineStr">
        <is>
          <t>★ MoMA — QUEDÓ PENDIENTE DEL LUNES y hoy es su última chance del viaje: cierra 17:30, así que son 1h50. SIN VUELTAS, DERECHO AL 5º PISO: ahí están la noche estrellada de Van Gogh, Les Demoiselles d'Avignon y los Monet grandes. Si sobra tiempo, el 4º (Warhol, Rothko). QUÉ HAY AHORA: «Frida and Diego: The Last Dream», que cierra el 12 de septiembre. $30. (El viernes gratis de UNIQLO es SOLO para residentes del Estado de NY: no aplica.)</t>
        </is>
      </c>
      <c r="F96" s="43" t="inlineStr">
        <is>
          <t>MoMA</t>
        </is>
      </c>
      <c r="G96" s="40" t="inlineStr"/>
      <c r="H96" s="41" t="inlineStr"/>
      <c r="I96" s="41" t="inlineStr"/>
    </row>
    <row r="97" ht="30" customHeight="1">
      <c r="A97" s="35" t="n"/>
      <c r="B97" s="36" t="inlineStr">
        <is>
          <t>17:35</t>
        </is>
      </c>
      <c r="C97" s="37" t="inlineStr">
        <is>
          <t>18:10</t>
        </is>
      </c>
      <c r="D97" s="38" t="inlineStr">
        <is>
          <t>Solo JP</t>
        </is>
      </c>
      <c r="E97" s="39" t="inlineStr">
        <is>
          <t>Del MoMA a Rumsey Playfield: 1,3 km, ~16 min a pie subiendo por la Quinta y entrando al parque por la 69. Con el cartel de hoy conviene estar temprano.</t>
        </is>
      </c>
      <c r="F97" s="37" t="inlineStr"/>
      <c r="G97" s="40" t="inlineStr"/>
      <c r="H97" s="41" t="inlineStr"/>
      <c r="I97" s="41" t="inlineStr"/>
    </row>
    <row r="98" ht="30" customHeight="1">
      <c r="A98" s="35" t="n"/>
      <c r="B98" s="36" t="inlineStr">
        <is>
          <t>18:10</t>
        </is>
      </c>
      <c r="C98" s="37" t="inlineStr">
        <is>
          <t>19:00</t>
        </is>
      </c>
      <c r="D98" s="38" t="inlineStr">
        <is>
          <t>Solo JP</t>
        </is>
      </c>
      <c r="E98" s="39" t="inlineStr">
        <is>
          <t>Entrar a Rumsey Playfield y buscar lugar. Puertas 18:00 y con este cartel se llena: cuanto antes, mejor lugar. LA CENA ES ACÁ — hoy el almuerzo fue de parado, así que esta es la comida de verdad del día: hay puestos adentro, o se compra algo en el camino por la Quinta.</t>
        </is>
      </c>
      <c r="F98" s="37" t="inlineStr"/>
      <c r="G98" s="40" t="inlineStr"/>
      <c r="H98" s="41" t="inlineStr"/>
      <c r="I98" s="41" t="inlineStr"/>
    </row>
    <row r="99" ht="30" customHeight="1">
      <c r="A99" s="35" t="n"/>
      <c r="B99" s="42" t="inlineStr">
        <is>
          <t>19:00</t>
        </is>
      </c>
      <c r="C99" s="43" t="inlineStr">
        <is>
          <t>22:05</t>
        </is>
      </c>
      <c r="D99" s="44" t="inlineStr">
        <is>
          <t>Solo JP</t>
        </is>
      </c>
      <c r="E99" s="45" t="inlineStr">
        <is>
          <t>★★ SUMMERSTAGE: Christian McBride + SAMARA JOY + Mei Semones — Verve 70 aniversario y Getz/Gilberto. GRATIS, sin ticket, Rumsey Playfield, 19:00-22:00. Y SE VE ENTERO: ya no hay tren a New Jersey que atrapar, que era lo que obligaba a salir corriendo.</t>
        </is>
      </c>
      <c r="F99" s="43" t="inlineStr">
        <is>
          <t>SummerStage: Christian McBride (gratis)</t>
        </is>
      </c>
      <c r="G99" s="40" t="inlineStr"/>
      <c r="H99" s="41" t="inlineStr"/>
      <c r="I99" s="41" t="inlineStr"/>
    </row>
    <row r="100" ht="30" customHeight="1">
      <c r="A100" s="35" t="n"/>
      <c r="B100" s="36" t="inlineStr">
        <is>
          <t>22:05</t>
        </is>
      </c>
      <c r="C100" s="37" t="inlineStr"/>
      <c r="D100" s="38" t="inlineStr">
        <is>
          <t>Solo JP</t>
        </is>
      </c>
      <c r="E100" s="39" t="inlineStr">
        <is>
          <t>Al JGStay sin apuro: subte B/C desde 72 St hasta W 4 St y caminar, o 1 hasta Canal (~35 min). Dormir en SoHo y no en Branchburg cambia el jueves entero.</t>
        </is>
      </c>
      <c r="F100" s="37" t="inlineStr">
        <is>
          <t>JGSTAY SoHo (JP: 31 ago-2 sep)</t>
        </is>
      </c>
      <c r="G100" s="40" t="inlineStr"/>
      <c r="H100" s="41" t="inlineStr"/>
      <c r="I100" s="41" t="inlineStr"/>
    </row>
    <row r="101" ht="32" customHeight="1">
      <c r="A101" s="46" t="inlineStr">
        <is>
          <t>ALTERNATIVA / OJO:  LO QUE HAY QUE HACER HOY, ANTES DE DORMIR: comprar el ticket del Frick para mañana 13:30. Son $5 (el mínimo online del pay-what-you-wish) y es lo único que garantiza la entrada. Sin eso, hay que hacer la cola en persona y jugarse a que haya lugar en la hora más pedida de la única ventana semanal. // EL DÍA NO TIENE COLCHÓN, y conviene saber dónde se corta si algo se estira: el que se achica es el MoMA, porque es el último y cierra a las 17:30 pase lo que pase. Salir del AMNH 12:45 no es negociable; salir del Frick 15:15 tampoco. Si el High Line a las 7 resulta demasiado madrugón después de anoche, se puede entrar 8:30 y empezar el día en el museo: el AMNH abre 10:00 igual y nada se mueve — lo único que se acorta es el desayuno. // EL VESSEL SE FUE DE HOY y está bien que así sea: Thais lo tiene 2/2 y está en el plan del viernes, con el High Line y Little Island. Hoy Juan hace solo la caminata, que es lo que quería. // TOP OF THE ROCK: ya no entra en ningún lado. Su gracia es el atardecer y el viernes el SUMMIT —mejor mirador— ya lo tiene reservado. Si igual lo quieren, la única forma es soltar el MoMA de hoy, y el MoMA no tiene otra fecha. // Si el Frick resulta corto y sobran 20 minutos, el Guggenheim está 14 cuadras al norte por la Quinta — pero OJO, la rotonda está en montaje hasta el 17 de septiembre: es entrar a ver el edificio a medio armar.</t>
        </is>
      </c>
    </row>
    <row r="103" ht="22" customHeight="1">
      <c r="A103" s="33" t="inlineStr">
        <is>
          <t>DÍA 6 · Jueves 03/09 · World Trade Center completo · encuentro con Thais en Chelsea Market · check-in y noche de jazz  —  base: JGStay SoHo → The Beacon  ·  Solo JP</t>
        </is>
      </c>
    </row>
    <row r="104" ht="32" customHeight="1">
      <c r="A104" s="34" t="inlineStr">
        <is>
          <t>REARMADO EL 2/9 A LA NOCHE: el encuentro con Thais pasa a las 15:30 EN CHELSEA MARKET, y de ahí van juntos a dejar la valija de ella en The Beacon. Eso reordena toda la tarde. LA MAÑANA NO CAMBIA: Juan sale del JGStay a las 7:30 con desayuno incluido, deja sus maletas en el Beacon antes de las 9 y baja al World Trade Center — memorial, museo y One World Observatory en una sola bajada. OJO: One World es EL MIRADOR DE DÍA a propósito — su vista es el puerto y el agua, que de noche es negra; los arcos de atardecer van en el SUMMIT del viernes. ⚠️ LO QUE SE CAE, Y HAY QUE DECIRLO: el MUSEUM OF THE MOVING IMAGE. Estaba a las 16:30 porque los jueves es gratis de 14 a 18, y era su única ventana del viaje. Desde Chelsea Market son 45 min hasta Astoria y desde el Beacon son 50: con el encuentro a las 15:30 y la valija de por medio, llegarían 25 minutos antes de que cierre. No hay forma de salvarlo sin arrastrar la valija de Thais toda la tarde. Fuera del jueves cuesta $20 por cabeza y no queda otro jueves en el viaje. LO QUE SE GANA: el check-in pasa de las 18:55 a las 16:50, y con eso la tarde deja de ser una carrera. Aparecen tres horas libres en el Upper West Side, que es exactamente donde estaba el cuello de botella: la cena era «rápida y liviana» de 19:15 a 19:55 y ahora es una cena de verdad, con Central Park al atardecer antes. Y EL PENDIENTE DE LAS SALSAS SE RESUELVE SOLO: HEATONIST está DENTRO del Chelsea Market, abierto hasta las 18:45. Se compran en el encuentro, sin desviarse un metro.</t>
        </is>
      </c>
    </row>
    <row r="105" ht="30" customHeight="1">
      <c r="A105" s="35" t="n"/>
      <c r="B105" s="36" t="inlineStr">
        <is>
          <t>07:30</t>
        </is>
      </c>
      <c r="C105" s="37" t="inlineStr">
        <is>
          <t>08:05</t>
        </is>
      </c>
      <c r="D105" s="38" t="inlineStr">
        <is>
          <t>Solo JP</t>
        </is>
      </c>
      <c r="E105" s="39" t="inlineStr">
        <is>
          <t>Desayuno incluido en el JGStay (7-9 AM) y CHECKOUT con las maletas. Hoy ya no se madruga a las 5:45 en Branchburg: se duerme en SoHo y se sale a las 7:30. Una hora y media más de sueño y un tren menos.</t>
        </is>
      </c>
      <c r="F105" s="37" t="inlineStr">
        <is>
          <t>JGSTAY SoHo (JP: 31 ago-2 sep)</t>
        </is>
      </c>
      <c r="G105" s="40" t="inlineStr"/>
      <c r="H105" s="41" t="inlineStr"/>
      <c r="I105" s="41" t="inlineStr"/>
    </row>
    <row r="106" ht="30" customHeight="1">
      <c r="A106" s="35" t="n"/>
      <c r="B106" s="36" t="inlineStr">
        <is>
          <t>08:05</t>
        </is>
      </c>
      <c r="C106" s="37" t="inlineStr">
        <is>
          <t>08:35</t>
        </is>
      </c>
      <c r="D106" s="38" t="inlineStr">
        <is>
          <t>Solo JP</t>
        </is>
      </c>
      <c r="E106" s="39" t="inlineStr">
        <is>
          <t>Subte 1 desde Canal St derecho hasta 72 St (~25 min). Con maletas, el 1 es el que conviene: es directo y no hay que hacer transbordo.</t>
        </is>
      </c>
      <c r="F106" s="37" t="inlineStr"/>
      <c r="G106" s="40" t="inlineStr"/>
      <c r="H106" s="41" t="inlineStr"/>
      <c r="I106" s="41" t="inlineStr"/>
    </row>
    <row r="107" ht="30" customHeight="1">
      <c r="A107" s="35" t="n"/>
      <c r="B107" s="42" t="inlineStr">
        <is>
          <t>08:35</t>
        </is>
      </c>
      <c r="C107" s="43" t="inlineStr">
        <is>
          <t>09:05</t>
        </is>
      </c>
      <c r="D107" s="44" t="inlineStr">
        <is>
          <t>Solo JP</t>
        </is>
      </c>
      <c r="E107" s="45" t="inlineStr">
        <is>
          <t>★ THE BEACON — dejar las maletas en el bell desk. El check-in formal es a la tarde, con Thais, pero el equipaje se recibe desde temprano. Confirmalo por mail.</t>
        </is>
      </c>
      <c r="F107" s="43" t="inlineStr">
        <is>
          <t>Hotel The Beacon (3-6 sep)</t>
        </is>
      </c>
      <c r="G107" s="40" t="inlineStr"/>
      <c r="H107" s="41" t="inlineStr"/>
      <c r="I107" s="41" t="inlineStr"/>
    </row>
    <row r="108" ht="30" customHeight="1">
      <c r="A108" s="35" t="n"/>
      <c r="B108" s="36" t="inlineStr">
        <is>
          <t>09:05</t>
        </is>
      </c>
      <c r="C108" s="37" t="inlineStr">
        <is>
          <t>09:50</t>
        </is>
      </c>
      <c r="D108" s="38" t="inlineStr">
        <is>
          <t>Solo JP</t>
        </is>
      </c>
      <c r="E108" s="39" t="inlineStr">
        <is>
          <t>Subte 1 directo desde 72 St hasta WTC Cortlandt (~30 min), otra vez sin transbordo.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14:50</t>
        </is>
      </c>
      <c r="D112" s="44" t="inlineStr">
        <is>
          <t>Solo JP</t>
        </is>
      </c>
      <c r="E112" s="45" t="inlineStr">
        <is>
          <t>★★ ONE WORLD OBSERVATORY — piso 102, el punto más alto del hemisferio occidental, con el puerto y Brooklyn dominando la vista. $44+fee, ventana de entrada de 15 min: sacar el timed ticket online. HOY SON 65 MINUTOS, no más: a las 14:50 hay que estar bajando, porque el encuentro con Thais es a las 15:30 del otro lado de la ciudad.</t>
        </is>
      </c>
      <c r="F112" s="43" t="inlineStr">
        <is>
          <t>One World Observatory</t>
        </is>
      </c>
      <c r="G112" s="40" t="inlineStr">
        <is>
          <t>🚶 ~20 min a pie (1.2 km) o 🚇 ~15 min · estimado</t>
        </is>
      </c>
      <c r="H112" s="41" t="inlineStr"/>
      <c r="I112" s="41" t="inlineStr"/>
    </row>
    <row r="113" ht="30" customHeight="1">
      <c r="A113" s="35" t="n"/>
      <c r="B113" s="36" t="inlineStr">
        <is>
          <t>14:50</t>
        </is>
      </c>
      <c r="C113" s="37" t="inlineStr">
        <is>
          <t>15:30</t>
        </is>
      </c>
      <c r="D113" s="38" t="inlineStr">
        <is>
          <t>Solo JP</t>
        </is>
      </c>
      <c r="E113" s="39" t="inlineStr">
        <is>
          <t>El Oculus en un VISTAZO (5 min) — está de camino al subte, así que no cuesta nada. Después, subte 1 desde WTC Cortlandt hasta 18 St (~12 min) y cuatro cuadras al oeste hasta la Novena.</t>
        </is>
      </c>
      <c r="F113" s="37" t="inlineStr">
        <is>
          <t>Oculus / WTC Transportation Hub</t>
        </is>
      </c>
      <c r="G113" s="40" t="inlineStr"/>
      <c r="H113" s="41" t="inlineStr"/>
      <c r="I113" s="41" t="inlineStr"/>
    </row>
    <row r="114" ht="30" customHeight="1">
      <c r="A114" s="35" t="n"/>
      <c r="B114" s="42" t="inlineStr">
        <is>
          <t>15:30</t>
        </is>
      </c>
      <c r="C114" s="43" t="inlineStr">
        <is>
          <t>15:45</t>
        </is>
      </c>
      <c r="D114" s="44" t="inlineStr">
        <is>
          <t>Ambos</t>
        </is>
      </c>
      <c r="E114" s="45" t="inlineStr">
        <is>
          <t>★★ ENCUENTRO CON THAIS — CHELSEA MARKET (75 Ninth Ave, entre las calles 15 y 16). La antigua fábrica de galletitas Nabisco, donde se inventó el Oreo, convertida en mercado techado de ladrillo. Thais llega con su valija: acá se juntan y de acá se van derecho al hotel. Si ella viene sin almorzar, este es el lugar — hay de todo y se come parado.</t>
        </is>
      </c>
      <c r="F114" s="43" t="inlineStr">
        <is>
          <t>Chelsea Market</t>
        </is>
      </c>
      <c r="G114" s="40" t="inlineStr">
        <is>
          <t>🚇 ~20 min en subte · 4.5 km (a pie 60 min) · estimado</t>
        </is>
      </c>
      <c r="H114" s="41" t="inlineStr"/>
      <c r="I114" s="41" t="inlineStr"/>
    </row>
    <row r="115" ht="30" customHeight="1">
      <c r="A115" s="35" t="n"/>
      <c r="B115" s="36" t="inlineStr">
        <is>
          <t>15:45</t>
        </is>
      </c>
      <c r="C115" s="37" t="inlineStr">
        <is>
          <t>16:15</t>
        </is>
      </c>
      <c r="D115" s="38" t="inlineStr">
        <is>
          <t>Ambos</t>
        </is>
      </c>
      <c r="E115" s="39" t="inlineStr">
        <is>
          <t>★ HEATONIST — LAS SALSAS PICANTES, y está DENTRO del Chelsea Market: cero desvío. Es la tienda de las salsas de Hot Ones, con barra de degustación para probar antes de comprar. Abierto hasta 18:45. Este era un pendiente de Juan y se resuelve sin mover un dedo del plan.</t>
        </is>
      </c>
      <c r="F115" s="37" t="inlineStr">
        <is>
          <t>HEATONIST Chelsea Market</t>
        </is>
      </c>
      <c r="G115" s="40" t="inlineStr"/>
      <c r="H115" s="41" t="inlineStr"/>
      <c r="I115" s="41" t="inlineStr"/>
    </row>
    <row r="116" ht="30" customHeight="1">
      <c r="A116" s="35" t="n"/>
      <c r="B116" s="36" t="inlineStr">
        <is>
          <t>16:15</t>
        </is>
      </c>
      <c r="C116" s="37" t="inlineStr">
        <is>
          <t>16:50</t>
        </is>
      </c>
      <c r="D116" s="38" t="inlineStr">
        <is>
          <t>Ambos</t>
        </is>
      </c>
      <c r="E116" s="39" t="inlineStr">
        <is>
          <t>Al hotel con la valija: caminar cuatro cuadras al este hasta 18 St y subte 1 directo hasta 72 St (~20 min). El 1 es el que conviene con equipaje — directo, sin transbordo, y para a tres cuadras del Beacon.</t>
        </is>
      </c>
      <c r="F116" s="37" t="inlineStr"/>
      <c r="G116" s="40" t="inlineStr"/>
      <c r="H116" s="41" t="inlineStr"/>
      <c r="I116" s="41" t="inlineStr"/>
    </row>
    <row r="117" ht="30" customHeight="1">
      <c r="A117" s="35" t="n"/>
      <c r="B117" s="42" t="inlineStr">
        <is>
          <t>16:50</t>
        </is>
      </c>
      <c r="C117" s="43" t="inlineStr">
        <is>
          <t>17:20</t>
        </is>
      </c>
      <c r="D117" s="44" t="inlineStr">
        <is>
          <t>Ambos</t>
        </is>
      </c>
      <c r="E117" s="45" t="inlineStr">
        <is>
          <t>★ THE BEACON — CHECK-IN FORMAL con Thais, la valija de ella y las maletas de Juan que quedaron a la mañana. Dos horas antes que en el plan viejo: de acá en adelante el día deja de ser una carrera.</t>
        </is>
      </c>
      <c r="F117" s="43" t="inlineStr">
        <is>
          <t>Hotel The Beacon (3-6 sep)</t>
        </is>
      </c>
      <c r="G117" s="40" t="inlineStr"/>
      <c r="H117" s="41" t="inlineStr"/>
      <c r="I117" s="41" t="inlineStr"/>
    </row>
    <row r="118" ht="30" customHeight="1">
      <c r="A118" s="35" t="n"/>
      <c r="B118" s="42" t="inlineStr">
        <is>
          <t>17:20</t>
        </is>
      </c>
      <c r="C118" s="43" t="inlineStr">
        <is>
          <t>18:45</t>
        </is>
      </c>
      <c r="D118" s="44" t="inlineStr">
        <is>
          <t>Ambos</t>
        </is>
      </c>
      <c r="E118" s="45" t="inlineStr">
        <is>
          <t>★ CENTRAL PARK AL ATARDECER — cuatro cuadras al este y ya estás adentro. Entrar por la 72 y Central Park West: Strawberry Fields (el mosaico IMAGINE, a metros del Dakota donde vivía Lennon), bajar a Bethesda Terrace y el lago con los botes. El sol se pone ~19:24, así que esta es la hora buena. Gratis. SI THAIS LLEGA CANSADA de trabajar todo el día, el hotel está a cuatro cuadras: se corta cuando quieran y se pasa derecho a la cena.</t>
        </is>
      </c>
      <c r="F118" s="43" t="inlineStr"/>
      <c r="G118" s="40" t="inlineStr"/>
      <c r="H118" s="41" t="inlineStr"/>
      <c r="I118" s="41" t="inlineStr"/>
    </row>
    <row r="119" ht="30" customHeight="1">
      <c r="A119" s="35" t="n"/>
      <c r="B119" s="36" t="inlineStr">
        <is>
          <t>18:45</t>
        </is>
      </c>
      <c r="C119" s="37" t="inlineStr">
        <is>
          <t>19:55</t>
        </is>
      </c>
      <c r="D119" s="38" t="inlineStr">
        <is>
          <t>Ambos</t>
        </is>
      </c>
      <c r="E119" s="39" t="inlineStr">
        <is>
          <t>CENA SIN APURO en el Upper West Side, sobre Broadway, Columbus o Amsterdam. HOY SE PUEDE COMER TRANQUILO: en el plan viejo esto eran 40 minutos de trámite antes de salir corriendo. Ahora hay una hora larga y el Lincoln Center está a diez cuadras caminando.</t>
        </is>
      </c>
      <c r="F119" s="37" t="inlineStr"/>
      <c r="G119" s="40" t="inlineStr"/>
      <c r="H119" s="41" t="inlineStr"/>
      <c r="I119" s="41" t="inlineStr"/>
    </row>
    <row r="120" ht="30" customHeight="1">
      <c r="A120" s="35" t="n"/>
      <c r="B120" s="42" t="inlineStr">
        <is>
          <t>19:55</t>
        </is>
      </c>
      <c r="C120" s="43" t="inlineStr">
        <is>
          <t>20:20</t>
        </is>
      </c>
      <c r="D120" s="44" t="inlineStr">
        <is>
          <t>Ambos</t>
        </is>
      </c>
      <c r="E120"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Llegan justo cuando arranca. La fuente y los chandeliers siguen ahí, pero con multitud y pantalla. Si prefieren el Lincoln Center vacío, el espejo de agua con el Henry Moore está del lado norte, detrás del Vivian Beaumont, y ahí no hay nadie.</t>
        </is>
      </c>
      <c r="F120" s="43" t="inlineStr">
        <is>
          <t>Lincoln Center (campus y plaza)</t>
        </is>
      </c>
      <c r="G120" s="40" t="inlineStr">
        <is>
          <t>🚶 ~20 min a pie (1.3 km) o 🚇 ~15 min · estimado</t>
        </is>
      </c>
      <c r="H120" s="41" t="inlineStr"/>
      <c r="I120" s="41" t="inlineStr"/>
    </row>
    <row r="121" ht="16" customHeight="1">
      <c r="A121" s="35" t="n"/>
      <c r="B121" s="36" t="inlineStr">
        <is>
          <t>20:20</t>
        </is>
      </c>
      <c r="C121" s="37" t="inlineStr">
        <is>
          <t>20:30</t>
        </is>
      </c>
      <c r="D121" s="38" t="inlineStr">
        <is>
          <t>Ambos</t>
        </is>
      </c>
      <c r="E121" s="39" t="inlineStr">
        <is>
          <t>Caminar seis cuadras por Broadway hasta Columbus Circle (~8 min).</t>
        </is>
      </c>
      <c r="F121" s="37" t="inlineStr"/>
      <c r="G121" s="40" t="inlineStr"/>
      <c r="H121" s="41" t="inlineStr"/>
      <c r="I121" s="41" t="inlineStr"/>
    </row>
    <row r="122" ht="30" customHeight="1">
      <c r="A122" s="35" t="n"/>
      <c r="B122" s="42" t="inlineStr">
        <is>
          <t>20:30</t>
        </is>
      </c>
      <c r="C122" s="43" t="inlineStr">
        <is>
          <t>20:55</t>
        </is>
      </c>
      <c r="D122" s="44" t="inlineStr">
        <is>
          <t>Ambos</t>
        </is>
      </c>
      <c r="E122" s="45" t="inlineStr">
        <is>
          <t>★★ MO LOUNGE, PISO 35 DEL MANDARIN ORIENTAL (80 Columbus Circle) — el dato del amigo de Juan, con la vista de Central Park entero desde arriba y los cócteles caros que la pagan. Sin reserva se entra, pero temprano es más fácil.</t>
        </is>
      </c>
      <c r="F122" s="43" t="inlineStr">
        <is>
          <t>MO Lounge — Mandarin Oriental (piso 35)</t>
        </is>
      </c>
      <c r="G122" s="40" t="inlineStr"/>
      <c r="H122" s="41" t="inlineStr"/>
      <c r="I122" s="41" t="inlineStr"/>
    </row>
    <row r="123" ht="30" customHeight="1">
      <c r="A123" s="35" t="n"/>
      <c r="B123" s="36" t="inlineStr">
        <is>
          <t>20:55</t>
        </is>
      </c>
      <c r="C123" s="37" t="inlineStr">
        <is>
          <t>21:00</t>
        </is>
      </c>
      <c r="D123" s="38" t="inlineStr">
        <is>
          <t>Ambos</t>
        </is>
      </c>
      <c r="E123" s="39" t="inlineStr">
        <is>
          <t>Bajar en ascensor: Dizzy's está EN EL MISMO EDIFICIO (10 Columbus Circle, piso 5). Cero calle, cero subte.</t>
        </is>
      </c>
      <c r="F123" s="37" t="inlineStr"/>
      <c r="G123" s="40" t="inlineStr"/>
      <c r="H123" s="41" t="inlineStr"/>
      <c r="I123" s="41" t="inlineStr"/>
    </row>
    <row r="124" ht="30" customHeight="1">
      <c r="A124" s="35" t="n"/>
      <c r="B124" s="36" t="inlineStr">
        <is>
          <t>21:00</t>
        </is>
      </c>
      <c r="C124" s="37" t="inlineStr"/>
      <c r="D124" s="38" t="inlineStr">
        <is>
          <t>Ambos</t>
        </is>
      </c>
      <c r="E124" s="39" t="inlineStr">
        <is>
          <t>★ Dizzy's Club — ventanales sobre Central Park detrás del escenario, un piso abajo del cóctel. Set de las 21:00, ~$45. Es el cierre perfecto del primer día de Thais en la ciudad.</t>
        </is>
      </c>
      <c r="F124" s="37" t="inlineStr">
        <is>
          <t>Dizzy's Club (Jazz at Lincoln Center)</t>
        </is>
      </c>
      <c r="G124" s="40" t="inlineStr"/>
      <c r="H124" s="41" t="inlineStr"/>
      <c r="I124" s="41" t="inlineStr"/>
    </row>
    <row r="125" ht="32" customHeight="1">
      <c r="A125" s="46" t="inlineStr">
        <is>
          <t>ALTERNATIVA / OJO:  EL MoMI SE PIERDE DEL VIAJE, y conviene tenerlo claro en vez de descubrirlo el sábado. Los jueves es gratis de 14 a 18 y hoy era el único jueves; fuera de eso son $20 por cabeza y no hay hueco en viernes, sábado ni domingo (el domingo es checkout y vuelo). LA ÚNICA FORMA DE SALVARLO sería ir de Chelsea Market derecho a Astoria con la valija de Thais a cuestas: salen 16:15, llegan ~17:00, tienen una hora justa, y después son 50 minutos más hasta el Beacon para llegar 18:50 sin tiempo de nada antes del MO Lounge. Es posible y es feo: cuatro horas de subte con equipaje el primer día de ella. Por eso el plan no lo hace. // SI EL WTC SE ESTIRA: lo primero que se recorta es el One World, que hoy tiene 65 minutos en vez de 85. Llegar tarde al Chelsea Market es lo único que no se puede hacer. // SI PREFIEREN QUEDARSE A LA ÓPERA: el Met proyecta Tristan und Isolde gratis a las 20:00 en la plaza del Lincoln Center, con 2.500 sillas. Verla en serio significa soltar el MO Lounge y Dizzy's, que están en el mismo edificio y ya tienen set a las 21:00. El plan elige el jazz; la ópera queda como opción si el día viene cansado y prefieren sentarse. // LAS SALSAS DE HEATONIST YA ESTÁN RESUELTAS acá dentro, así que la sucursal de Williamsburg deja de ser necesaria: si el sábado en Brooklyn no da el tiempo, no se pierde nada.</t>
        </is>
      </c>
    </row>
    <row r="127" ht="22" customHeight="1">
      <c r="A127" s="33" t="inlineStr">
        <is>
          <t>DÍA 7 · Viernes 04/09 · Vessel + High Line, SUMMIT al atardecer y el VANGUARD de a dos  —  base: The Beacon  ·  Ambos</t>
        </is>
      </c>
    </row>
    <row r="128" ht="32" customHeight="1">
      <c r="A128"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9" ht="16" customHeight="1">
      <c r="A129" s="35" t="n"/>
      <c r="B129" s="36" t="inlineStr">
        <is>
          <t>09:15</t>
        </is>
      </c>
      <c r="C129" s="37" t="inlineStr">
        <is>
          <t>09:40</t>
        </is>
      </c>
      <c r="D129" s="38" t="inlineStr">
        <is>
          <t>Ambos</t>
        </is>
      </c>
      <c r="E129" s="39" t="inlineStr">
        <is>
          <t>Subte a Hudson Yards.</t>
        </is>
      </c>
      <c r="F129" s="37" t="inlineStr"/>
      <c r="G129" s="40" t="inlineStr"/>
      <c r="H129" s="41" t="inlineStr"/>
      <c r="I129" s="41" t="inlineStr"/>
    </row>
    <row r="130" ht="30" customHeight="1">
      <c r="A130" s="35" t="n"/>
      <c r="B130" s="36" t="inlineStr">
        <is>
          <t>09:40</t>
        </is>
      </c>
      <c r="C130" s="37" t="inlineStr">
        <is>
          <t>10:00</t>
        </is>
      </c>
      <c r="D130" s="38" t="inlineStr">
        <is>
          <t>Ambos</t>
        </is>
      </c>
      <c r="E130" s="39" t="inlineStr">
        <is>
          <t>La plaza de Hudson Yards mientras abre el Vessel: The Shops y el Shed desde afuera. Sacar el timed ticket de las 10:00 online antes.</t>
        </is>
      </c>
      <c r="F130" s="37" t="inlineStr"/>
      <c r="G130" s="40" t="inlineStr"/>
      <c r="H130" s="41" t="inlineStr"/>
      <c r="I130" s="41" t="inlineStr"/>
    </row>
    <row r="131" ht="30" customHeight="1">
      <c r="A131" s="35" t="n"/>
      <c r="B131" s="42" t="inlineStr">
        <is>
          <t>10:00</t>
        </is>
      </c>
      <c r="C131" s="43" t="inlineStr">
        <is>
          <t>10:50</t>
        </is>
      </c>
      <c r="D131" s="44" t="inlineStr">
        <is>
          <t>Ambos</t>
        </is>
      </c>
      <c r="E131"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1" s="43" t="inlineStr">
        <is>
          <t>The Vessel</t>
        </is>
      </c>
      <c r="G131" s="40" t="inlineStr"/>
      <c r="H131" s="41" t="inlineStr"/>
      <c r="I131" s="41" t="inlineStr"/>
    </row>
    <row r="132" ht="30" customHeight="1">
      <c r="A132" s="35" t="n"/>
      <c r="B132" s="42" t="inlineStr">
        <is>
          <t>10:50</t>
        </is>
      </c>
      <c r="C132" s="43" t="inlineStr">
        <is>
          <t>12:20</t>
        </is>
      </c>
      <c r="D132" s="44" t="inlineStr">
        <is>
          <t>Ambos</t>
        </is>
      </c>
      <c r="E132" s="45" t="inlineStr">
        <is>
          <t>★ THE HIGH LINE completo, de norte a sur (2,3 km) — arranca ahí mismo, en 30th y 10ª. Vía ferroviaria elevada convertida en parque lineal. Incluye el Buda de arenisca de 9 metros de Tuan Andrew Nguyen.</t>
        </is>
      </c>
      <c r="F132" s="43" t="inlineStr">
        <is>
          <t>The High Line</t>
        </is>
      </c>
      <c r="G132" s="40" t="inlineStr">
        <is>
          <t>🚶 ~12 min a pie · 0.9 km · estimado</t>
        </is>
      </c>
      <c r="H132" s="41" t="inlineStr"/>
      <c r="I132" s="41" t="inlineStr"/>
    </row>
    <row r="133" ht="30" customHeight="1">
      <c r="A133" s="35" t="n"/>
      <c r="B133" s="36" t="inlineStr">
        <is>
          <t>12:20</t>
        </is>
      </c>
      <c r="C133" s="37" t="inlineStr">
        <is>
          <t>13:00</t>
        </is>
      </c>
      <c r="D133" s="38" t="inlineStr">
        <is>
          <t>Ambos</t>
        </is>
      </c>
      <c r="E133" s="39" t="inlineStr">
        <is>
          <t>Little Island — el parque flotante de Heatherwick sobre 132 macetas de hormigón, al final del High Line. Gratis.</t>
        </is>
      </c>
      <c r="F133" s="37" t="inlineStr">
        <is>
          <t>Little Island</t>
        </is>
      </c>
      <c r="G133" s="40" t="inlineStr">
        <is>
          <t>🚶 ~15 min a pie · 1.1 km · estimado</t>
        </is>
      </c>
      <c r="H133" s="41" t="inlineStr"/>
      <c r="I133" s="41" t="inlineStr"/>
    </row>
    <row r="134" ht="30" customHeight="1">
      <c r="A134" s="35" t="n"/>
      <c r="B134" s="42" t="inlineStr">
        <is>
          <t>13:00</t>
        </is>
      </c>
      <c r="C134" s="43" t="inlineStr">
        <is>
          <t>14:30</t>
        </is>
      </c>
      <c r="D134" s="44" t="inlineStr">
        <is>
          <t>Ambos</t>
        </is>
      </c>
      <c r="E134" s="45" t="inlineStr">
        <is>
          <t>Galerías de Chelsea COMPLETAS — W 19th a W 27th entre la 10ª y la 11ª, concentradas en W 24th y W 21st (Gagosian, Pace, Zwirner). Gratis, se entra y se sale. El recorte del Vessel se devolvió: SUMMIT pasó al atardecer y la tarde se estiró.</t>
        </is>
      </c>
      <c r="F134" s="43" t="inlineStr"/>
      <c r="G134" s="40" t="inlineStr"/>
      <c r="H134" s="41" t="inlineStr"/>
      <c r="I134" s="41" t="inlineStr"/>
    </row>
    <row r="135" ht="30" customHeight="1">
      <c r="A135" s="35" t="n"/>
      <c r="B135" s="36" t="inlineStr">
        <is>
          <t>14:30</t>
        </is>
      </c>
      <c r="C135" s="37" t="inlineStr">
        <is>
          <t>16:25</t>
        </is>
      </c>
      <c r="D135" s="38" t="inlineStr">
        <is>
          <t>Ambos</t>
        </is>
      </c>
      <c r="E135" s="39" t="inlineStr">
        <is>
          <t>Almuerzo en Chelsea Market — COMER FUERTE: es la comida grande del día, la cena de hoy es un bocado rápido entre el SUMMIT y el Vanguard. Los Tacos No.1 o Very Fresh Noodles. Ahora hay casi DOS HORAS: sin apuro, y si quedaron galerías de Chelsea sin ver, se vuelve. ★ HEATONIST está ADENTRO de este mismo mercado (12-18:45): más de 100 salsas picantes para probar, con el lineup de Hot Ones. Si el sábado no llegan a la de Williamsburg, esta es la misma cata en menos metros.</t>
        </is>
      </c>
      <c r="F135" s="37" t="inlineStr">
        <is>
          <t>Chelsea Market</t>
        </is>
      </c>
      <c r="G135" s="40" t="inlineStr">
        <is>
          <t>🚶 ~7 min a pie · 0.5 km · estimado</t>
        </is>
      </c>
      <c r="H135" s="41" t="inlineStr"/>
      <c r="I135" s="41" t="inlineStr"/>
    </row>
    <row r="136" ht="30" customHeight="1">
      <c r="A136" s="35" t="n"/>
      <c r="B136" s="36" t="inlineStr">
        <is>
          <t>16:25</t>
        </is>
      </c>
      <c r="C136" s="37" t="inlineStr">
        <is>
          <t>17:00</t>
        </is>
      </c>
      <c r="D136" s="38" t="inlineStr">
        <is>
          <t>Ambos</t>
        </is>
      </c>
      <c r="E136" s="39" t="inlineStr">
        <is>
          <t>A la Morgan: L desde 14 St-8 Av hasta Union Sq y 6 hasta 33 St, o A/C/E hasta 34 St-Penn y siete cuadras a pie (~30 min). Salir 16:25 deja margen para entrar 17:00 EN PUNTO.</t>
        </is>
      </c>
      <c r="F136" s="37" t="inlineStr"/>
      <c r="G136" s="40" t="inlineStr"/>
      <c r="H136" s="41" t="inlineStr"/>
      <c r="I136" s="41" t="inlineStr"/>
    </row>
    <row r="137" ht="30" customHeight="1">
      <c r="A137" s="35" t="n"/>
      <c r="B137" s="42" t="inlineStr">
        <is>
          <t>17:00</t>
        </is>
      </c>
      <c r="C137" s="43" t="inlineStr">
        <is>
          <t>18:00</t>
        </is>
      </c>
      <c r="D137" s="44" t="inlineStr">
        <is>
          <t>Ambos</t>
        </is>
      </c>
      <c r="E137"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7" s="43" t="inlineStr">
        <is>
          <t>The Morgan Library &amp; Museum</t>
        </is>
      </c>
      <c r="G137" s="40" t="inlineStr"/>
      <c r="H137" s="41" t="inlineStr"/>
      <c r="I137" s="41" t="inlineStr"/>
    </row>
    <row r="138" ht="16" customHeight="1">
      <c r="A138" s="35" t="n"/>
      <c r="B138" s="36" t="inlineStr">
        <is>
          <t>18:00</t>
        </is>
      </c>
      <c r="C138" s="37" t="inlineStr">
        <is>
          <t>18:10</t>
        </is>
      </c>
      <c r="D138" s="38" t="inlineStr">
        <is>
          <t>Ambos</t>
        </is>
      </c>
      <c r="E138" s="39" t="inlineStr">
        <is>
          <t>Caminar las seis cuadras de la Morgan a One Vanderbilt (~8-10 min).</t>
        </is>
      </c>
      <c r="F138" s="37" t="inlineStr"/>
      <c r="G138" s="40" t="inlineStr"/>
      <c r="H138" s="41" t="inlineStr"/>
      <c r="I138" s="41" t="inlineStr"/>
    </row>
    <row r="139" ht="30" customHeight="1">
      <c r="A139" s="35" t="n"/>
      <c r="B139" s="42" t="inlineStr">
        <is>
          <t>18:10</t>
        </is>
      </c>
      <c r="C139" s="43" t="inlineStr">
        <is>
          <t>20:20</t>
        </is>
      </c>
      <c r="D139" s="44" t="inlineStr">
        <is>
          <t>Ambos</t>
        </is>
      </c>
      <c r="E139"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9" s="43" t="inlineStr">
        <is>
          <t>SUMMIT One Vanderbilt</t>
        </is>
      </c>
      <c r="G139" s="40" t="inlineStr"/>
      <c r="H139" s="41" t="inlineStr"/>
      <c r="I139" s="41" t="inlineStr"/>
    </row>
    <row r="140" ht="30" customHeight="1">
      <c r="A140" s="35" t="n"/>
      <c r="B140" s="36" t="inlineStr">
        <is>
          <t>20:20</t>
        </is>
      </c>
      <c r="C140" s="37" t="inlineStr">
        <is>
          <t>20:50</t>
        </is>
      </c>
      <c r="D140" s="38" t="inlineStr">
        <is>
          <t>Ambos</t>
        </is>
      </c>
      <c r="E140" s="39" t="inlineStr">
        <is>
          <t>Bajar AL VILLAGE PRIMERO y cenar allá: 4/5/6 o 7 hasta 14 St-Union Sq y 1 hasta Christopher St (~25 min). Cenar cerca de Grand Central y bajar después llega justo; hacerlo al revés deja margen.</t>
        </is>
      </c>
      <c r="F140" s="37" t="inlineStr"/>
      <c r="G140" s="40" t="inlineStr"/>
      <c r="H140" s="41" t="inlineStr"/>
      <c r="I140" s="41" t="inlineStr"/>
    </row>
    <row r="141" ht="30" customHeight="1">
      <c r="A141" s="35" t="n"/>
      <c r="B141" s="36" t="inlineStr">
        <is>
          <t>20:50</t>
        </is>
      </c>
      <c r="C141" s="37" t="inlineStr">
        <is>
          <t>21:30</t>
        </is>
      </c>
      <c r="D141" s="38" t="inlineStr">
        <is>
          <t>Ambos</t>
        </is>
      </c>
      <c r="E141" s="39" t="inlineStr">
        <is>
          <t>Cena en el West Village, a cinco minutos del club. El Vanguard NO sirve NADA de comida (lo dicen así: 'ni un maní') y no se permite entrar comida: lo que no cenen ahora, no se cena. 40 minutos alcanzan.</t>
        </is>
      </c>
      <c r="F141" s="37" t="inlineStr"/>
      <c r="G141" s="40" t="inlineStr"/>
      <c r="H141" s="41" t="inlineStr"/>
      <c r="I141" s="41" t="inlineStr"/>
    </row>
    <row r="142" ht="30" customHeight="1">
      <c r="A142" s="35" t="n"/>
      <c r="B142" s="36" t="inlineStr">
        <is>
          <t>21:30</t>
        </is>
      </c>
      <c r="C142" s="37" t="inlineStr">
        <is>
          <t>22:00</t>
        </is>
      </c>
      <c r="D142" s="38" t="inlineStr">
        <is>
          <t>Ambos</t>
        </is>
      </c>
      <c r="E142"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2" s="37" t="inlineStr"/>
      <c r="G142" s="40" t="inlineStr"/>
      <c r="H142" s="41" t="inlineStr"/>
      <c r="I142" s="41" t="inlineStr"/>
    </row>
    <row r="143" ht="30" customHeight="1">
      <c r="A143" s="35" t="n"/>
      <c r="B143" s="42" t="inlineStr">
        <is>
          <t>22:00</t>
        </is>
      </c>
      <c r="C143" s="43" t="inlineStr"/>
      <c r="D143" s="44" t="inlineStr">
        <is>
          <t>Ambos</t>
        </is>
      </c>
      <c r="E143"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3" s="43" t="inlineStr">
        <is>
          <t>Village Vanguard</t>
        </is>
      </c>
      <c r="G143" s="40" t="inlineStr"/>
      <c r="H143" s="41" t="inlineStr"/>
      <c r="I143" s="41" t="inlineStr"/>
    </row>
    <row r="144" ht="32" customHeight="1">
      <c r="A144" s="46" t="inlineStr">
        <is>
          <t>ALTERNATIVA / OJO:  ⚠️ OJO CON LA MAÑANA, y es nuevo: Juan hizo el HIGH LINE, LITTLE ISLAND y el VESSEL el miércoles temprano, solo. Los tres siguen en el plan de hoy porque THAIS NO LOS VIO —el Vessel además lo tienen 2/2 y es imprescindible— así que sacarlos la perjudica a ella. Decidan en el momento: si Juan la acompaña igual, el High Line de día con ella es otro paseo y no se pierde nada; si prefieren no repetir, esa mañana libera de 9:15 a 13:00 y ahí entran las galerías de Chelsea con calma, o el Whitney, que hoy es gratis de 17 a 22 pero abre 10:30. //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6" ht="22" customHeight="1">
      <c r="A146" s="33" t="inlineStr">
        <is>
          <t>DÍA 8 · Sábado 05/09 · Brooklyn, Peter Luger, un PLAY y Café Wha hasta la madrugada  —  base: The Beacon  ·  Ambos</t>
        </is>
      </c>
    </row>
    <row r="147" ht="32" customHeight="1">
      <c r="A147"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8" ht="30" customHeight="1">
      <c r="A148" s="35" t="n"/>
      <c r="B148" s="36" t="inlineStr">
        <is>
          <t>08:15</t>
        </is>
      </c>
      <c r="C148" s="37" t="inlineStr">
        <is>
          <t>09:00</t>
        </is>
      </c>
      <c r="D148" s="38" t="inlineStr">
        <is>
          <t>Ambos</t>
        </is>
      </c>
      <c r="E148" s="39" t="inlineStr">
        <is>
          <t>Salir 8:15: 1/2/3 desde 72 St + transbordo a A/C hasta High St son ~40-45 min REALES. Llegar temprano a DUMBO es la diferencia entre la foto y la cola de fotos.</t>
        </is>
      </c>
      <c r="F148" s="37" t="inlineStr"/>
      <c r="G148" s="40" t="inlineStr"/>
      <c r="H148" s="41" t="inlineStr"/>
      <c r="I148" s="41" t="inlineStr"/>
    </row>
    <row r="149" ht="30" customHeight="1">
      <c r="A149" s="35" t="n"/>
      <c r="B149" s="42" t="inlineStr">
        <is>
          <t>09:00</t>
        </is>
      </c>
      <c r="C149" s="43" t="inlineStr">
        <is>
          <t>10:30</t>
        </is>
      </c>
      <c r="D149" s="44" t="inlineStr">
        <is>
          <t>Ambos</t>
        </is>
      </c>
      <c r="E149" s="45" t="inlineStr">
        <is>
          <t>★ Brooklyn Bridge Park y DUMBO — muelles reconvertidos con el skyline de Lower Manhattan de frente, y la foto del Manhattan Bridge encuadrado en Washington y Water.</t>
        </is>
      </c>
      <c r="F149" s="43" t="inlineStr">
        <is>
          <t>Brooklyn Bridge Park</t>
        </is>
      </c>
      <c r="G149" s="40" t="inlineStr"/>
      <c r="H149" s="41" t="inlineStr"/>
      <c r="I149" s="41" t="inlineStr"/>
    </row>
    <row r="150" ht="16" customHeight="1">
      <c r="A150" s="35" t="n"/>
      <c r="B150" s="36" t="inlineStr">
        <is>
          <t>10:30</t>
        </is>
      </c>
      <c r="C150" s="37" t="inlineStr">
        <is>
          <t>11:15</t>
        </is>
      </c>
      <c r="D150" s="38" t="inlineStr">
        <is>
          <t>Ambos</t>
        </is>
      </c>
      <c r="E150" s="39" t="inlineStr">
        <is>
          <t>Brooklyn Heights Promenade — la postal clásica del skyline sobre el BQE.</t>
        </is>
      </c>
      <c r="F150" s="37" t="inlineStr">
        <is>
          <t>Brooklyn Heights Promenade</t>
        </is>
      </c>
      <c r="G150" s="40" t="inlineStr">
        <is>
          <t>🚶 ~8 min a pie · 0.6 km · estimado</t>
        </is>
      </c>
      <c r="H150" s="41" t="inlineStr"/>
      <c r="I150" s="41" t="inlineStr"/>
    </row>
    <row r="151" ht="30" customHeight="1">
      <c r="A151" s="35" t="n"/>
      <c r="B151" s="42" t="inlineStr">
        <is>
          <t>11:15</t>
        </is>
      </c>
      <c r="C151" s="43" t="inlineStr">
        <is>
          <t>12:45</t>
        </is>
      </c>
      <c r="D151" s="44" t="inlineStr">
        <is>
          <t>Ambos</t>
        </is>
      </c>
      <c r="E151" s="45" t="inlineStr">
        <is>
          <t>★ NEW YORK TRANSIT MUSEUM — una estación de subte clausurada de 1936 con 20 vagones históricos en las vías originales; se puede subir a todos. $10. Cierra lunes y martes, así que hoy es el día.</t>
        </is>
      </c>
      <c r="F151" s="43" t="inlineStr">
        <is>
          <t>New York Transit Museum</t>
        </is>
      </c>
      <c r="G151" s="40" t="inlineStr"/>
      <c r="H151" s="41" t="inlineStr"/>
      <c r="I151" s="41" t="inlineStr"/>
    </row>
    <row r="152" ht="16" customHeight="1">
      <c r="A152" s="35" t="n"/>
      <c r="B152" s="36" t="inlineStr">
        <is>
          <t>12:45</t>
        </is>
      </c>
      <c r="C152" s="37" t="inlineStr">
        <is>
          <t>13:45</t>
        </is>
      </c>
      <c r="D152" s="38" t="inlineStr">
        <is>
          <t>Ambos</t>
        </is>
      </c>
      <c r="E152" s="39" t="inlineStr">
        <is>
          <t>Almuerzo en Downtown Brooklyn.</t>
        </is>
      </c>
      <c r="F152" s="37" t="inlineStr"/>
      <c r="G152" s="40" t="inlineStr"/>
      <c r="H152" s="41" t="inlineStr"/>
      <c r="I152" s="41" t="inlineStr"/>
    </row>
    <row r="153" ht="16" customHeight="1">
      <c r="A153" s="35" t="n"/>
      <c r="B153" s="36" t="inlineStr">
        <is>
          <t>13:45</t>
        </is>
      </c>
      <c r="C153" s="37" t="inlineStr">
        <is>
          <t>14:15</t>
        </is>
      </c>
      <c r="D153" s="38" t="inlineStr">
        <is>
          <t>Ambos</t>
        </is>
      </c>
      <c r="E153" s="39" t="inlineStr">
        <is>
          <t>Subte a Williamsburg.</t>
        </is>
      </c>
      <c r="F153" s="37" t="inlineStr"/>
      <c r="G153" s="40" t="inlineStr"/>
      <c r="H153" s="41" t="inlineStr"/>
      <c r="I153" s="41" t="inlineStr"/>
    </row>
    <row r="154" ht="30" customHeight="1">
      <c r="A154" s="35" t="n"/>
      <c r="B154" s="42" t="inlineStr">
        <is>
          <t>14:15</t>
        </is>
      </c>
      <c r="C154" s="43" t="inlineStr">
        <is>
          <t>15:15</t>
        </is>
      </c>
      <c r="D154" s="44" t="inlineStr">
        <is>
          <t>Ambos</t>
        </is>
      </c>
      <c r="E154" s="45" t="inlineStr">
        <is>
          <t>★ Domino Park — ex refinería de azúcar; el paseo elevado pasa entre la maquinaria industrial conservada, con el Williamsburg Bridge y Midtown enfrente.</t>
        </is>
      </c>
      <c r="F154" s="43" t="inlineStr">
        <is>
          <t>Domino Park</t>
        </is>
      </c>
      <c r="G154" s="40" t="inlineStr"/>
      <c r="H154" s="41" t="inlineStr"/>
      <c r="I154" s="41" t="inlineStr"/>
    </row>
    <row r="155" ht="30" customHeight="1">
      <c r="A155" s="35" t="n"/>
      <c r="B155" s="36" t="inlineStr">
        <is>
          <t>15:15</t>
        </is>
      </c>
      <c r="C155" s="37" t="inlineStr">
        <is>
          <t>16:45</t>
        </is>
      </c>
      <c r="D155" s="38" t="inlineStr">
        <is>
          <t>Ambos</t>
        </is>
      </c>
      <c r="E155" s="39" t="inlineStr">
        <is>
          <t>Paseo por Williamsburg: Bedford Ave, disquerías y vintage. ★ ACÁ ENTRA HEATONIST (121 Wythe Ave, a una cuadra de Bedford): la tienda insignia de salsas picantes, con más de 100 para probar en el local y el lineup completo de Hot Ones. Abre 12-19 todos los días, así que a esta hora está abierta y les queda de camino al Williamsburg Bridge. OPCIONAL si quieren la panorámica: Westlight (piso 22, sin cover, un trago) — lo bajaron a 'quizás'. NO comer nada: lo que viene lo merece.</t>
        </is>
      </c>
      <c r="F155" s="37" t="inlineStr">
        <is>
          <t>HEATONIST Williamsburg</t>
        </is>
      </c>
      <c r="G155" s="40" t="inlineStr">
        <is>
          <t>🚶 ~20 min a pie (1.2 km) o 🚇 ~15 min · estimado</t>
        </is>
      </c>
      <c r="H155" s="41" t="inlineStr"/>
      <c r="I155" s="41" t="inlineStr"/>
    </row>
    <row r="156" ht="16" customHeight="1">
      <c r="A156" s="35" t="n"/>
      <c r="B156" s="36" t="inlineStr">
        <is>
          <t>16:45</t>
        </is>
      </c>
      <c r="C156" s="37" t="inlineStr">
        <is>
          <t>17:00</t>
        </is>
      </c>
      <c r="D156" s="38" t="inlineStr">
        <is>
          <t>Ambos</t>
        </is>
      </c>
      <c r="E156" s="39" t="inlineStr">
        <is>
          <t>Caminar por Bedford/Driggs hasta el pie del Williamsburg Bridge (~15 min).</t>
        </is>
      </c>
      <c r="F156" s="37" t="inlineStr"/>
      <c r="G156" s="40" t="inlineStr"/>
      <c r="H156" s="41" t="inlineStr"/>
      <c r="I156" s="41" t="inlineStr"/>
    </row>
    <row r="157" ht="30" customHeight="1">
      <c r="A157" s="35" t="n"/>
      <c r="B157" s="42" t="inlineStr">
        <is>
          <t>17:00</t>
        </is>
      </c>
      <c r="C157" s="43" t="inlineStr">
        <is>
          <t>18:45</t>
        </is>
      </c>
      <c r="D157" s="44" t="inlineStr">
        <is>
          <t>Ambos</t>
        </is>
      </c>
      <c r="E157"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7" s="43" t="inlineStr">
        <is>
          <t>Peter Luger Steak House</t>
        </is>
      </c>
      <c r="G157" s="40" t="inlineStr"/>
      <c r="H157" s="41" t="inlineStr"/>
      <c r="I157" s="41" t="inlineStr"/>
    </row>
    <row r="158" ht="30" customHeight="1">
      <c r="A158" s="35" t="n"/>
      <c r="B158" s="36" t="inlineStr">
        <is>
          <t>18:45</t>
        </is>
      </c>
      <c r="C158" s="37" t="inlineStr">
        <is>
          <t>19:30</t>
        </is>
      </c>
      <c r="D158" s="38" t="inlineStr">
        <is>
          <t>Ambos</t>
        </is>
      </c>
      <c r="E158" s="39" t="inlineStr">
        <is>
          <t>A la zona de teatros: subte J desde Marcy Av hasta Essex St y F hasta 42 St-Bryant Park (~35 min con transbordo), o directamente Uber al teatro (~20-25 min, $25-35 — un sábado a la noche el puente puede estar cargado).</t>
        </is>
      </c>
      <c r="F158" s="37" t="inlineStr"/>
      <c r="G158" s="40" t="inlineStr"/>
      <c r="H158" s="41" t="inlineStr"/>
      <c r="I158" s="41" t="inlineStr"/>
    </row>
    <row r="159" ht="30" customHeight="1">
      <c r="A159" s="35" t="n"/>
      <c r="B159" s="42" t="inlineStr">
        <is>
          <t>19:30</t>
        </is>
      </c>
      <c r="C159" s="43" t="inlineStr">
        <is>
          <t>22:00</t>
        </is>
      </c>
      <c r="D159" s="44" t="inlineStr">
        <is>
          <t>Ambos</t>
        </is>
      </c>
      <c r="E159"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9" s="43" t="inlineStr">
        <is>
          <t>Stranger Things: The First Shadow (play)</t>
        </is>
      </c>
      <c r="G159" s="40" t="inlineStr"/>
      <c r="H159" s="41" t="inlineStr"/>
      <c r="I159" s="41" t="inlineStr"/>
    </row>
    <row r="160" ht="16" customHeight="1">
      <c r="A160" s="35" t="n"/>
      <c r="B160" s="36" t="inlineStr">
        <is>
          <t>22:00</t>
        </is>
      </c>
      <c r="C160" s="37" t="inlineStr">
        <is>
          <t>22:30</t>
        </is>
      </c>
      <c r="D160" s="38" t="inlineStr">
        <is>
          <t>Ambos</t>
        </is>
      </c>
      <c r="E160" s="39" t="inlineStr">
        <is>
          <t>Subte 1 desde Times Sq hasta Christopher St (~15 min) y caminar al corazón del Village.</t>
        </is>
      </c>
      <c r="F160" s="37" t="inlineStr"/>
      <c r="G160" s="40" t="inlineStr"/>
      <c r="H160" s="41" t="inlineStr"/>
      <c r="I160" s="41" t="inlineStr"/>
    </row>
    <row r="161" ht="30" customHeight="1">
      <c r="A161" s="35" t="n"/>
      <c r="B161" s="36" t="inlineStr">
        <is>
          <t>22:30</t>
        </is>
      </c>
      <c r="C161" s="37" t="inlineStr">
        <is>
          <t>23:15</t>
        </is>
      </c>
      <c r="D161" s="38" t="inlineStr">
        <is>
          <t>Ambos</t>
        </is>
      </c>
      <c r="E161" s="39" t="inlineStr">
        <is>
          <t>Paseo sin apuro por Bleecker y MacDougal — la esquina folk de los 60s de noche, un café o un trago corto. El único objetivo real: estar en la puerta del Wha a las 23:10.</t>
        </is>
      </c>
      <c r="F161" s="37" t="inlineStr"/>
      <c r="G161" s="40" t="inlineStr"/>
      <c r="H161" s="41" t="inlineStr"/>
      <c r="I161" s="41" t="inlineStr"/>
    </row>
    <row r="162" ht="30" customHeight="1">
      <c r="A162" s="35" t="n"/>
      <c r="B162" s="42" t="inlineStr">
        <is>
          <t>23:15</t>
        </is>
      </c>
      <c r="C162" s="43" t="inlineStr"/>
      <c r="D162" s="44" t="inlineStr">
        <is>
          <t>Ambos</t>
        </is>
      </c>
      <c r="E162"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2" s="43" t="inlineStr">
        <is>
          <t>Cafe Wha?</t>
        </is>
      </c>
      <c r="G162" s="40" t="inlineStr"/>
      <c r="H162" s="41" t="inlineStr"/>
      <c r="I162" s="41" t="inlineStr"/>
    </row>
    <row r="163" ht="32" customHeight="1">
      <c r="A163"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5" ht="22" customHeight="1">
      <c r="A165" s="33" t="inlineStr">
        <is>
          <t>DÍA 9 · Domingo 06/09 · Checkout, Central Park, Roosevelt Island, MoMA PS1 y vuelo  —  base: The Beacon (checkout) → EWR  ·  Ambos</t>
        </is>
      </c>
    </row>
    <row r="166" ht="32" customHeight="1">
      <c r="A166"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7" ht="30" customHeight="1">
      <c r="A167" s="35" t="n"/>
      <c r="B167" s="36" t="inlineStr">
        <is>
          <t>09:00</t>
        </is>
      </c>
      <c r="C167" s="37" t="inlineStr">
        <is>
          <t>09:45</t>
        </is>
      </c>
      <c r="D167" s="38" t="inlineStr">
        <is>
          <t>Ambos</t>
        </is>
      </c>
      <c r="E167" s="39" t="inlineStr">
        <is>
          <t>Desayuno SIN despertador temprano: anoche terminó ~1:30 en el Village y lo único con hora fija hoy es el PS1, que cierra a las 18:00. Dormir un poco más está permitido.</t>
        </is>
      </c>
      <c r="F167" s="37" t="inlineStr"/>
      <c r="G167" s="40" t="inlineStr"/>
      <c r="H167" s="41" t="inlineStr"/>
      <c r="I167" s="41" t="inlineStr"/>
    </row>
    <row r="168" ht="30" customHeight="1">
      <c r="A168" s="35" t="n"/>
      <c r="B168" s="42" t="inlineStr">
        <is>
          <t>09:45</t>
        </is>
      </c>
      <c r="C168" s="43" t="inlineStr">
        <is>
          <t>10:15</t>
        </is>
      </c>
      <c r="D168" s="44" t="inlineStr">
        <is>
          <t>Ambos</t>
        </is>
      </c>
      <c r="E168" s="45" t="inlineStr">
        <is>
          <t>★ CHECKOUT de The Beacon y dejar las valijas en el bell desk. El checkout formal suele ser 11:00-12:00, pero hacerlo antes libera el día.</t>
        </is>
      </c>
      <c r="F168" s="43" t="inlineStr">
        <is>
          <t>Hotel The Beacon (3-6 sep)</t>
        </is>
      </c>
      <c r="G168" s="40" t="inlineStr"/>
      <c r="H168" s="41" t="inlineStr"/>
      <c r="I168" s="41" t="inlineStr"/>
    </row>
    <row r="169" ht="30" customHeight="1">
      <c r="A169" s="35" t="n"/>
      <c r="B169" s="42" t="inlineStr">
        <is>
          <t>10:15</t>
        </is>
      </c>
      <c r="C169" s="43" t="inlineStr">
        <is>
          <t>12:30</t>
        </is>
      </c>
      <c r="D169" s="44" t="inlineStr">
        <is>
          <t>Ambos</t>
        </is>
      </c>
      <c r="E169" s="45" t="inlineStr">
        <is>
          <t>★ CENTRAL PARK cruzando de oeste a este: Bethesda Terrace, el Ramble, Bow Bridge. Se entra por la 72 desde Broadway, a tres cuadras del hotel.</t>
        </is>
      </c>
      <c r="F169" s="43" t="inlineStr">
        <is>
          <t>Central Park</t>
        </is>
      </c>
      <c r="G169" s="40" t="inlineStr">
        <is>
          <t>🚶 ~20 min a pie (1.5 km) o 🚇 ~15 min · estimado</t>
        </is>
      </c>
      <c r="H169" s="41" t="inlineStr"/>
      <c r="I169" s="41" t="inlineStr"/>
    </row>
    <row r="170" ht="16" customHeight="1">
      <c r="A170" s="35" t="n"/>
      <c r="B170" s="36" t="inlineStr">
        <is>
          <t>12:30</t>
        </is>
      </c>
      <c r="C170" s="37" t="inlineStr">
        <is>
          <t>13:30</t>
        </is>
      </c>
      <c r="D170" s="38" t="inlineStr">
        <is>
          <t>Ambos</t>
        </is>
      </c>
      <c r="E170" s="39" t="inlineStr">
        <is>
          <t>Almuerzo en el Upper East Side, saliendo del parque por la Quinta.</t>
        </is>
      </c>
      <c r="F170" s="37" t="inlineStr"/>
      <c r="G170" s="40" t="inlineStr"/>
      <c r="H170" s="41" t="inlineStr"/>
      <c r="I170" s="41" t="inlineStr"/>
    </row>
    <row r="171" ht="30" customHeight="1">
      <c r="A171" s="35" t="n"/>
      <c r="B171" s="36" t="inlineStr">
        <is>
          <t>13:30</t>
        </is>
      </c>
      <c r="C171" s="37" t="inlineStr">
        <is>
          <t>13:50</t>
        </is>
      </c>
      <c r="D171" s="38" t="inlineStr">
        <is>
          <t>Ambos</t>
        </is>
      </c>
      <c r="E171" s="39" t="inlineStr">
        <is>
          <t>Bajar a 59 St y 2ª Av: subte 6 desde 68 St-Hunter College (el 4/5 exprés NO para ahí), o caminando por la Quinta si el día está lindo.</t>
        </is>
      </c>
      <c r="F171" s="37" t="inlineStr"/>
      <c r="G171" s="40" t="inlineStr"/>
      <c r="H171" s="41" t="inlineStr"/>
      <c r="I171" s="41" t="inlineStr"/>
    </row>
    <row r="172" ht="30" customHeight="1">
      <c r="A172" s="35" t="n"/>
      <c r="B172" s="42" t="inlineStr">
        <is>
          <t>13:50</t>
        </is>
      </c>
      <c r="C172" s="43" t="inlineStr">
        <is>
          <t>14:25</t>
        </is>
      </c>
      <c r="D172" s="44" t="inlineStr">
        <is>
          <t>Ambos</t>
        </is>
      </c>
      <c r="E172" s="45" t="inlineStr">
        <is>
          <t>★ ROOSEVELT ISLAND TRAMWAY ($3, OMNY) — cruza el East River a 76 metros de altura con el Queensboro Bridge al lado. Es la vista de $50 por el precio de un viaje de subte.</t>
        </is>
      </c>
      <c r="F172" s="43" t="inlineStr">
        <is>
          <t>Roosevelt Island Tramway</t>
        </is>
      </c>
      <c r="G172" s="40" t="inlineStr"/>
      <c r="H172" s="41" t="inlineStr"/>
      <c r="I172" s="41" t="inlineStr"/>
    </row>
    <row r="173" ht="30" customHeight="1">
      <c r="A173" s="35" t="n"/>
      <c r="B173" s="36" t="inlineStr">
        <is>
          <t>14:25</t>
        </is>
      </c>
      <c r="C173" s="37" t="inlineStr">
        <is>
          <t>15:05</t>
        </is>
      </c>
      <c r="D173" s="38" t="inlineStr">
        <is>
          <t>Ambos</t>
        </is>
      </c>
      <c r="E173" s="39" t="inlineStr">
        <is>
          <t>FDR Four Freedoms Park — del teleférico son ~20 min a pie por el borde del río. La última obra de Louis Kahn: granito, plátanos y una sala abierta al río apuntando a Manhattan. Gratis y vacía. Se pasa por las ruinas del Smallpox Hospital.</t>
        </is>
      </c>
      <c r="F173" s="37" t="inlineStr">
        <is>
          <t>FDR Four Freedoms Park</t>
        </is>
      </c>
      <c r="G173" s="40" t="inlineStr"/>
      <c r="H173" s="41" t="inlineStr"/>
      <c r="I173" s="41" t="inlineStr"/>
    </row>
    <row r="174" ht="30" customHeight="1">
      <c r="A174" s="35" t="n"/>
      <c r="B174" s="36" t="inlineStr">
        <is>
          <t>15:05</t>
        </is>
      </c>
      <c r="C174" s="37" t="inlineStr">
        <is>
          <t>15:30</t>
        </is>
      </c>
      <c r="D174" s="38" t="inlineStr">
        <is>
          <t>Ambos</t>
        </is>
      </c>
      <c r="E174" s="39" t="inlineStr">
        <is>
          <t>SALIR 15:05 de Four Freedoms Park y caminar 15 min al norte por el borde del río hasta la ESTACIÓN DEL F, que está en el medio de la isla (Main St y Roosevelt Island Bridge). Hoy NO se vuelve en teleférico: se cruza a Queens por abajo.</t>
        </is>
      </c>
      <c r="F174" s="37" t="inlineStr"/>
      <c r="G174" s="40" t="inlineStr"/>
      <c r="H174" s="41" t="inlineStr"/>
      <c r="I174" s="41" t="inlineStr"/>
    </row>
    <row r="175" ht="30" customHeight="1">
      <c r="A175" s="35" t="n"/>
      <c r="B175" s="36" t="inlineStr">
        <is>
          <t>15:30</t>
        </is>
      </c>
      <c r="C175" s="37" t="inlineStr">
        <is>
          <t>15:45</t>
        </is>
      </c>
      <c r="D175" s="38" t="inlineStr">
        <is>
          <t>Ambos</t>
        </is>
      </c>
      <c r="E175" s="39" t="inlineStr">
        <is>
          <t>Subte F, UNA parada: Roosevelt Island → 21 St-Queensbridge (~4 min). Salir y caminar 12-15 min al sur por 21st St / Jackson Ave.</t>
        </is>
      </c>
      <c r="F175" s="37" t="inlineStr"/>
      <c r="G175" s="40" t="inlineStr"/>
      <c r="H175" s="41" t="inlineStr"/>
      <c r="I175" s="41" t="inlineStr"/>
    </row>
    <row r="176" ht="30" customHeight="1">
      <c r="A176" s="35" t="n"/>
      <c r="B176" s="42" t="inlineStr">
        <is>
          <t>15:45</t>
        </is>
      </c>
      <c r="C176" s="43" t="inlineStr">
        <is>
          <t>17:45</t>
        </is>
      </c>
      <c r="D176" s="44" t="inlineStr">
        <is>
          <t>Ambos</t>
        </is>
      </c>
      <c r="E176"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6" s="43" t="inlineStr">
        <is>
          <t>MoMA PS1</t>
        </is>
      </c>
      <c r="G176" s="40" t="inlineStr"/>
      <c r="H176" s="41" t="inlineStr"/>
      <c r="I176" s="41" t="inlineStr"/>
    </row>
    <row r="177" ht="30" customHeight="1">
      <c r="A177" s="35" t="n"/>
      <c r="B177" s="36" t="inlineStr">
        <is>
          <t>17:45</t>
        </is>
      </c>
      <c r="C177" s="37" t="inlineStr">
        <is>
          <t>18:20</t>
        </is>
      </c>
      <c r="D177" s="38" t="inlineStr">
        <is>
          <t>Ambos</t>
        </is>
      </c>
      <c r="E177" s="39" t="inlineStr">
        <is>
          <t>Del PS1 al hotel: subte 7 desde Court Sq hasta Times Sq y 1/2/3 hasta 72 St, o E/M hasta 53 St (~45 min). Llegan 18:30, justo para las valijas. El vuelo no se toca.</t>
        </is>
      </c>
      <c r="F177" s="37" t="inlineStr"/>
      <c r="G177" s="40" t="inlineStr"/>
      <c r="H177" s="41" t="inlineStr"/>
      <c r="I177" s="41" t="inlineStr"/>
    </row>
    <row r="178" ht="30" customHeight="1">
      <c r="A178" s="35" t="n"/>
      <c r="B178" s="36" t="inlineStr">
        <is>
          <t>18:20</t>
        </is>
      </c>
      <c r="C178" s="37" t="inlineStr">
        <is>
          <t>18:30</t>
        </is>
      </c>
      <c r="D178" s="38" t="inlineStr">
        <is>
          <t>Ambos</t>
        </is>
      </c>
      <c r="E178"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8" s="37" t="inlineStr"/>
      <c r="G178" s="40" t="inlineStr"/>
      <c r="H178" s="41" t="inlineStr"/>
      <c r="I178" s="41" t="inlineStr"/>
    </row>
    <row r="179" ht="16" customHeight="1">
      <c r="A179" s="35" t="n"/>
      <c r="B179" s="36" t="inlineStr">
        <is>
          <t>18:30</t>
        </is>
      </c>
      <c r="C179" s="37" t="inlineStr">
        <is>
          <t>19:40</t>
        </is>
      </c>
      <c r="D179" s="38" t="inlineStr">
        <is>
          <t>Ambos</t>
        </is>
      </c>
      <c r="E179" s="39" t="inlineStr">
        <is>
          <t>Retirar las valijas del bell desk. Cena tranquila cerca del hotel: es la última.</t>
        </is>
      </c>
      <c r="F179" s="37" t="inlineStr"/>
      <c r="G179" s="40" t="inlineStr"/>
      <c r="H179" s="41" t="inlineStr"/>
      <c r="I179" s="41" t="inlineStr"/>
    </row>
    <row r="180" ht="16" customHeight="1">
      <c r="A180" s="35" t="n"/>
      <c r="B180" s="36" t="inlineStr">
        <is>
          <t>19:40</t>
        </is>
      </c>
      <c r="C180" s="37" t="inlineStr">
        <is>
          <t>20:14</t>
        </is>
      </c>
      <c r="D180" s="38" t="inlineStr">
        <is>
          <t>Ambos</t>
        </is>
      </c>
      <c r="E180" s="39" t="inlineStr">
        <is>
          <t>Salir de The Beacon. Subte 1/2/3 desde 72 St hasta 34 St-Penn Station: ~10 min, $3.</t>
        </is>
      </c>
      <c r="F180" s="37" t="inlineStr"/>
      <c r="G180" s="40" t="inlineStr"/>
      <c r="H180" s="41" t="inlineStr"/>
      <c r="I180" s="41" t="inlineStr"/>
    </row>
    <row r="181" ht="30" customHeight="1">
      <c r="A181" s="35" t="n"/>
      <c r="B181" s="36" t="inlineStr">
        <is>
          <t>20:14</t>
        </is>
      </c>
      <c r="C181" s="37" t="inlineStr">
        <is>
          <t>20:45</t>
        </is>
      </c>
      <c r="D181" s="38" t="inlineStr">
        <is>
          <t>Ambos</t>
        </is>
      </c>
      <c r="E181" s="39" t="inlineStr">
        <is>
          <t>NJ Transit Penn Station → EWR, llega 20:38. $17,25 (incluye el AirTrain). VERIFICAR el horario dominical en njtransit.com unos días antes.</t>
        </is>
      </c>
      <c r="F181" s="37" t="inlineStr"/>
      <c r="G181" s="40" t="inlineStr"/>
      <c r="H181" s="41" t="inlineStr"/>
      <c r="I181" s="41" t="inlineStr"/>
    </row>
    <row r="182" ht="16" customHeight="1">
      <c r="A182" s="35" t="n"/>
      <c r="B182" s="36" t="inlineStr">
        <is>
          <t>20:45</t>
        </is>
      </c>
      <c r="C182" s="37" t="inlineStr">
        <is>
          <t>20:55</t>
        </is>
      </c>
      <c r="D182" s="38" t="inlineStr">
        <is>
          <t>Ambos</t>
        </is>
      </c>
      <c r="E182" s="39" t="inlineStr">
        <is>
          <t>AirTrain hasta la terminal: 10-15 min.</t>
        </is>
      </c>
      <c r="F182" s="37" t="inlineStr"/>
      <c r="G182" s="40" t="inlineStr"/>
      <c r="H182" s="41" t="inlineStr"/>
      <c r="I182" s="41" t="inlineStr"/>
    </row>
    <row r="183" ht="30" customHeight="1">
      <c r="A183" s="35" t="n"/>
      <c r="B183" s="36" t="inlineStr">
        <is>
          <t>20:55</t>
        </is>
      </c>
      <c r="C183" s="37" t="inlineStr"/>
      <c r="D183" s="38" t="inlineStr">
        <is>
          <t>Ambos</t>
        </is>
      </c>
      <c r="E183" s="39" t="inlineStr">
        <is>
          <t>En terminal. Faltan 2h45 para el vuelo de las 23:40 — correcto para un internacional en el domingo de Labor Day, que es la noche de más tráfico del año en EWR.</t>
        </is>
      </c>
      <c r="F183" s="37" t="inlineStr"/>
      <c r="G183" s="40" t="inlineStr"/>
      <c r="H183" s="41" t="inlineStr"/>
      <c r="I183" s="41" t="inlineStr"/>
    </row>
    <row r="184" ht="32" customHeight="1">
      <c r="A184"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28:I128"/>
    <mergeCell ref="A84:I84"/>
    <mergeCell ref="A66:I66"/>
    <mergeCell ref="A163:I163"/>
    <mergeCell ref="A26:I26"/>
    <mergeCell ref="A101:I101"/>
    <mergeCell ref="A86:I86"/>
    <mergeCell ref="A104:I104"/>
    <mergeCell ref="A47:I47"/>
    <mergeCell ref="A5:I5"/>
    <mergeCell ref="A144:I144"/>
    <mergeCell ref="A184:I184"/>
    <mergeCell ref="A125:I125"/>
    <mergeCell ref="A147:I147"/>
    <mergeCell ref="A29:I29"/>
    <mergeCell ref="A165:I165"/>
    <mergeCell ref="A1:G1"/>
    <mergeCell ref="A68:I68"/>
    <mergeCell ref="A28:I28"/>
    <mergeCell ref="A127:I127"/>
    <mergeCell ref="A48:I48"/>
    <mergeCell ref="A166:I166"/>
    <mergeCell ref="A103:I103"/>
    <mergeCell ref="A45:I45"/>
    <mergeCell ref="A2:G2"/>
    <mergeCell ref="A146:I146"/>
    <mergeCell ref="A6:I6"/>
    <mergeCell ref="A69:I69"/>
    <mergeCell ref="A87:I87"/>
  </mergeCells>
  <dataValidations count="1">
    <dataValidation sqref="H5:H186"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SUMIF(Lugares!$F$5:$F$308,2,Lugares!$I$5:$I$308)-SUMIFS(Lugares!$I$5:$I$308,Lugares!$F$5:$F$308,2,Lugares!$C$5:$C$308,"Comida")-SUMIFS(Lugares!$I$5:$I$308,Lugares!$F$5:$F$308,2,Lugares!$C$5:$C$308,"Música")</f>
        <v/>
      </c>
      <c r="C5" s="48">
        <f>SUMIF(Lugares!$G$5:$G$308,2,Lugares!$I$5:$I$308)-SUMIFS(Lugares!$I$5:$I$308,Lugares!$G$5:$G$308,2,Lugares!$C$5:$C$308,"Comida")-SUMIFS(Lugares!$I$5:$I$308,Lugares!$G$5:$G$308,2,Lugares!$C$5:$C$308,"Música")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y ahora está calculado por separado para cada uno: a Juan la mejor ventana posible le hace perder $60 y a Thais $97. El ahorro real de este viaje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no está en Nueva York del 31/8 al 2/9 —trabaja en New Jersey— así que sus días útiles NO son consecutivos, que es justo lo que el pase exige. En todo el viaje hace $82 de atracciones que el pase cubra, contra $169 del pase más barato.</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 RESUELTO — la rotonda del Guggenheim está CERRADA hasta el 17/9. Por eso el domingo entra MoMA PS1 en su lugar; el Guggenheim quedó como alternativa escrita en el bloque de las 18:20</t>
        </is>
      </c>
      <c r="C16" s="59" t="inlineStr">
        <is>
          <t>verificado el 27/8, ya no hay que llamar</t>
        </is>
      </c>
      <c r="D16" s="59" t="inlineStr">
        <is>
          <t>guggenheim.org</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STUDIO MUSEUM sáb 29 — entrada con HORARIO ASIGNADO, sacarla antes. «Fade» cierra el 6/9: el sábado es la única pasada del viaje</t>
        </is>
      </c>
      <c r="C17" s="59" t="inlineStr">
        <is>
          <t>HOY</t>
        </is>
      </c>
      <c r="D17" s="59" t="inlineStr">
        <is>
          <t>studiomuseum.org</t>
        </is>
      </c>
      <c r="E17" s="59" t="inlineStr">
        <is>
          <t>Reabrió este año tras siete cerrado, en el edificio nuevo de Adjaye. Sugerido $16, gratis los domingos. Lo detectó el barrido del 27/8: la entrada es con hora asignada, no se entra y ya.</t>
        </is>
      </c>
    </row>
    <row r="18" ht="40" customHeight="1">
      <c r="A18" s="41" t="inlineStr"/>
      <c r="B18" s="60" t="inlineStr">
        <is>
          <t>FRICK mié 2 — reservar la ventana a voluntad de 13:30 a 17:30</t>
        </is>
      </c>
      <c r="C18" s="59" t="inlineStr">
        <is>
          <t>HOY</t>
        </is>
      </c>
      <c r="D18" s="59" t="inlineStr">
        <is>
          <t>frick.org</t>
        </is>
      </c>
      <c r="E18" s="59" t="inlineStr">
        <is>
          <t>Esa ventana es TODA: fuera de ella son $30 por cabeza. Online el mínimo es $5. El cupo en puerta existe pero no está garantizado, y son solo cuatro horas.</t>
        </is>
      </c>
    </row>
    <row r="19" ht="40" customHeight="1">
      <c r="A19" s="41" t="inlineStr"/>
      <c r="B19" s="60" t="inlineStr">
        <is>
          <t>MORGAN LIBRARY vie 4 — las reservas del viernes gratis (17-20h) se liberan HOY, viernes 28</t>
        </is>
      </c>
      <c r="C19" s="59" t="inlineStr">
        <is>
          <t>HOY, es el día</t>
        </is>
      </c>
      <c r="D19" s="59" t="inlineStr">
        <is>
          <t>themorgan.org</t>
        </is>
      </c>
      <c r="E19" s="59" t="inlineStr">
        <is>
          <t>Reserva obligatoria y se agota. Si no sale, el viernes queda un hueco de 17:00 a 18:10 antes del SUMMIT.</t>
        </is>
      </c>
    </row>
    <row r="20" ht="40" customHeight="1">
      <c r="A20" s="41" t="inlineStr"/>
      <c r="B20" s="60" t="inlineStr">
        <is>
          <t>Revisar travel alerts de NJ Transit para la noche del 2/9 y la mañana del 3/9</t>
        </is>
      </c>
      <c r="C20" s="59" t="inlineStr">
        <is>
          <t>2-3 días antes</t>
        </is>
      </c>
      <c r="D20" s="59" t="inlineStr">
        <is>
          <t>njtransit.com/travel-alerts-to</t>
        </is>
      </c>
      <c r="E20" s="59" t="inlineStr">
        <is>
          <t>La ÚNICA noche que queda de vuelta a New Jersey (mié 2) depende del directo de las 22:48 — si se cae, la próxima llegada a Raritan es 01:31. Y el jueves 6:55 con las maletas también es NJT.</t>
        </is>
      </c>
    </row>
    <row r="21" ht="40" customHeight="1">
      <c r="A21" s="41" t="inlineStr"/>
      <c r="B21" s="62" t="inlineStr">
        <is>
          <t>MO Lounge (Mandarin Oriental, piso 35) — JUEVES 3/9 ~20:30, antes de Dizzy's</t>
        </is>
      </c>
      <c r="C21" s="39" t="inlineStr">
        <is>
          <t>1 semana antes</t>
        </is>
      </c>
      <c r="D21" s="39" t="inlineStr">
        <is>
          <t>mandarinoriental.com (SevenRooms)</t>
        </is>
      </c>
      <c r="E21" s="39" t="inlineStr">
        <is>
          <t>Ventanales sobre Central Park y está en el MISMO edificio que Dizzy's: se baja en ascensor. Coctel ~$26-32, sin cover. Alternativa en el mismo piso: The Bar (mar-sáb 17-1h, 45 asientos).</t>
        </is>
      </c>
    </row>
    <row r="22" ht="40" customHeight="1">
      <c r="A22" s="41" t="inlineStr"/>
      <c r="B22" s="62" t="inlineStr">
        <is>
          <t>Dos mails operativos: early check-in Ink48 (para el sáb 29) y luggage drop en The Beacon desde las 8:45 (jue 3)</t>
        </is>
      </c>
      <c r="C22" s="39" t="inlineStr">
        <is>
          <t>esta semana</t>
        </is>
      </c>
      <c r="D22" s="39" t="inlineStr">
        <is>
          <t>mail a cada hotel</t>
        </is>
      </c>
      <c r="E22" s="39" t="inlineStr">
        <is>
          <t>El día 1 y el día 6 dependen de que los dos hoteles digan que sí. Un mail de dos líneas cada uno.</t>
        </is>
      </c>
    </row>
    <row r="23" ht="40" customHeight="1">
      <c r="A23" s="41" t="inlineStr"/>
      <c r="B23" s="62" t="inlineStr">
        <is>
          <t>✅ RESUELTO — festival Charlie Parker: sáb 29, Marcus Garvey Park, 14:00 a 19:00, cierra JOSHUA REDMAN con Nat Adderley Jr., Catherine Russell y Nicole Glover</t>
        </is>
      </c>
      <c r="C23" s="39" t="inlineStr">
        <is>
          <t>verificado el 27/8</t>
        </is>
      </c>
      <c r="D23" s="39" t="inlineStr">
        <is>
          <t>cityparksfoundation.org</t>
        </is>
      </c>
      <c r="E23" s="39" t="inlineStr">
        <is>
          <t>La salida obligada de las 18:30 puede o no cortar el set de cierre. Saberlo el día antes permite decidir el plan B del subte (salir 18:10) con datos.</t>
        </is>
      </c>
    </row>
    <row r="24" ht="40" customHeight="1">
      <c r="A24" s="41" t="inlineStr"/>
      <c r="B24" s="62" t="inlineStr">
        <is>
          <t>Broadway — loterías digitales</t>
        </is>
      </c>
      <c r="C24" s="39" t="inlineStr">
        <is>
          <t>TODOS LOS DÍAS desde ya</t>
        </is>
      </c>
      <c r="D24" s="39" t="inlineStr">
        <is>
          <t>Broadway Direct, Telecharge, LuckySeat, TodayTix</t>
        </is>
      </c>
      <c r="E24" s="39" t="inlineStr">
        <is>
          <t>Entrar es GRATIS. Hamilton $10, Maybe Happy Ending $20,64, MJ/Hadestown/Moulin Rouge $49. Anotarse a 5-6 por día no cuesta nada.</t>
        </is>
      </c>
    </row>
    <row r="25" ht="40" customHeight="1">
      <c r="A25" s="41" t="inlineStr"/>
      <c r="B25" s="62" t="inlineStr">
        <is>
          <t>One World Observatory — JUEVES 3/9 ~13:45</t>
        </is>
      </c>
      <c r="C25" s="39" t="inlineStr">
        <is>
          <t>1-2 semanas antes</t>
        </is>
      </c>
      <c r="D25" s="39" t="inlineStr">
        <is>
          <t>oneworldobservatory.com</t>
        </is>
      </c>
      <c r="E25" s="39" t="inlineStr">
        <is>
          <t>$44 + $3,50 fee, ventana de entrada de 15 min. Los slots de la tarde se agotan en verano.</t>
        </is>
      </c>
    </row>
    <row r="26" ht="40" customHeight="1">
      <c r="A26" s="41" t="inlineStr"/>
      <c r="B26" s="62" t="inlineStr">
        <is>
          <t>Mercer Labs — DOMINGO 30/8, slot 17:30 (Fever)</t>
        </is>
      </c>
      <c r="C26" s="39" t="inlineStr">
        <is>
          <t>esta semana</t>
        </is>
      </c>
      <c r="D26" s="39" t="inlineStr">
        <is>
          <t>mercerlabs.com</t>
        </is>
      </c>
      <c r="E26" s="39" t="inlineStr">
        <is>
          <t>Hasta $57 por cabeza según franja; los slots del fin de semana se agotan en Fever. El domingo abre hasta las 22, así que si el 17:30 no está, cualquier slot 17:00-18:00 mantiene la cadena (Crown al atardecer 19:15).</t>
        </is>
      </c>
    </row>
    <row r="27" ht="40" customHeight="1">
      <c r="A27" s="41" t="inlineStr"/>
      <c r="B27" s="62" t="inlineStr">
        <is>
          <t>JGStay SoHo — RESUELTO (JP: 31/8 → 2/9). Confirmar la CONSIGNA de equipaje por mensaje</t>
        </is>
      </c>
      <c r="C27" s="39" t="inlineStr">
        <is>
          <t>esta semana</t>
        </is>
      </c>
      <c r="D27" s="39" t="inlineStr">
        <is>
          <t>jgstay.com</t>
        </is>
      </c>
      <c r="E27" s="39" t="inlineStr">
        <is>
          <t>Ya reservado por Juan: adiós a dos de las tres vueltas nocturnas a NJ. Confirmar: dejar bolso lunes ~8:35 (antes del check-in) y consigna el miércoles post-checkout hasta ~17:00. Desayuno incluido 7-9 AM; recepción 24 h; Canal St (6, N/Q/R/W, J/Z) a pasos.</t>
        </is>
      </c>
    </row>
    <row r="28" ht="40" customHeight="1">
      <c r="A28" s="41" t="inlineStr"/>
      <c r="B28" s="62" t="inlineStr">
        <is>
          <t>Uber en Branchburg — quedó UNA sola mañana (jueves 3, 6:20)</t>
        </is>
      </c>
      <c r="C28" s="39" t="inlineStr">
        <is>
          <t>mié 2: pedir el de Raritan→hotel ANTES de subir al tren, y programar el del jueves 6:20</t>
        </is>
      </c>
      <c r="D28" s="39" t="inlineStr">
        <is>
          <t>app</t>
        </is>
      </c>
      <c r="E28" s="39" t="inlineStr">
        <is>
          <t>Zona semi-rural: a las 0:04 y a las 6:20 puede no haber conductores. Programar con anticipación y tener plan B.</t>
        </is>
      </c>
    </row>
    <row r="29" ht="40" customHeight="1">
      <c r="A29" s="41" t="inlineStr"/>
      <c r="B29" s="62" t="inlineStr">
        <is>
          <t>Birdland sáb 29/8 — RESERVAR set 21:30: David DeJesus &amp; the Boptet, 'Celebrating Charlie Parker'</t>
        </is>
      </c>
      <c r="C29" s="39" t="inlineStr">
        <is>
          <t>YA</t>
        </is>
      </c>
      <c r="D29" s="39" t="inlineStr">
        <is>
          <t>birdlandjazz.com</t>
        </is>
      </c>
      <c r="E29"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30" ht="40" customHeight="1">
      <c r="A30" s="41" t="inlineStr"/>
      <c r="B30" s="62" t="inlineStr">
        <is>
          <t>AirTrain + NJ Transit — ahora es el PLAN B de la llegada (entró el Uber Shuttle). Igual conviene reverificarlo: es lo que salva el sábado si migraciones se estira</t>
        </is>
      </c>
      <c r="C30" s="39" t="inlineStr">
        <is>
          <t>HOY, viernes 28</t>
        </is>
      </c>
      <c r="D30" s="39" t="inlineStr">
        <is>
          <t>njtransit.com</t>
        </is>
      </c>
      <c r="E30" s="39" t="inlineStr">
        <is>
          <t>Obra de reemplazo hasta 2030, con advisories que se renuevan mes a mes.</t>
        </is>
      </c>
    </row>
    <row r="31" ht="40" customHeight="1">
      <c r="A31" s="41" t="inlineStr"/>
      <c r="B31" s="62" t="inlineStr">
        <is>
          <t>Dizzy's JUEVES 3/9 21:00 — solo si deciden mantenerlo</t>
        </is>
      </c>
      <c r="C31" s="39" t="inlineStr">
        <is>
          <t>2-3 días antes</t>
        </is>
      </c>
      <c r="D31" s="39" t="inlineStr">
        <is>
          <t>jazz.org/dizzys</t>
        </is>
      </c>
      <c r="E31" s="39" t="inlineStr">
        <is>
          <t>Entradas con horario. CONDICIONAL: es la noche del día de ~17 horas con 5 de sueño — decidan a las 20:00 de ese día; la reserva flexible o el set Late Night (~22:45) son las opciones de bajo riesgo.</t>
        </is>
      </c>
    </row>
    <row r="32" ht="40" customHeight="1">
      <c r="A32" s="41" t="inlineStr"/>
      <c r="B32" s="62" t="inlineStr">
        <is>
          <t>Tenement Museum — SOLO SI deciden sumarlo (quedó FUERA del plan)</t>
        </is>
      </c>
      <c r="C32" s="39" t="inlineStr">
        <is>
          <t>solo si lo suman</t>
        </is>
      </c>
      <c r="D32" s="39" t="inlineStr">
        <is>
          <t>tenement.org</t>
        </is>
      </c>
      <c r="E32" s="39" t="inlineStr">
        <is>
          <t>Los dos lo bajaron a 'quizás' y no está en ningún día. OJO: es sin reembolso — no reservar algo que no está agendado.</t>
        </is>
      </c>
    </row>
    <row r="33" ht="40" customHeight="1">
      <c r="A33" s="41" t="inlineStr"/>
      <c r="B33" s="62" t="inlineStr">
        <is>
          <t>Edge — tarifa Advance Saver $34</t>
        </is>
      </c>
      <c r="C33" s="39" t="inlineStr">
        <is>
          <t>YA (exige 14+ días)</t>
        </is>
      </c>
      <c r="D33" s="39" t="inlineStr">
        <is>
          <t>edgenyc.com</t>
        </is>
      </c>
      <c r="E33" s="39" t="inlineStr">
        <is>
          <t>FUERA del plan (lo marcaron 0/0 en la última pasada). Solo si cambian de idea; con SUMMIT y Top of the Rock ya se solapa mucho.</t>
        </is>
      </c>
    </row>
    <row r="34" ht="40" customHeight="1">
      <c r="A34" s="41" t="inlineStr"/>
      <c r="B34" s="62" t="inlineStr">
        <is>
          <t>Noguchi Museum — FUERA del plan (0/0)</t>
        </is>
      </c>
      <c r="C34" s="39" t="inlineStr">
        <is>
          <t>solo si lo suman</t>
        </is>
      </c>
      <c r="D34" s="39" t="inlineStr">
        <is>
          <t>noguchi.org</t>
        </is>
      </c>
      <c r="E34" s="39" t="inlineStr">
        <is>
          <t>Lo marcaron 0/0: no reservar salvo cambio de idea. (El primer viernes del mes es gratis hasta las 20h, por si acaso.)</t>
        </is>
      </c>
    </row>
    <row r="35" ht="40" customHeight="1">
      <c r="A35" s="41" t="inlineStr"/>
      <c r="B35" s="62" t="inlineStr">
        <is>
          <t>Lincoln Center — revisar calendario de la semana 3-6/9 (Atrium gratis, Film at Lincoln Center)</t>
        </is>
      </c>
      <c r="C35" s="39" t="inlineStr">
        <is>
          <t>1 semana antes</t>
        </is>
      </c>
      <c r="D35" s="39" t="inlineStr">
        <is>
          <t>lincolncenter.org</t>
        </is>
      </c>
      <c r="E35"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6" ht="40" customHeight="1">
      <c r="A36" s="41" t="inlineStr"/>
      <c r="B36" s="62" t="inlineStr">
        <is>
          <t>The Vessel — VIERNES 4/9 10:00</t>
        </is>
      </c>
      <c r="C36" s="39" t="inlineStr">
        <is>
          <t>2-3 días antes</t>
        </is>
      </c>
      <c r="D36" s="39" t="inlineStr">
        <is>
          <t>hudsonyardsnewyork.com</t>
        </is>
      </c>
      <c r="E36" s="39" t="inlineStr">
        <is>
          <t>$10 (flex $15). Suele haber en el día, pero el timed ticket de las 10:00 asegura el arranque sin fila.</t>
        </is>
      </c>
    </row>
    <row r="37" ht="40" customHeight="1">
      <c r="A37" s="41" t="inlineStr"/>
      <c r="B37" s="62" t="inlineStr">
        <is>
          <t>Estatua de la Libertad — corona o pedestal</t>
        </is>
      </c>
      <c r="C37" s="39" t="inlineStr">
        <is>
          <t>YA, y probablemente sea tarde</t>
        </is>
      </c>
      <c r="D37" s="39" t="inlineStr">
        <is>
          <t>statuecitycruises.com</t>
        </is>
      </c>
      <c r="E37" s="39" t="inlineStr">
        <is>
          <t>La corona se agota meses antes. SOLO por el sitio oficial: ninguna agencia vende corona.</t>
        </is>
      </c>
    </row>
    <row r="38" ht="40" customHeight="1">
      <c r="A38" s="41" t="inlineStr"/>
      <c r="B38" s="62" t="inlineStr">
        <is>
          <t>Bill's Place — SALIÓ del plan (lo desplazó el Vanguard del viernes)</t>
        </is>
      </c>
      <c r="C38" s="39" t="inlineStr">
        <is>
          <t>solo si cambian de idea</t>
        </is>
      </c>
      <c r="D38" s="39" t="inlineStr">
        <is>
          <t>billsplaceharlem.com</t>
        </is>
      </c>
      <c r="E38" s="39" t="inlineStr">
        <is>
          <t>Toca viernes y sábado nomás, y las dos noches están tomadas. Queda como la alternativa si prefieren el speakeasy de Harlem antes que el Vanguard: en ese caso el Vanguard vuelve al martes y Juan va solo.</t>
        </is>
      </c>
    </row>
    <row r="39" ht="40" customHeight="1">
      <c r="A39" s="41" t="inlineStr"/>
      <c r="B39" s="62" t="inlineStr">
        <is>
          <t>Village Vanguard — VIERNES 4/9, set de las 22:00 (Patitucci/Potter/Blade), DOS lugares</t>
        </is>
      </c>
      <c r="C39" s="39" t="inlineStr">
        <is>
          <t>COMPRADAS 26/8</t>
        </is>
      </c>
      <c r="D39" s="39" t="inlineStr">
        <is>
          <t>2 x GA $45 - #18741454 y #18741456</t>
        </is>
      </c>
      <c r="E39"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40"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2026-09-03T03:39:44Z</dcterms:created>
  <dcterms:modified xsi:type="dcterms:W3CDTF">2026-09-03T03:39:44Z</dcterms:modified>
</cp:coreProperties>
</file>