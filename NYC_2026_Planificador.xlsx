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65" authorId="0" shapeId="0">
      <text>
        <t>Entrada libre 7-19h. Trolley tours con costo: sab 29/8 y sab 5/9, 13-15h.</t>
      </text>
    </comment>
    <comment ref="I267" authorId="0" shapeId="0">
      <text>
        <t>estimado, sin verificar contra la fuente</t>
      </text>
    </comment>
    <comment ref="I268" authorId="0" shapeId="0">
      <text>
        <t>$10. GRATIS todos los jueves.</t>
      </text>
    </comment>
    <comment ref="U268" authorId="0" shapeId="0">
      <text>
        <t>En la lista de Google figura como: Wave Hill Public Garden &amp; Cultural Center
(coincide con lo que habíamos propuesto nosotros)</t>
      </text>
    </comment>
    <comment ref="U285" authorId="0" shapeId="0">
      <text>
        <t>En la lista de Google figura como: Washington Square Park
(coincide con lo que habíamos propuesto nosotros)</t>
      </text>
    </comment>
    <comment ref="U286" authorId="0" shapeId="0">
      <text>
        <t>En la lista de Google figura como: High Line
(coincide con lo que habíamos propuesto nosotros)</t>
      </text>
    </comment>
    <comment ref="I287" authorId="0" shapeId="0">
      <text>
        <t>Grounds pass desde ~$80 segun sesion</t>
      </text>
    </comment>
    <comment ref="I288" authorId="0" shapeId="0">
      <text>
        <t>GRATIS, sin reserva</t>
      </text>
    </comment>
    <comment ref="I289" authorId="0" shapeId="0">
      <text>
        <t>GRATIS, sin reserva</t>
      </text>
    </comment>
    <comment ref="I290" authorId="0" shapeId="0">
      <text>
        <t>GRATIS</t>
      </text>
    </comment>
    <comment ref="I291" authorId="0" shapeId="0">
      <text>
        <t>precios no publicados aun - VERIFICAR en wiadcacarnival.org</t>
      </text>
    </comment>
    <comment ref="I294" authorId="0" shapeId="0">
      <text>
        <t>precio no publicado - consultar green-wood.com</t>
      </text>
    </comment>
    <comment ref="I295" authorId="0" shapeId="0">
      <text>
        <t>Promedio real pagado $112. LOTERIA $10 (HamiltonMusical.com, cierra jueves 12h de la semana previa).</t>
      </text>
    </comment>
    <comment ref="I296" authorId="0" shapeId="0">
      <text>
        <t>Promedio real pagado $59. LOTERIA $20.64 (Telecharge, cierra 15h del dia previo). Rush $49.</t>
      </text>
    </comment>
    <comment ref="I297" authorId="0" shapeId="0">
      <text>
        <t>Loteria LuckySeat $49. Funciones de cierre suelen encarecerse.</t>
      </text>
    </comment>
    <comment ref="I298" authorId="0" shapeId="0">
      <text>
        <t>Promedio real $63. Rush $49 en boleteria a las 10h. TKTS ~40% off.</t>
      </text>
    </comment>
    <comment ref="I299" authorId="0" shapeId="0">
      <text>
        <t>Loteria digital $40 (Telecharge, sorteos 10h y 15h)</t>
      </text>
    </comment>
    <comment ref="I300" authorId="0" shapeId="0">
      <text>
        <t>Desde ~$76-100 segun funcion. Alternativas de play esa semana: Harry Potter and the Cursed Child (Lyric), Paranormal Activity (August Wilson), The Imaginary Invalid (Roundabout).</t>
      </text>
    </comment>
    <comment ref="I301" authorId="0" shapeId="0">
      <text>
        <t>Hasta 50% off (tipico 40%) + $8 de fee por ticket. Max 6 por persona.</t>
      </text>
    </comment>
    <comment ref="U301" authorId="0" shapeId="0">
      <text>
        <t>En la lista de Google figura como: TKTS Lincoln Center
(coincide con lo que habíamos propuesto nosotros)</t>
      </text>
    </comment>
    <comment ref="U303" authorId="0" shapeId="0">
      <text>
        <t>En la lista de Google figura como: Ink 48 Hotel
(coincide con lo que habíamos propuesto nosotros)</t>
      </text>
    </comment>
    <comment ref="U304" authorId="0" shapeId="0">
      <text>
        <t>En la lista de Google figura como: Hotel Beacon
(coincide con lo que habíamos propuesto nosotros)</t>
      </text>
    </comment>
    <comment ref="U306"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ll%27s%20Kitchen%20Flea%20Market%2C%20W%2039th%20St%20entre%209th%20y%2010th%20Ave%2C%20New%20York" TargetMode="External" Id="rId255" /><Relationship Type="http://schemas.openxmlformats.org/officeDocument/2006/relationships/hyperlink" Target="https://www.google.com/maps/search/?api=1&amp;query=Housing%20Works%20Bookstore%2C%20126%20Crosby%20St%2C%20New%20York" TargetMode="External" Id="rId256" /><Relationship Type="http://schemas.openxmlformats.org/officeDocument/2006/relationships/hyperlink" Target="https://www.google.com/maps/search/?api=1&amp;query=Louis%20Vuitton%2C%201%20E%2057th%20St%2C%20New%20York" TargetMode="External" Id="rId257" /><Relationship Type="http://schemas.openxmlformats.org/officeDocument/2006/relationships/hyperlink" Target="https://www.google.com/maps/search/?api=1&amp;query=M%26M%27S%20World%20New%20York%2C%201600%20Broadway%2C%20New%20York" TargetMode="External" Id="rId258" /><Relationship Type="http://schemas.openxmlformats.org/officeDocument/2006/relationships/hyperlink" Target="https://www.google.com/maps/search/?api=1&amp;query=McNally%20Jackson%20Books%2C%20134%20Prince%20St%2C%20New%20York" TargetMode="External" Id="rId259" /><Relationship Type="http://schemas.openxmlformats.org/officeDocument/2006/relationships/hyperlink" Target="https://www.google.com/maps/search/?api=1&amp;query=The%20Mills%20at%20Jersey%20Gardens%2C%20651%20Kapkowski%20Rd%2C%20Elizabeth%2C%20NJ%2C%20New%20York" TargetMode="External" Id="rId260" /><Relationship Type="http://schemas.openxmlformats.org/officeDocument/2006/relationships/hyperlink" Target="https://www.google.com/maps/search/?api=1&amp;query=Green-Wood%20Cemetery%2C%20500%2025th%20St%2C%20Brooklyn%2C%20New%20York" TargetMode="External" Id="rId261" /><Relationship Type="http://schemas.openxmlformats.org/officeDocument/2006/relationships/hyperlink" Target="https://www.google.com/maps/search/?api=1&amp;query=Inwood%20Hill%20Park%2C%20Inwood%20Hill%20Park%2C%20Manhattan%2C%20New%20York" TargetMode="External" Id="rId262" /><Relationship Type="http://schemas.openxmlformats.org/officeDocument/2006/relationships/hyperlink" Target="https://www.google.com/maps/search/?api=1&amp;query=New%20York%20Botanical%20Garden%2C%202900%20Southern%20Blvd%2C%20Bronx%2C%20New%20York" TargetMode="External" Id="rId263" /><Relationship Type="http://schemas.openxmlformats.org/officeDocument/2006/relationships/hyperlink" Target="https://www.google.com/maps/search/?api=1&amp;query=Wave%20Hill%2C%204900%20Independence%20Ave%2C%20Bronx%2C%20New%20York" TargetMode="External" Id="rId264" /><Relationship Type="http://schemas.openxmlformats.org/officeDocument/2006/relationships/hyperlink" Target="https://www.google.com/maps/search/?api=1&amp;query=Elizabeth%20Street%20Garden%2C%20Elizabeth%20St%20entre%20Prince%20y%20Spring%2C%20New%20York" TargetMode="External" Id="rId265" /><Relationship Type="http://schemas.openxmlformats.org/officeDocument/2006/relationships/hyperlink" Target="https://www.google.com/maps/search/?api=1&amp;query=Socrates%20Sculpture%20Park%2C%2032-01%20Vernon%20Blvd%2C%20LIC%2C%20New%20York" TargetMode="External" Id="rId266" /><Relationship Type="http://schemas.openxmlformats.org/officeDocument/2006/relationships/hyperlink" Target="https://www.google.com/maps/search/?api=1&amp;query=Astoria%20Park%2C%2019th%20St%20%26%2023rd%20Ave%2C%20Astoria%2C%20New%20York" TargetMode="External" Id="rId267" /><Relationship Type="http://schemas.openxmlformats.org/officeDocument/2006/relationships/hyperlink" Target="https://www.google.com/maps/search/?api=1&amp;query=Battery%20Park%2C%20New%20York" TargetMode="External" Id="rId268" /><Relationship Type="http://schemas.openxmlformats.org/officeDocument/2006/relationships/hyperlink" Target="https://www.google.com/maps/search/?api=1&amp;query=Brooklyn%20Bridge%20Park%2C%20334%20Furman%20St%2C%20Brooklyn%2C%20New%20York" TargetMode="External" Id="rId269" /><Relationship Type="http://schemas.openxmlformats.org/officeDocument/2006/relationships/hyperlink" Target="https://www.google.com/maps/search/?api=1&amp;query=Bryant%20Park%2C%20Bryant%20Park%2C%20New%20York%2C%20New%20York" TargetMode="External" Id="rId270" /><Relationship Type="http://schemas.openxmlformats.org/officeDocument/2006/relationships/hyperlink" Target="https://www.google.com/maps/search/?api=1&amp;query=Carl%20Schurz%20Park%2C%20East%20End%20Ave%20y%20E%2086th%20St%2C%20New%20York" TargetMode="External" Id="rId271" /><Relationship Type="http://schemas.openxmlformats.org/officeDocument/2006/relationships/hyperlink" Target="https://www.google.com/maps/search/?api=1&amp;query=Central%20Park%2C%20Central%20Park%2C%20New%20York%2C%20New%20York" TargetMode="External" Id="rId272" /><Relationship Type="http://schemas.openxmlformats.org/officeDocument/2006/relationships/hyperlink" Target="https://www.google.com/maps/search/?api=1&amp;query=Clinton%20Community%20Garden%2C%20434%20W%2048th%20St%2C%20New%20York" TargetMode="External" Id="rId273" /><Relationship Type="http://schemas.openxmlformats.org/officeDocument/2006/relationships/hyperlink" Target="https://www.google.com/maps/search/?api=1&amp;query=Columbus%20Park%2C%20Columbus%20Park%2C%20Baxter%20St%2C%20New%20York" TargetMode="External" Id="rId274" /><Relationship Type="http://schemas.openxmlformats.org/officeDocument/2006/relationships/hyperlink" Target="https://www.google.com/maps/search/?api=1&amp;query=Greenacre%20Park%2C%20217%20E%2051st%20St%2C%20New%20York" TargetMode="External" Id="rId275" /><Relationship Type="http://schemas.openxmlformats.org/officeDocument/2006/relationships/hyperlink" Target="https://www.google.com/maps/search/?api=1&amp;query=Hudson%20River%20Park%20Pier%2084%2C%20W%2044th%20St%20y%2012th%20Ave%2C%20New%20York" TargetMode="External" Id="rId276" /><Relationship Type="http://schemas.openxmlformats.org/officeDocument/2006/relationships/hyperlink" Target="https://www.google.com/maps/search/?api=1&amp;query=Paley%20Park%2C%203%20E%2053rd%20St%2C%20New%20York" TargetMode="External" Id="rId277" /><Relationship Type="http://schemas.openxmlformats.org/officeDocument/2006/relationships/hyperlink" Target="https://www.google.com/maps/search/?api=1&amp;query=Prospect%20Park%2C%20New%20York" TargetMode="External" Id="rId278" /><Relationship Type="http://schemas.openxmlformats.org/officeDocument/2006/relationships/hyperlink" Target="https://www.google.com/maps/search/?api=1&amp;query=Straus%20Park%2C%20Broadway%20%26%20W%20106th%20St%2C%20New%20York" TargetMode="External" Id="rId279" /><Relationship Type="http://schemas.openxmlformats.org/officeDocument/2006/relationships/hyperlink" Target="https://www.google.com/maps/search/?api=1&amp;query=Tudor%20City%20Greens%2C%20Tudor%20City%20Pl%2C%20New%20York" TargetMode="External" Id="rId280" /><Relationship Type="http://schemas.openxmlformats.org/officeDocument/2006/relationships/hyperlink" Target="https://www.google.com/maps/search/?api=1&amp;query=Washington%20Square%20Park%2C%20Washington%20Square%20Park%2C%20New%20York" TargetMode="External" Id="rId281" /><Relationship Type="http://schemas.openxmlformats.org/officeDocument/2006/relationships/hyperlink" Target="https://www.google.com/maps/search/?api=1&amp;query=The%20High%20Line%2C%20High%20Line%2C%20Gansevoort%20St%20a%20W%2034th%20St%2C%20New%20York" TargetMode="External" Id="rId282" /><Relationship Type="http://schemas.openxmlformats.org/officeDocument/2006/relationships/hyperlink" Target="https://www.google.com/maps/search/?api=1&amp;query=US%20Open%20%28primeras%20rondas%29%2C%20USTA%20Billie%20Jean%20King%20NTC%2C%20Flushing%2C%20New%20York" TargetMode="External" Id="rId283" /><Relationship Type="http://schemas.openxmlformats.org/officeDocument/2006/relationships/hyperlink" Target="https://www.google.com/maps/search/?api=1&amp;query=Charlie%20Parker%20Jazz%20Festival%20-%20East%20Village%2C%20Tompkins%20Square%20Park%2C%20New%20York" TargetMode="External" Id="rId284" /><Relationship Type="http://schemas.openxmlformats.org/officeDocument/2006/relationships/hyperlink" Target="https://www.google.com/maps/search/?api=1&amp;query=Charlie%20Parker%20Jazz%20Festival%20-%20Harlem%2C%20Marcus%20Garvey%20Park%2C%20Harlem%2C%20New%20York" TargetMode="External" Id="rId285" /><Relationship Type="http://schemas.openxmlformats.org/officeDocument/2006/relationships/hyperlink" Target="https://www.google.com/maps/search/?api=1&amp;query=SummerStage%3A%20Christian%20McBride%20%28gratis%29%2C%20Rumsey%20Playfield%2C%20Central%20Park%2C%20New%20York" TargetMode="External" Id="rId286" /><Relationship Type="http://schemas.openxmlformats.org/officeDocument/2006/relationships/hyperlink" Target="https://www.google.com/maps/search/?api=1&amp;query=NY%20Caribbean%20Carnival%20Week%20%28Panorama%29%2C%20Brooklyn%20Museum%2C%20200%20Eastern%20Pkwy%2C%20New%20York" TargetMode="External" Id="rId287" /><Relationship Type="http://schemas.openxmlformats.org/officeDocument/2006/relationships/hyperlink" Target="https://www.google.com/maps/search/?api=1&amp;query=Paint%20%27N%20Pour%2C%20New%20York" TargetMode="External" Id="rId288" /><Relationship Type="http://schemas.openxmlformats.org/officeDocument/2006/relationships/hyperlink" Target="https://www.google.com/maps/search/?api=1&amp;query=Time%20To%20Paint%20-%20Painting%20Studio%2C%20New%20York" TargetMode="External" Id="rId289" /><Relationship Type="http://schemas.openxmlformats.org/officeDocument/2006/relationships/hyperlink" Target="https://www.google.com/maps/search/?api=1&amp;query=Green-Wood%20Discover%20Trolley%20Tour%2C%20500%2025th%20St%2C%20Brooklyn%2C%20New%20York" TargetMode="External" Id="rId290" /><Relationship Type="http://schemas.openxmlformats.org/officeDocument/2006/relationships/hyperlink" Target="https://www.google.com/maps/search/?api=1&amp;query=Hamilton%2C%20Richard%20Rodgers%20Theatre%2C%20226%20W%2046th%20St%2C%20New%20York" TargetMode="External" Id="rId291" /><Relationship Type="http://schemas.openxmlformats.org/officeDocument/2006/relationships/hyperlink" Target="https://www.google.com/maps/search/?api=1&amp;query=Maybe%20Happy%20Ending%2C%20Belasco%20Theatre%2C%20111%20W%2044th%20St%2C%20New%20York" TargetMode="External" Id="rId292" /><Relationship Type="http://schemas.openxmlformats.org/officeDocument/2006/relationships/hyperlink" Target="https://www.google.com/maps/search/?api=1&amp;query=Moulin%20Rouge%21%20%28ULTIMAS%20FUNCIONES%29%2C%20Al%20Hirschfeld%20Theatre%2C%20302%20W%2045th%20St%2C%20New%20York" TargetMode="External" Id="rId293" /><Relationship Type="http://schemas.openxmlformats.org/officeDocument/2006/relationships/hyperlink" Target="https://www.google.com/maps/search/?api=1&amp;query=Operation%20Mincemeat%2C%20John%20Golden%20Theatre%2C%20252%20W%2045th%20St%2C%20New%20York" TargetMode="External" Id="rId294" /><Relationship Type="http://schemas.openxmlformats.org/officeDocument/2006/relationships/hyperlink" Target="https://www.google.com/maps/search/?api=1&amp;query=Little%20Shop%20of%20Horrors%20%28Off-Broadway%29%2C%20Westside%20Theatre%2C%20407%20W%2043rd%20St%2C%20New%20York" TargetMode="External" Id="rId295" /><Relationship Type="http://schemas.openxmlformats.org/officeDocument/2006/relationships/hyperlink" Target="https://www.google.com/maps/search/?api=1&amp;query=Stranger%20Things%3A%20The%20First%20Shadow%20%28play%29%2C%20Marquis%20Theatre%2C%20210%20W%2046th%20St%2C%20New%20York" TargetMode="External" Id="rId296" /><Relationship Type="http://schemas.openxmlformats.org/officeDocument/2006/relationships/hyperlink" Target="https://www.google.com/maps/search/?api=1&amp;query=TKTS%20Lincoln%20Center%2C%2061%20W%2062nd%20St%2C%20New%20York" TargetMode="External" Id="rId297" /><Relationship Type="http://schemas.openxmlformats.org/officeDocument/2006/relationships/hyperlink" Target="https://www.google.com/maps/search/?api=1&amp;query=NYC%20Ferry%20DUMBO%20%E2%86%92%20Wall%20St%2C%20New%20York" TargetMode="External" Id="rId298" /><Relationship Type="http://schemas.openxmlformats.org/officeDocument/2006/relationships/hyperlink" Target="https://www.google.com/maps/search/?api=1&amp;query=Hotel%20Ink48%20%2829-31%20ago%29%2C%20653%2011th%20Ave%2C%20New%20York" TargetMode="External" Id="rId299" /><Relationship Type="http://schemas.openxmlformats.org/officeDocument/2006/relationships/hyperlink" Target="https://www.google.com/maps/search/?api=1&amp;query=Hotel%20The%20Beacon%20%283-6%20sep%29%2C%202130%20Broadway%2C%20New%20York" TargetMode="External" Id="rId300" /><Relationship Type="http://schemas.openxmlformats.org/officeDocument/2006/relationships/hyperlink" Target="https://www.google.com/maps/search/?api=1&amp;query=JGSTAY%20SoHo%20%28JP%3A%2031%20ago-2%20sep%29%2C%20120%20Lafayette%20St%2C%20NY%2010013%2C%20New%20York" TargetMode="External" Id="rId301"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6"/>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Hell's Kitchen Flea Market</t>
        </is>
      </c>
      <c r="B259" s="10" t="inlineStr">
        <is>
          <t>Tienda con historia</t>
        </is>
      </c>
      <c r="C259" s="11" t="inlineStr">
        <is>
          <t>Arquitectura</t>
        </is>
      </c>
      <c r="D259" s="11" t="inlineStr">
        <is>
          <t>Hell's Kitchen</t>
        </is>
      </c>
      <c r="E259" s="11" t="inlineStr">
        <is>
          <t>Manhattan</t>
        </is>
      </c>
      <c r="F259" s="12" t="n">
        <v>1</v>
      </c>
      <c r="G259" s="12" t="n">
        <v>1</v>
      </c>
      <c r="H259" s="13">
        <f>IF(AND(F259=2,G259=2),"AMBOS",IF(AND(F259=2,G259&lt;2),"solo JP",IF(AND(F259&lt;2,G259=2),"solo Thais","-")))</f>
        <v/>
      </c>
      <c r="I259" s="14" t="n">
        <v>0</v>
      </c>
      <c r="J259" s="15" t="n">
        <v>0.8</v>
      </c>
      <c r="K259" s="13" t="inlineStr">
        <is>
          <t>no</t>
        </is>
      </c>
      <c r="L259" s="16" t="inlineStr">
        <is>
          <t>—</t>
        </is>
      </c>
      <c r="M259" s="11" t="inlineStr">
        <is>
          <t>—</t>
        </is>
      </c>
      <c r="N259" s="16" t="inlineStr">
        <is>
          <t>—</t>
        </is>
      </c>
      <c r="O259" s="16" t="inlineStr">
        <is>
          <t>—</t>
        </is>
      </c>
      <c r="P259" s="16" t="inlineStr">
        <is>
          <t>42 St-Port Authority (A,C,E)</t>
        </is>
      </c>
      <c r="Q259" s="16" t="inlineStr">
        <is>
          <t>Feria de antiguedades al aire libre, sabados y domingos. Vinilos, camaras y cosas que no vas a encontrar en otro lado.</t>
        </is>
      </c>
      <c r="R259" s="16" t="inlineStr">
        <is>
          <t>W 39th St entre 9th y 10th Ave</t>
        </is>
      </c>
      <c r="S259" s="16" t="inlineStr">
        <is>
          <t>—</t>
        </is>
      </c>
      <c r="T259" s="18" t="inlineStr">
        <is>
          <t>Abrir ↗</t>
        </is>
      </c>
      <c r="U259" s="21" t="inlineStr">
        <is>
          <t>otros</t>
        </is>
      </c>
      <c r="V259" s="20" t="inlineStr"/>
    </row>
    <row r="260" ht="46" customHeight="1">
      <c r="A260" s="9" t="inlineStr">
        <is>
          <t>Housing Works Bookstore</t>
        </is>
      </c>
      <c r="B260" s="10" t="inlineStr">
        <is>
          <t>Tienda con historia</t>
        </is>
      </c>
      <c r="C260" s="11" t="inlineStr">
        <is>
          <t>Arquitectura</t>
        </is>
      </c>
      <c r="D260" s="11" t="inlineStr">
        <is>
          <t>SoHo</t>
        </is>
      </c>
      <c r="E260" s="11" t="inlineStr">
        <is>
          <t>Manhattan</t>
        </is>
      </c>
      <c r="F260" s="12" t="n">
        <v>1</v>
      </c>
      <c r="G260" s="12" t="n">
        <v>1</v>
      </c>
      <c r="H260" s="13">
        <f>IF(AND(F260=2,G260=2),"AMBOS",IF(AND(F260=2,G260&lt;2),"solo JP",IF(AND(F260&lt;2,G260=2),"solo Thais","-")))</f>
        <v/>
      </c>
      <c r="I260" s="14" t="n">
        <v>0</v>
      </c>
      <c r="J260" s="15" t="n">
        <v>0.6</v>
      </c>
      <c r="K260" s="13" t="inlineStr">
        <is>
          <t>no</t>
        </is>
      </c>
      <c r="L260" s="16" t="inlineStr">
        <is>
          <t>—</t>
        </is>
      </c>
      <c r="M260" s="11" t="inlineStr">
        <is>
          <t>—</t>
        </is>
      </c>
      <c r="N260" s="16" t="inlineStr">
        <is>
          <t>—</t>
        </is>
      </c>
      <c r="O260" s="16" t="inlineStr">
        <is>
          <t>—</t>
        </is>
      </c>
      <c r="P260" s="16" t="inlineStr">
        <is>
          <t>Spring St (6)</t>
        </is>
      </c>
      <c r="Q260" s="16" t="inlineStr">
        <is>
          <t>Librería de dos pisos con café: todo lo donado y toda la ganancia va a personas con VIH sin hogar.</t>
        </is>
      </c>
      <c r="R260" s="16" t="inlineStr">
        <is>
          <t>126 Crosby St</t>
        </is>
      </c>
      <c r="S260" s="16" t="inlineStr">
        <is>
          <t>—</t>
        </is>
      </c>
      <c r="T260" s="18" t="inlineStr">
        <is>
          <t>Abrir ↗</t>
        </is>
      </c>
      <c r="U260" s="19" t="inlineStr">
        <is>
          <t>lista google</t>
        </is>
      </c>
      <c r="V260" s="20" t="inlineStr"/>
    </row>
    <row r="261" ht="46" customHeight="1">
      <c r="A261" s="9" t="inlineStr">
        <is>
          <t>Louis Vuitton</t>
        </is>
      </c>
      <c r="B261" s="10" t="inlineStr">
        <is>
          <t>Tienda con historia</t>
        </is>
      </c>
      <c r="C261" s="11" t="inlineStr">
        <is>
          <t>Arquitectura</t>
        </is>
      </c>
      <c r="D261" s="11" t="inlineStr">
        <is>
          <t>Midtown</t>
        </is>
      </c>
      <c r="E261" s="11" t="inlineStr">
        <is>
          <t>Manhattan</t>
        </is>
      </c>
      <c r="F261" s="12" t="n">
        <v>1</v>
      </c>
      <c r="G261" s="12" t="n">
        <v>2</v>
      </c>
      <c r="H261" s="13">
        <f>IF(AND(F261=2,G261=2),"AMBOS",IF(AND(F261=2,G261&lt;2),"solo JP",IF(AND(F261&lt;2,G261=2),"solo Thais","-")))</f>
        <v/>
      </c>
      <c r="I261" s="14" t="n">
        <v>0</v>
      </c>
      <c r="J261" s="15" t="n">
        <v>0.5</v>
      </c>
      <c r="K261" s="13" t="inlineStr">
        <is>
          <t>SÍ</t>
        </is>
      </c>
      <c r="L261" s="16" t="inlineStr">
        <is>
          <t>—</t>
        </is>
      </c>
      <c r="M261" s="11" t="inlineStr">
        <is>
          <t>—</t>
        </is>
      </c>
      <c r="N261" s="16" t="inlineStr">
        <is>
          <t>—</t>
        </is>
      </c>
      <c r="O261" s="16" t="inlineStr">
        <is>
          <t>—</t>
        </is>
      </c>
      <c r="P261" s="16" t="inlineStr">
        <is>
          <t>5 Av/53 St (E,M)</t>
        </is>
      </c>
      <c r="Q261" s="16" t="inlineStr">
        <is>
          <t>Flagship de la Quinta. En la lista de Google, presumiblemente para compras.</t>
        </is>
      </c>
      <c r="R261" s="16" t="inlineStr">
        <is>
          <t>1 E 57th St</t>
        </is>
      </c>
      <c r="S261" s="16" t="inlineStr">
        <is>
          <t>—</t>
        </is>
      </c>
      <c r="T261" s="18" t="inlineStr">
        <is>
          <t>Abrir ↗</t>
        </is>
      </c>
      <c r="U261" s="19" t="inlineStr">
        <is>
          <t>lista google</t>
        </is>
      </c>
      <c r="V261" s="20" t="inlineStr"/>
    </row>
    <row r="262" ht="46" customHeight="1">
      <c r="A262" s="9" t="inlineStr">
        <is>
          <t>M&amp;M'S World New York</t>
        </is>
      </c>
      <c r="B262" s="10" t="inlineStr">
        <is>
          <t>Tienda con historia</t>
        </is>
      </c>
      <c r="C262" s="11" t="inlineStr">
        <is>
          <t>Arquitectura</t>
        </is>
      </c>
      <c r="D262" s="11" t="inlineStr">
        <is>
          <t>Times Square</t>
        </is>
      </c>
      <c r="E262" s="11" t="inlineStr">
        <is>
          <t>Manhattan</t>
        </is>
      </c>
      <c r="F262" s="12" t="n">
        <v>1</v>
      </c>
      <c r="G262" s="12" t="n">
        <v>1</v>
      </c>
      <c r="H262" s="13">
        <f>IF(AND(F262=2,G262=2),"AMBOS",IF(AND(F262=2,G262&lt;2),"solo JP",IF(AND(F262&lt;2,G262=2),"solo Thais","-")))</f>
        <v/>
      </c>
      <c r="I262" s="14" t="n">
        <v>0</v>
      </c>
      <c r="J262" s="15" t="n">
        <v>0.5</v>
      </c>
      <c r="K262" s="13" t="inlineStr">
        <is>
          <t>SÍ</t>
        </is>
      </c>
      <c r="L262" s="16" t="inlineStr">
        <is>
          <t>—</t>
        </is>
      </c>
      <c r="M262" s="11" t="inlineStr">
        <is>
          <t>—</t>
        </is>
      </c>
      <c r="N262" s="16" t="inlineStr">
        <is>
          <t>—</t>
        </is>
      </c>
      <c r="O262" s="16" t="inlineStr">
        <is>
          <t>—</t>
        </is>
      </c>
      <c r="P262" s="16" t="inlineStr">
        <is>
          <t>42 St-Times Sq</t>
        </is>
      </c>
      <c r="Q262" s="16" t="inlineStr">
        <is>
          <t>Tres pisos de merchandising en Times Square. Es lo que promete, ni más ni menos.</t>
        </is>
      </c>
      <c r="R262" s="16" t="inlineStr">
        <is>
          <t>1600 Broadway</t>
        </is>
      </c>
      <c r="S262" s="16" t="inlineStr">
        <is>
          <t>—</t>
        </is>
      </c>
      <c r="T262" s="18" t="inlineStr">
        <is>
          <t>Abrir ↗</t>
        </is>
      </c>
      <c r="U262" s="19" t="inlineStr">
        <is>
          <t>lista google</t>
        </is>
      </c>
      <c r="V262" s="20" t="inlineStr"/>
    </row>
    <row r="263" ht="46" customHeight="1">
      <c r="A263" s="9" t="inlineStr">
        <is>
          <t>McNally Jackson Books</t>
        </is>
      </c>
      <c r="B263" s="10" t="inlineStr">
        <is>
          <t>Tienda con historia</t>
        </is>
      </c>
      <c r="C263" s="11" t="inlineStr">
        <is>
          <t>Arquitectura</t>
        </is>
      </c>
      <c r="D263" s="11" t="inlineStr">
        <is>
          <t>SoHo</t>
        </is>
      </c>
      <c r="E263" s="11" t="inlineStr">
        <is>
          <t>Manhattan</t>
        </is>
      </c>
      <c r="F263" s="12" t="n">
        <v>1</v>
      </c>
      <c r="G263" s="12" t="n">
        <v>1</v>
      </c>
      <c r="H263" s="13">
        <f>IF(AND(F263=2,G263=2),"AMBOS",IF(AND(F263=2,G263&lt;2),"solo JP",IF(AND(F263&lt;2,G263=2),"solo Thais","-")))</f>
        <v/>
      </c>
      <c r="I263" s="14" t="n">
        <v>0</v>
      </c>
      <c r="J263" s="15" t="n">
        <v>0.5</v>
      </c>
      <c r="K263" s="13" t="inlineStr">
        <is>
          <t>no</t>
        </is>
      </c>
      <c r="L263" s="16" t="inlineStr">
        <is>
          <t>—</t>
        </is>
      </c>
      <c r="M263" s="11" t="inlineStr">
        <is>
          <t>—</t>
        </is>
      </c>
      <c r="N263" s="16" t="inlineStr">
        <is>
          <t>—</t>
        </is>
      </c>
      <c r="O263" s="16" t="inlineStr">
        <is>
          <t>—</t>
        </is>
      </c>
      <c r="P263" s="16" t="inlineStr">
        <is>
          <t>Prince St (N,R,W)</t>
        </is>
      </c>
      <c r="Q263" s="16" t="inlineStr">
        <is>
          <t>La libreria independiente que definio el SoHo literario: mesas curadas a mano y una seccion de traduccion que no tiene nadie.</t>
        </is>
      </c>
      <c r="R263" s="16" t="inlineStr">
        <is>
          <t>134 Prince St</t>
        </is>
      </c>
      <c r="S263" s="16" t="inlineStr">
        <is>
          <t>—</t>
        </is>
      </c>
      <c r="T263" s="18" t="inlineStr">
        <is>
          <t>Abrir ↗</t>
        </is>
      </c>
      <c r="U263" s="21" t="inlineStr">
        <is>
          <t>otros</t>
        </is>
      </c>
      <c r="V263" s="20" t="inlineStr"/>
    </row>
    <row r="264" ht="46" customHeight="1">
      <c r="A264" s="9" t="inlineStr">
        <is>
          <t>The Mills at Jersey Gardens</t>
        </is>
      </c>
      <c r="B264" s="10" t="inlineStr">
        <is>
          <t>Tienda con historia</t>
        </is>
      </c>
      <c r="C264" s="11" t="inlineStr">
        <is>
          <t>Arquitectura</t>
        </is>
      </c>
      <c r="D264" s="11" t="inlineStr">
        <is>
          <t>Elizabeth</t>
        </is>
      </c>
      <c r="E264" s="11" t="inlineStr">
        <is>
          <t>New Jersey</t>
        </is>
      </c>
      <c r="F264" s="12" t="n">
        <v>1</v>
      </c>
      <c r="G264" s="12" t="n">
        <v>1</v>
      </c>
      <c r="H264" s="13">
        <f>IF(AND(F264=2,G264=2),"AMBOS",IF(AND(F264=2,G264&lt;2),"solo JP",IF(AND(F264&lt;2,G264=2),"solo Thais","-")))</f>
        <v/>
      </c>
      <c r="I264" s="14" t="n">
        <v>0</v>
      </c>
      <c r="J264" s="15" t="n">
        <v>3</v>
      </c>
      <c r="K264" s="13" t="inlineStr">
        <is>
          <t>no</t>
        </is>
      </c>
      <c r="L264" s="16" t="inlineStr">
        <is>
          <t>—</t>
        </is>
      </c>
      <c r="M264" s="11" t="inlineStr">
        <is>
          <t>—</t>
        </is>
      </c>
      <c r="N264" s="16" t="inlineStr">
        <is>
          <t>—</t>
        </is>
      </c>
      <c r="O264" s="16" t="inlineStr">
        <is>
          <t>—</t>
        </is>
      </c>
      <c r="P264" s="16" t="inlineStr">
        <is>
          <t>NJ Transit bus 40 o shuttle desde EWR</t>
        </is>
      </c>
      <c r="Q264"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4" s="16" t="inlineStr">
        <is>
          <t>651 Kapkowski Rd, Elizabeth, NJ</t>
        </is>
      </c>
      <c r="S264" s="16" t="inlineStr">
        <is>
          <t>—</t>
        </is>
      </c>
      <c r="T264" s="18" t="inlineStr">
        <is>
          <t>Abrir ↗</t>
        </is>
      </c>
      <c r="U264" s="21" t="inlineStr">
        <is>
          <t>otros</t>
        </is>
      </c>
      <c r="V264" s="20" t="inlineStr"/>
    </row>
    <row r="265" ht="46" customHeight="1">
      <c r="A265" s="9" t="inlineStr">
        <is>
          <t>Green-Wood Cemetery</t>
        </is>
      </c>
      <c r="B265" s="10" t="inlineStr">
        <is>
          <t>Cementerio-jardín</t>
        </is>
      </c>
      <c r="C265" s="11" t="inlineStr">
        <is>
          <t>Parque</t>
        </is>
      </c>
      <c r="D265" s="11" t="inlineStr">
        <is>
          <t>Greenwood Heights</t>
        </is>
      </c>
      <c r="E265" s="11" t="inlineStr">
        <is>
          <t>Brooklyn</t>
        </is>
      </c>
      <c r="F265" s="12" t="n">
        <v>0</v>
      </c>
      <c r="G265" s="12" t="n">
        <v>0</v>
      </c>
      <c r="H265" s="13">
        <f>IF(AND(F265=2,G265=2),"AMBOS",IF(AND(F265=2,G265&lt;2),"solo JP",IF(AND(F265&lt;2,G265=2),"solo Thais","-")))</f>
        <v/>
      </c>
      <c r="I265" s="14" t="n">
        <v>0</v>
      </c>
      <c r="J265" s="15" t="n">
        <v>2.5</v>
      </c>
      <c r="K265" s="13" t="inlineStr">
        <is>
          <t>no</t>
        </is>
      </c>
      <c r="L265" s="16" t="inlineStr">
        <is>
          <t>—</t>
        </is>
      </c>
      <c r="M265" s="11" t="inlineStr">
        <is>
          <t>—</t>
        </is>
      </c>
      <c r="N265" s="16" t="inlineStr">
        <is>
          <t>—</t>
        </is>
      </c>
      <c r="O265" s="16" t="inlineStr">
        <is>
          <t>—</t>
        </is>
      </c>
      <c r="P265" s="16" t="inlineStr">
        <is>
          <t>25 St (R)</t>
        </is>
      </c>
      <c r="Q265" s="16" t="inlineStr">
        <is>
          <t>190 hectareas de cementerio-jardin victoriano de 1838, con la colina mas alta de Brooklyn y vista de Manhattan. Hay guia gratuita en la app Bloomberg Connects. Es un parque enorme donde no hay nadie.</t>
        </is>
      </c>
      <c r="R265" s="16" t="inlineStr">
        <is>
          <t>500 25th St, Brooklyn</t>
        </is>
      </c>
      <c r="S265" s="16" t="inlineStr">
        <is>
          <t>—</t>
        </is>
      </c>
      <c r="T265" s="18" t="inlineStr">
        <is>
          <t>Abrir ↗</t>
        </is>
      </c>
      <c r="U265" s="21" t="inlineStr">
        <is>
          <t>otros</t>
        </is>
      </c>
      <c r="V265" s="20" t="inlineStr"/>
    </row>
    <row r="266" ht="46" customHeight="1">
      <c r="A266" s="9" t="inlineStr">
        <is>
          <t>Inwood Hill Park</t>
        </is>
      </c>
      <c r="B266" s="10" t="inlineStr">
        <is>
          <t>Naturaleza</t>
        </is>
      </c>
      <c r="C266" s="11" t="inlineStr">
        <is>
          <t>Parque</t>
        </is>
      </c>
      <c r="D266" s="11" t="inlineStr">
        <is>
          <t>Inwood</t>
        </is>
      </c>
      <c r="E266" s="11" t="inlineStr">
        <is>
          <t>Manhattan</t>
        </is>
      </c>
      <c r="F266" s="12" t="n">
        <v>1</v>
      </c>
      <c r="G266" s="12" t="n">
        <v>0</v>
      </c>
      <c r="H266" s="13">
        <f>IF(AND(F266=2,G266=2),"AMBOS",IF(AND(F266=2,G266&lt;2),"solo JP",IF(AND(F266&lt;2,G266=2),"solo Thais","-")))</f>
        <v/>
      </c>
      <c r="I266" s="14" t="n">
        <v>0</v>
      </c>
      <c r="J266" s="15" t="n">
        <v>2</v>
      </c>
      <c r="K266" s="13" t="inlineStr">
        <is>
          <t>no</t>
        </is>
      </c>
      <c r="L266" s="16" t="inlineStr">
        <is>
          <t>—</t>
        </is>
      </c>
      <c r="M266" s="11" t="inlineStr">
        <is>
          <t>—</t>
        </is>
      </c>
      <c r="N266" s="16" t="inlineStr">
        <is>
          <t>—</t>
        </is>
      </c>
      <c r="O266" s="16" t="inlineStr">
        <is>
          <t>—</t>
        </is>
      </c>
      <c r="P266" s="16" t="inlineStr">
        <is>
          <t>Dyckman St o 207 St (A)</t>
        </is>
      </c>
      <c r="Q266" s="16" t="inlineStr">
        <is>
          <t>El unico bosque primario que queda en Manhattan, con cuevas de roca usadas por los Lenape y vista del Hudson y los Palisades. Cuesta creer que sea la misma isla.</t>
        </is>
      </c>
      <c r="R266" s="16" t="inlineStr">
        <is>
          <t>Inwood Hill Park, Manhattan</t>
        </is>
      </c>
      <c r="S266" s="16" t="inlineStr">
        <is>
          <t>—</t>
        </is>
      </c>
      <c r="T266" s="18" t="inlineStr">
        <is>
          <t>Abrir ↗</t>
        </is>
      </c>
      <c r="U266" s="21" t="inlineStr">
        <is>
          <t>otros</t>
        </is>
      </c>
      <c r="V266" s="20" t="inlineStr"/>
    </row>
    <row r="267" ht="46" customHeight="1">
      <c r="A267" s="9" t="inlineStr">
        <is>
          <t>New York Botanical Garden</t>
        </is>
      </c>
      <c r="B267" s="10" t="inlineStr">
        <is>
          <t>Naturaleza</t>
        </is>
      </c>
      <c r="C267" s="11" t="inlineStr">
        <is>
          <t>Parque</t>
        </is>
      </c>
      <c r="D267" s="11" t="inlineStr">
        <is>
          <t>Bronx Park</t>
        </is>
      </c>
      <c r="E267" s="11" t="inlineStr">
        <is>
          <t>Bronx</t>
        </is>
      </c>
      <c r="F267" s="12" t="n">
        <v>1</v>
      </c>
      <c r="G267" s="12" t="n">
        <v>1</v>
      </c>
      <c r="H267" s="13">
        <f>IF(AND(F267=2,G267=2),"AMBOS",IF(AND(F267=2,G267&lt;2),"solo JP",IF(AND(F267&lt;2,G267=2),"solo Thais","-")))</f>
        <v/>
      </c>
      <c r="I267" s="14" t="n">
        <v>35</v>
      </c>
      <c r="J267" s="15" t="n">
        <v>3</v>
      </c>
      <c r="K267" s="13" t="inlineStr">
        <is>
          <t>no</t>
        </is>
      </c>
      <c r="L267" s="16" t="inlineStr">
        <is>
          <t>—</t>
        </is>
      </c>
      <c r="M267" s="11" t="inlineStr">
        <is>
          <t>—</t>
        </is>
      </c>
      <c r="N267" s="16" t="inlineStr">
        <is>
          <t>—</t>
        </is>
      </c>
      <c r="O267" s="16" t="inlineStr">
        <is>
          <t>—</t>
        </is>
      </c>
      <c r="P267" s="16" t="inlineStr">
        <is>
          <t>Metro-North a Botanical Garden, o Bx26</t>
        </is>
      </c>
      <c r="Q267" s="16" t="inlineStr">
        <is>
          <t>Un bosque original de 20 hectareas que nunca se talo, mas el invernadero victoriano. A diez cuadras de Arthur Avenue.</t>
        </is>
      </c>
      <c r="R267" s="16" t="inlineStr">
        <is>
          <t>2900 Southern Blvd, Bronx</t>
        </is>
      </c>
      <c r="S267" s="16" t="inlineStr">
        <is>
          <t>—</t>
        </is>
      </c>
      <c r="T267" s="18" t="inlineStr">
        <is>
          <t>Abrir ↗</t>
        </is>
      </c>
      <c r="U267" s="21" t="inlineStr">
        <is>
          <t>otros</t>
        </is>
      </c>
      <c r="V267" s="20" t="inlineStr"/>
    </row>
    <row r="268" ht="46" customHeight="1">
      <c r="A268" s="9" t="inlineStr">
        <is>
          <t>Wave Hill</t>
        </is>
      </c>
      <c r="B268" s="10" t="inlineStr">
        <is>
          <t>Naturaleza</t>
        </is>
      </c>
      <c r="C268" s="11" t="inlineStr">
        <is>
          <t>Parque</t>
        </is>
      </c>
      <c r="D268" s="11" t="inlineStr">
        <is>
          <t>Riverdale</t>
        </is>
      </c>
      <c r="E268" s="11" t="inlineStr">
        <is>
          <t>Bronx</t>
        </is>
      </c>
      <c r="F268" s="12" t="n">
        <v>1</v>
      </c>
      <c r="G268" s="12" t="n">
        <v>1</v>
      </c>
      <c r="H268" s="13">
        <f>IF(AND(F268=2,G268=2),"AMBOS",IF(AND(F268=2,G268&lt;2),"solo JP",IF(AND(F268&lt;2,G268=2),"solo Thais","-")))</f>
        <v/>
      </c>
      <c r="I268" s="14" t="n">
        <v>10</v>
      </c>
      <c r="J268" s="15" t="n">
        <v>2.5</v>
      </c>
      <c r="K268" s="13" t="inlineStr">
        <is>
          <t>no</t>
        </is>
      </c>
      <c r="L268" s="16" t="inlineStr">
        <is>
          <t>—</t>
        </is>
      </c>
      <c r="M268" s="11" t="inlineStr">
        <is>
          <t>lunes</t>
        </is>
      </c>
      <c r="N268" s="16" t="inlineStr">
        <is>
          <t>—</t>
        </is>
      </c>
      <c r="O268" s="16" t="inlineStr">
        <is>
          <t>—</t>
        </is>
      </c>
      <c r="P268" s="16" t="inlineStr">
        <is>
          <t>Metro-North a Riverdale + shuttle</t>
        </is>
      </c>
      <c r="Q268" s="16" t="inlineStr">
        <is>
          <t>Jardin botanico sobre un acantilado del Hudson, con los Palisades enfrente. Es el lugar mas tranquilo de los cinco boroughs.</t>
        </is>
      </c>
      <c r="R268" s="16" t="inlineStr">
        <is>
          <t>4900 Independence Ave, Bronx</t>
        </is>
      </c>
      <c r="S268" s="16" t="inlineStr">
        <is>
          <t>—</t>
        </is>
      </c>
      <c r="T268" s="18" t="inlineStr">
        <is>
          <t>Abrir ↗</t>
        </is>
      </c>
      <c r="U268" s="19" t="inlineStr">
        <is>
          <t>lista google</t>
        </is>
      </c>
      <c r="V268" s="20" t="inlineStr"/>
    </row>
    <row r="269" ht="46" customHeight="1">
      <c r="A269" s="9" t="inlineStr">
        <is>
          <t>Elizabeth Street Garden</t>
        </is>
      </c>
      <c r="B269" s="10" t="inlineStr">
        <is>
          <t>Parque de esculturas</t>
        </is>
      </c>
      <c r="C269" s="11" t="inlineStr">
        <is>
          <t>Parque</t>
        </is>
      </c>
      <c r="D269" s="11" t="inlineStr">
        <is>
          <t>Nolita</t>
        </is>
      </c>
      <c r="E269" s="11" t="inlineStr">
        <is>
          <t>Manhattan</t>
        </is>
      </c>
      <c r="F269" s="12" t="n">
        <v>1</v>
      </c>
      <c r="G269" s="12" t="n">
        <v>1</v>
      </c>
      <c r="H269" s="13">
        <f>IF(AND(F269=2,G269=2),"AMBOS",IF(AND(F269=2,G269&lt;2),"solo JP",IF(AND(F269&lt;2,G269=2),"solo Thais","-")))</f>
        <v/>
      </c>
      <c r="I269" s="14" t="n">
        <v>0</v>
      </c>
      <c r="J269" s="15" t="n">
        <v>0.4</v>
      </c>
      <c r="K269" s="13" t="inlineStr">
        <is>
          <t>no</t>
        </is>
      </c>
      <c r="L269" s="16" t="inlineStr">
        <is>
          <t>—</t>
        </is>
      </c>
      <c r="M269" s="11" t="inlineStr">
        <is>
          <t>—</t>
        </is>
      </c>
      <c r="N269" s="16" t="inlineStr">
        <is>
          <t>—</t>
        </is>
      </c>
      <c r="O269" s="16" t="inlineStr">
        <is>
          <t>—</t>
        </is>
      </c>
      <c r="P269" s="16" t="inlineStr">
        <is>
          <t>Spring St (6)</t>
        </is>
      </c>
      <c r="Q269" s="16" t="inlineStr">
        <is>
          <t>Jardin de esculturas metido entre edificios, con estatuas victorianas entre los yuyos. Gratis y lleno de vecinos, no de turistas.</t>
        </is>
      </c>
      <c r="R269" s="16" t="inlineStr">
        <is>
          <t>Elizabeth St entre Prince y Spring</t>
        </is>
      </c>
      <c r="S269" s="16" t="inlineStr">
        <is>
          <t>—</t>
        </is>
      </c>
      <c r="T269" s="18" t="inlineStr">
        <is>
          <t>Abrir ↗</t>
        </is>
      </c>
      <c r="U269" s="21" t="inlineStr">
        <is>
          <t>otros</t>
        </is>
      </c>
      <c r="V269" s="20" t="inlineStr"/>
    </row>
    <row r="270" ht="46" customHeight="1">
      <c r="A270" s="9" t="inlineStr">
        <is>
          <t>Socrates Sculpture Park</t>
        </is>
      </c>
      <c r="B270" s="10" t="inlineStr">
        <is>
          <t>Parque de esculturas</t>
        </is>
      </c>
      <c r="C270" s="11" t="inlineStr">
        <is>
          <t>Parque</t>
        </is>
      </c>
      <c r="D270" s="11" t="inlineStr">
        <is>
          <t>Long Island City</t>
        </is>
      </c>
      <c r="E270" s="11" t="inlineStr">
        <is>
          <t>Queens</t>
        </is>
      </c>
      <c r="F270" s="12" t="n">
        <v>0</v>
      </c>
      <c r="G270" s="12" t="n">
        <v>0</v>
      </c>
      <c r="H270" s="13">
        <f>IF(AND(F270=2,G270=2),"AMBOS",IF(AND(F270=2,G270&lt;2),"solo JP",IF(AND(F270&lt;2,G270=2),"solo Thais","-")))</f>
        <v/>
      </c>
      <c r="I270" s="14" t="n">
        <v>0</v>
      </c>
      <c r="J270" s="15" t="n">
        <v>1</v>
      </c>
      <c r="K270" s="13" t="inlineStr">
        <is>
          <t>no</t>
        </is>
      </c>
      <c r="L270" s="16" t="inlineStr">
        <is>
          <t>—</t>
        </is>
      </c>
      <c r="M270" s="11" t="inlineStr">
        <is>
          <t>—</t>
        </is>
      </c>
      <c r="N270" s="16" t="inlineStr">
        <is>
          <t>—</t>
        </is>
      </c>
      <c r="O270" s="16" t="inlineStr">
        <is>
          <t>—</t>
        </is>
      </c>
      <c r="P270" s="16" t="inlineStr">
        <is>
          <t>Broadway (N,W)</t>
        </is>
      </c>
      <c r="Q270" s="16" t="inlineStr">
        <is>
          <t>Ex basural convertido en parque de esculturas sobre el East River. 'Homecoming' de Chakaia Booker (esculturas de neumaticos) hasta abril 2027. A 5 minutos del Noguchi.</t>
        </is>
      </c>
      <c r="R270" s="16" t="inlineStr">
        <is>
          <t>32-01 Vernon Blvd, LIC</t>
        </is>
      </c>
      <c r="S270" s="16" t="inlineStr">
        <is>
          <t>—</t>
        </is>
      </c>
      <c r="T270" s="18" t="inlineStr">
        <is>
          <t>Abrir ↗</t>
        </is>
      </c>
      <c r="U270" s="21" t="inlineStr">
        <is>
          <t>otros</t>
        </is>
      </c>
      <c r="V270" s="20" t="inlineStr"/>
    </row>
    <row r="271" ht="46" customHeight="1">
      <c r="A271" s="9" t="inlineStr">
        <is>
          <t>Astoria Park</t>
        </is>
      </c>
      <c r="B271" s="10" t="inlineStr">
        <is>
          <t>Parque urbano</t>
        </is>
      </c>
      <c r="C271" s="11" t="inlineStr">
        <is>
          <t>Parque</t>
        </is>
      </c>
      <c r="D271" s="11" t="inlineStr">
        <is>
          <t>Astoria</t>
        </is>
      </c>
      <c r="E271" s="11" t="inlineStr">
        <is>
          <t>Queens</t>
        </is>
      </c>
      <c r="F271" s="12" t="n">
        <v>1</v>
      </c>
      <c r="G271" s="12" t="n">
        <v>1</v>
      </c>
      <c r="H271" s="13">
        <f>IF(AND(F271=2,G271=2),"AMBOS",IF(AND(F271=2,G271&lt;2),"solo JP",IF(AND(F271&lt;2,G271=2),"solo Thais","-")))</f>
        <v/>
      </c>
      <c r="I271" s="14" t="n">
        <v>0</v>
      </c>
      <c r="J271" s="15" t="n">
        <v>1</v>
      </c>
      <c r="K271" s="13" t="inlineStr">
        <is>
          <t>no</t>
        </is>
      </c>
      <c r="L271" s="16" t="inlineStr">
        <is>
          <t>—</t>
        </is>
      </c>
      <c r="M271" s="11" t="inlineStr">
        <is>
          <t>—</t>
        </is>
      </c>
      <c r="N271" s="16" t="inlineStr">
        <is>
          <t>—</t>
        </is>
      </c>
      <c r="O271" s="16" t="inlineStr">
        <is>
          <t>—</t>
        </is>
      </c>
      <c r="P271" s="16" t="inlineStr">
        <is>
          <t>Astoria Blvd (N,W) + caminata</t>
        </is>
      </c>
      <c r="Q271" s="16" t="inlineStr">
        <is>
          <t>Debajo del Hell Gate Bridge, con el Triborough al lado y Manhattan enfrente. Al atardecer es de los mejores lugares de la ciudad y solo hay vecinos corriendo.</t>
        </is>
      </c>
      <c r="R271" s="16" t="inlineStr">
        <is>
          <t>19th St &amp; 23rd Ave, Astoria</t>
        </is>
      </c>
      <c r="S271" s="16" t="inlineStr">
        <is>
          <t>—</t>
        </is>
      </c>
      <c r="T271" s="18" t="inlineStr">
        <is>
          <t>Abrir ↗</t>
        </is>
      </c>
      <c r="U271" s="21" t="inlineStr">
        <is>
          <t>otros</t>
        </is>
      </c>
      <c r="V271" s="20" t="inlineStr"/>
    </row>
    <row r="272" ht="46" customHeight="1">
      <c r="A272" s="9" t="inlineStr">
        <is>
          <t>Battery Park</t>
        </is>
      </c>
      <c r="B272" s="10" t="inlineStr">
        <is>
          <t>Parque urbano</t>
        </is>
      </c>
      <c r="C272" s="11" t="inlineStr">
        <is>
          <t>Parque</t>
        </is>
      </c>
      <c r="D272" s="11" t="inlineStr">
        <is>
          <t>Financial District</t>
        </is>
      </c>
      <c r="E272" s="11" t="inlineStr">
        <is>
          <t>Manhattan</t>
        </is>
      </c>
      <c r="F272" s="12" t="n">
        <v>1</v>
      </c>
      <c r="G272" s="12" t="n">
        <v>1</v>
      </c>
      <c r="H272" s="13">
        <f>IF(AND(F272=2,G272=2),"AMBOS",IF(AND(F272=2,G272&lt;2),"solo JP",IF(AND(F272&lt;2,G272=2),"solo Thais","-")))</f>
        <v/>
      </c>
      <c r="I272" s="14" t="n">
        <v>0</v>
      </c>
      <c r="J272" s="15" t="n">
        <v>0.75</v>
      </c>
      <c r="K272" s="13" t="inlineStr">
        <is>
          <t>SÍ</t>
        </is>
      </c>
      <c r="L272" s="16" t="inlineStr">
        <is>
          <t>—</t>
        </is>
      </c>
      <c r="M272" s="11" t="inlineStr">
        <is>
          <t>—</t>
        </is>
      </c>
      <c r="N272" s="16" t="inlineStr">
        <is>
          <t>—</t>
        </is>
      </c>
      <c r="O272" s="16" t="inlineStr">
        <is>
          <t>—</t>
        </is>
      </c>
      <c r="P272" s="16" t="inlineStr">
        <is>
          <t>Bowling Green (4,5), South Ferry (1)</t>
        </is>
      </c>
      <c r="Q272" s="16" t="inlineStr">
        <is>
          <t>La punta sur de la isla: la bahía, la Estatua a lo lejos y el embarcadero del ferry. Gratis.</t>
        </is>
      </c>
      <c r="R272" s="16" t="inlineStr"/>
      <c r="S272" s="16" t="inlineStr">
        <is>
          <t>—</t>
        </is>
      </c>
      <c r="T272" s="18" t="inlineStr">
        <is>
          <t>Abrir ↗</t>
        </is>
      </c>
      <c r="U272" s="19" t="inlineStr">
        <is>
          <t>lista google</t>
        </is>
      </c>
      <c r="V272" s="20" t="inlineStr"/>
    </row>
    <row r="273" ht="46" customHeight="1">
      <c r="A273" s="9" t="inlineStr">
        <is>
          <t>Brooklyn Bridge Park</t>
        </is>
      </c>
      <c r="B273" s="10" t="inlineStr">
        <is>
          <t>Parque urbano</t>
        </is>
      </c>
      <c r="C273" s="11" t="inlineStr">
        <is>
          <t>Parque</t>
        </is>
      </c>
      <c r="D273" s="11" t="inlineStr">
        <is>
          <t>DUMBO / Brooklyn Heights</t>
        </is>
      </c>
      <c r="E273" s="11" t="inlineStr">
        <is>
          <t>Brooklyn</t>
        </is>
      </c>
      <c r="F273" s="12" t="n">
        <v>2</v>
      </c>
      <c r="G273" s="12" t="n">
        <v>2</v>
      </c>
      <c r="H273" s="13">
        <f>IF(AND(F273=2,G273=2),"AMBOS",IF(AND(F273=2,G273&lt;2),"solo JP",IF(AND(F273&lt;2,G273=2),"solo Thais","-")))</f>
        <v/>
      </c>
      <c r="I273" s="14" t="n">
        <v>0</v>
      </c>
      <c r="J273" s="15" t="n">
        <v>1.5</v>
      </c>
      <c r="K273" s="13" t="inlineStr">
        <is>
          <t>SÍ</t>
        </is>
      </c>
      <c r="L273" s="16" t="inlineStr">
        <is>
          <t>—</t>
        </is>
      </c>
      <c r="M273" s="11" t="inlineStr">
        <is>
          <t>—</t>
        </is>
      </c>
      <c r="N273" s="16" t="inlineStr">
        <is>
          <t>—</t>
        </is>
      </c>
      <c r="O273" s="16" t="inlineStr">
        <is>
          <t>—</t>
        </is>
      </c>
      <c r="P273" s="16" t="inlineStr">
        <is>
          <t>York St (F), High St (A,C)</t>
        </is>
      </c>
      <c r="Q273" s="16" t="inlineStr">
        <is>
          <t>Muelles reconvertidos con el skyline de Lower Manhattan de frente. Woody De Othello, 'Guardian Spirit', en el Pier 1 hasta marzo 2027.</t>
        </is>
      </c>
      <c r="R273" s="16" t="inlineStr">
        <is>
          <t>334 Furman St, Brooklyn</t>
        </is>
      </c>
      <c r="S273" s="17" t="inlineStr">
        <is>
          <t>Día 8 · sáb 5/9</t>
        </is>
      </c>
      <c r="T273" s="18" t="inlineStr">
        <is>
          <t>Abrir ↗</t>
        </is>
      </c>
      <c r="U273" s="21" t="inlineStr">
        <is>
          <t>otros</t>
        </is>
      </c>
      <c r="V273" s="20" t="inlineStr">
        <is>
          <t>SÍ</t>
        </is>
      </c>
    </row>
    <row r="274" ht="46" customHeight="1">
      <c r="A274" s="9" t="inlineStr">
        <is>
          <t>Bryant Park</t>
        </is>
      </c>
      <c r="B274" s="10" t="inlineStr">
        <is>
          <t>Parque urbano</t>
        </is>
      </c>
      <c r="C274" s="11" t="inlineStr">
        <is>
          <t>Parque</t>
        </is>
      </c>
      <c r="D274" s="11" t="inlineStr">
        <is>
          <t>Midtown</t>
        </is>
      </c>
      <c r="E274" s="11" t="inlineStr">
        <is>
          <t>Manhattan</t>
        </is>
      </c>
      <c r="F274" s="12" t="n">
        <v>2</v>
      </c>
      <c r="G274" s="12" t="n">
        <v>0</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5 Av-Bryant Pk (7,B,D,F,M)</t>
        </is>
      </c>
      <c r="Q274" s="16" t="inlineStr">
        <is>
          <t>El patio trasero de la Biblioteca Publica. Picnic Performances gratis toda la temporada: sab 29/8 (Accordion Festival), jue 3 y vie 4/9 (Brass Festival).</t>
        </is>
      </c>
      <c r="R274" s="16" t="inlineStr">
        <is>
          <t>Bryant Park, New York</t>
        </is>
      </c>
      <c r="S274" s="17" t="inlineStr">
        <is>
          <t>Día 3 · lun 31/8</t>
        </is>
      </c>
      <c r="T274" s="18" t="inlineStr">
        <is>
          <t>Abrir ↗</t>
        </is>
      </c>
      <c r="U274" s="21" t="inlineStr">
        <is>
          <t>otros</t>
        </is>
      </c>
      <c r="V274" s="20" t="inlineStr">
        <is>
          <t>SÍ</t>
        </is>
      </c>
    </row>
    <row r="275" ht="46" customHeight="1">
      <c r="A275" s="9" t="inlineStr">
        <is>
          <t>Carl Schurz Park</t>
        </is>
      </c>
      <c r="B275" s="10" t="inlineStr">
        <is>
          <t>Parque urbano</t>
        </is>
      </c>
      <c r="C275" s="11" t="inlineStr">
        <is>
          <t>Parque</t>
        </is>
      </c>
      <c r="D275" s="11" t="inlineStr">
        <is>
          <t>Upper East Side</t>
        </is>
      </c>
      <c r="E275" s="11" t="inlineStr">
        <is>
          <t>Manhattan</t>
        </is>
      </c>
      <c r="F275" s="12" t="n">
        <v>1</v>
      </c>
      <c r="G275" s="12" t="n">
        <v>1</v>
      </c>
      <c r="H275" s="13">
        <f>IF(AND(F275=2,G275=2),"AMBOS",IF(AND(F275=2,G275&lt;2),"solo JP",IF(AND(F275&lt;2,G275=2),"solo Thais","-")))</f>
        <v/>
      </c>
      <c r="I275" s="14" t="n">
        <v>0</v>
      </c>
      <c r="J275" s="15" t="n">
        <v>0.6</v>
      </c>
      <c r="K275" s="13" t="inlineStr">
        <is>
          <t>no</t>
        </is>
      </c>
      <c r="L275" s="16" t="inlineStr">
        <is>
          <t>—</t>
        </is>
      </c>
      <c r="M275" s="11" t="inlineStr">
        <is>
          <t>—</t>
        </is>
      </c>
      <c r="N275" s="16" t="inlineStr">
        <is>
          <t>—</t>
        </is>
      </c>
      <c r="O275" s="16" t="inlineStr">
        <is>
          <t>—</t>
        </is>
      </c>
      <c r="P275" s="16" t="inlineStr">
        <is>
          <t>86 St (4,5,6) + M86 al este</t>
        </is>
      </c>
      <c r="Q275" s="16" t="inlineStr">
        <is>
          <t>Promenade sobre el East River con Gracie Mansion adentro, la casa del intendente. Lo usan los vecinos, no los turistas.</t>
        </is>
      </c>
      <c r="R275" s="16" t="inlineStr">
        <is>
          <t>East End Ave y E 86th St</t>
        </is>
      </c>
      <c r="S275" s="16" t="inlineStr">
        <is>
          <t>—</t>
        </is>
      </c>
      <c r="T275" s="18" t="inlineStr">
        <is>
          <t>Abrir ↗</t>
        </is>
      </c>
      <c r="U275" s="21" t="inlineStr">
        <is>
          <t>otros</t>
        </is>
      </c>
      <c r="V275" s="20" t="inlineStr"/>
    </row>
    <row r="276" ht="46" customHeight="1">
      <c r="A276" s="9" t="inlineStr">
        <is>
          <t>Central Park</t>
        </is>
      </c>
      <c r="B276" s="10" t="inlineStr">
        <is>
          <t>Parque urbano</t>
        </is>
      </c>
      <c r="C276" s="11" t="inlineStr">
        <is>
          <t>Parque</t>
        </is>
      </c>
      <c r="D276" s="11" t="inlineStr">
        <is>
          <t>Central Park</t>
        </is>
      </c>
      <c r="E276" s="11" t="inlineStr">
        <is>
          <t>Manhattan</t>
        </is>
      </c>
      <c r="F276" s="12" t="n">
        <v>2</v>
      </c>
      <c r="G276" s="12" t="n">
        <v>2</v>
      </c>
      <c r="H276" s="13">
        <f>IF(AND(F276=2,G276=2),"AMBOS",IF(AND(F276=2,G276&lt;2),"solo JP",IF(AND(F276&lt;2,G276=2),"solo Thais","-")))</f>
        <v/>
      </c>
      <c r="I276" s="14" t="n">
        <v>0</v>
      </c>
      <c r="J276" s="15" t="n">
        <v>3</v>
      </c>
      <c r="K276" s="13" t="inlineStr">
        <is>
          <t>SÍ</t>
        </is>
      </c>
      <c r="L276" s="16" t="inlineStr">
        <is>
          <t>—</t>
        </is>
      </c>
      <c r="M276" s="11" t="inlineStr">
        <is>
          <t>—</t>
        </is>
      </c>
      <c r="N276" s="16" t="inlineStr">
        <is>
          <t>—</t>
        </is>
      </c>
      <c r="O276" s="16" t="inlineStr">
        <is>
          <t>—</t>
        </is>
      </c>
      <c r="P276" s="16" t="inlineStr">
        <is>
          <t>multiples: 72 St (B,C), 59 St-Columbus Circle, 86 St</t>
        </is>
      </c>
      <c r="Q276" s="16" t="inlineStr">
        <is>
          <t>Bethesda Terrace, el Ramble, Bow Bridge, el Reservoir. La mitad norte (arriba de la 96) esta casi vacia y es la mejor. A dos cuadras del hotel The Beacon.</t>
        </is>
      </c>
      <c r="R276" s="16" t="inlineStr">
        <is>
          <t>Central Park, New York</t>
        </is>
      </c>
      <c r="S276" s="17" t="inlineStr">
        <is>
          <t>Día 9 · dom 6/9</t>
        </is>
      </c>
      <c r="T276" s="18" t="inlineStr">
        <is>
          <t>Abrir ↗</t>
        </is>
      </c>
      <c r="U276" s="21" t="inlineStr">
        <is>
          <t>otros</t>
        </is>
      </c>
      <c r="V276" s="20" t="inlineStr">
        <is>
          <t>SÍ</t>
        </is>
      </c>
    </row>
    <row r="277" ht="46" customHeight="1">
      <c r="A277" s="9" t="inlineStr">
        <is>
          <t>Clinton Community Garden</t>
        </is>
      </c>
      <c r="B277" s="10" t="inlineStr">
        <is>
          <t>Parque urbano</t>
        </is>
      </c>
      <c r="C277" s="11" t="inlineStr">
        <is>
          <t>Parque</t>
        </is>
      </c>
      <c r="D277" s="11" t="inlineStr">
        <is>
          <t>Hell's Kitchen</t>
        </is>
      </c>
      <c r="E277" s="11" t="inlineStr">
        <is>
          <t>Manhattan</t>
        </is>
      </c>
      <c r="F277" s="12" t="n">
        <v>1</v>
      </c>
      <c r="G277" s="12" t="n">
        <v>1</v>
      </c>
      <c r="H277" s="13">
        <f>IF(AND(F277=2,G277=2),"AMBOS",IF(AND(F277=2,G277&lt;2),"solo JP",IF(AND(F277&lt;2,G277=2),"solo Thais","-")))</f>
        <v/>
      </c>
      <c r="I277" s="14" t="n">
        <v>0</v>
      </c>
      <c r="J277" s="15" t="n">
        <v>0.3</v>
      </c>
      <c r="K277" s="13" t="inlineStr">
        <is>
          <t>no</t>
        </is>
      </c>
      <c r="L277" s="16" t="inlineStr">
        <is>
          <t>—</t>
        </is>
      </c>
      <c r="M277" s="11" t="inlineStr">
        <is>
          <t>—</t>
        </is>
      </c>
      <c r="N277" s="16" t="inlineStr">
        <is>
          <t>—</t>
        </is>
      </c>
      <c r="O277" s="16" t="inlineStr">
        <is>
          <t>—</t>
        </is>
      </c>
      <c r="P277" s="16" t="inlineStr">
        <is>
          <t>50 St (C,E)</t>
        </is>
      </c>
      <c r="Q277"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7" s="16" t="inlineStr">
        <is>
          <t>434 W 48th St</t>
        </is>
      </c>
      <c r="S277" s="16" t="inlineStr">
        <is>
          <t>—</t>
        </is>
      </c>
      <c r="T277" s="18" t="inlineStr">
        <is>
          <t>Abrir ↗</t>
        </is>
      </c>
      <c r="U277" s="21" t="inlineStr">
        <is>
          <t>otros</t>
        </is>
      </c>
      <c r="V277" s="20" t="inlineStr"/>
    </row>
    <row r="278" ht="46" customHeight="1">
      <c r="A278" s="9" t="inlineStr">
        <is>
          <t>Columbus Park</t>
        </is>
      </c>
      <c r="B278" s="10" t="inlineStr">
        <is>
          <t>Parque urbano</t>
        </is>
      </c>
      <c r="C278" s="11" t="inlineStr">
        <is>
          <t>Parque</t>
        </is>
      </c>
      <c r="D278" s="11" t="inlineStr">
        <is>
          <t>Chinatown</t>
        </is>
      </c>
      <c r="E278" s="11" t="inlineStr">
        <is>
          <t>Manhattan</t>
        </is>
      </c>
      <c r="F278" s="12" t="n">
        <v>1</v>
      </c>
      <c r="G278" s="12" t="n">
        <v>1</v>
      </c>
      <c r="H278" s="13">
        <f>IF(AND(F278=2,G278=2),"AMBOS",IF(AND(F278=2,G278&lt;2),"solo JP",IF(AND(F278&lt;2,G278=2),"solo Thais","-")))</f>
        <v/>
      </c>
      <c r="I278" s="14" t="n">
        <v>0</v>
      </c>
      <c r="J278" s="15" t="n">
        <v>0.4</v>
      </c>
      <c r="K278" s="13" t="inlineStr">
        <is>
          <t>no</t>
        </is>
      </c>
      <c r="L278" s="16" t="inlineStr">
        <is>
          <t>—</t>
        </is>
      </c>
      <c r="M278" s="11" t="inlineStr">
        <is>
          <t>—</t>
        </is>
      </c>
      <c r="N278" s="16" t="inlineStr">
        <is>
          <t>—</t>
        </is>
      </c>
      <c r="O278" s="16" t="inlineStr">
        <is>
          <t>—</t>
        </is>
      </c>
      <c r="P278" s="16" t="inlineStr">
        <is>
          <t>Canal St (J,N,Q,R,W,6)</t>
        </is>
      </c>
      <c r="Q278" s="16" t="inlineStr">
        <is>
          <t>acá estaba Mulberry Bend, el corazón de Five Points — el peor conventillo de la historia de Nueva York, al que Jacob Riis le dedicó un capítulo entero de *How the Other Half Lives* llamándolo "el núcleo podrido de los suburbios de Nueva York".</t>
        </is>
      </c>
      <c r="R278" s="16" t="inlineStr">
        <is>
          <t>Columbus Park, Baxter St</t>
        </is>
      </c>
      <c r="S278" s="16" t="inlineStr">
        <is>
          <t>—</t>
        </is>
      </c>
      <c r="T278" s="18" t="inlineStr">
        <is>
          <t>Abrir ↗</t>
        </is>
      </c>
      <c r="U278" s="21" t="inlineStr">
        <is>
          <t>otros</t>
        </is>
      </c>
      <c r="V278" s="20" t="inlineStr"/>
    </row>
    <row r="279" ht="46" customHeight="1">
      <c r="A279" s="9" t="inlineStr">
        <is>
          <t>Greenacre Park</t>
        </is>
      </c>
      <c r="B279" s="10" t="inlineStr">
        <is>
          <t>Parque urbano</t>
        </is>
      </c>
      <c r="C279" s="11" t="inlineStr">
        <is>
          <t>Parque</t>
        </is>
      </c>
      <c r="D279" s="11" t="inlineStr">
        <is>
          <t>Midtown East</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51 St (6), Lexington Av-53 St (E,M)</t>
        </is>
      </c>
      <c r="Q279" s="16" t="inlineStr">
        <is>
          <t>El hermano escondido de Paley: cascada de 8 metros en un hueco entre edificios. Casi siempre vacio.</t>
        </is>
      </c>
      <c r="R279" s="16" t="inlineStr">
        <is>
          <t>217 E 51st St</t>
        </is>
      </c>
      <c r="S279" s="16" t="inlineStr">
        <is>
          <t>—</t>
        </is>
      </c>
      <c r="T279" s="18" t="inlineStr">
        <is>
          <t>Abrir ↗</t>
        </is>
      </c>
      <c r="U279" s="21" t="inlineStr">
        <is>
          <t>otros</t>
        </is>
      </c>
      <c r="V279" s="20" t="inlineStr"/>
    </row>
    <row r="280" ht="46" customHeight="1">
      <c r="A280" s="9" t="inlineStr">
        <is>
          <t>Hudson River Park Pier 84</t>
        </is>
      </c>
      <c r="B280" s="10" t="inlineStr">
        <is>
          <t>Parque urbano</t>
        </is>
      </c>
      <c r="C280" s="11" t="inlineStr">
        <is>
          <t>Parque</t>
        </is>
      </c>
      <c r="D280" s="11" t="inlineStr">
        <is>
          <t>Hell's Kitchen</t>
        </is>
      </c>
      <c r="E280" s="11" t="inlineStr">
        <is>
          <t>Manhattan</t>
        </is>
      </c>
      <c r="F280" s="12" t="n">
        <v>1</v>
      </c>
      <c r="G280" s="12" t="n">
        <v>1</v>
      </c>
      <c r="H280" s="13">
        <f>IF(AND(F280=2,G280=2),"AMBOS",IF(AND(F280=2,G280&lt;2),"solo JP",IF(AND(F280&lt;2,G280=2),"solo Thais","-")))</f>
        <v/>
      </c>
      <c r="I280" s="14" t="n">
        <v>0</v>
      </c>
      <c r="J280" s="15" t="n">
        <v>0.5</v>
      </c>
      <c r="K280" s="13" t="inlineStr">
        <is>
          <t>no</t>
        </is>
      </c>
      <c r="L280" s="16" t="inlineStr">
        <is>
          <t>—</t>
        </is>
      </c>
      <c r="M280" s="11" t="inlineStr">
        <is>
          <t>—</t>
        </is>
      </c>
      <c r="N280" s="16" t="inlineStr">
        <is>
          <t>—</t>
        </is>
      </c>
      <c r="O280" s="16" t="inlineStr">
        <is>
          <t>—</t>
        </is>
      </c>
      <c r="P280" s="16" t="inlineStr">
        <is>
          <t>42 St-Port Authority (A,C,E)</t>
        </is>
      </c>
      <c r="Q280" s="16" t="inlineStr">
        <is>
          <t>El muelle publico mas grande del rio, con el Intrepid al lado y el atardecer sobre New Jersey de frente.</t>
        </is>
      </c>
      <c r="R280" s="16" t="inlineStr">
        <is>
          <t>W 44th St y 12th Ave</t>
        </is>
      </c>
      <c r="S280" s="16" t="inlineStr">
        <is>
          <t>—</t>
        </is>
      </c>
      <c r="T280" s="18" t="inlineStr">
        <is>
          <t>Abrir ↗</t>
        </is>
      </c>
      <c r="U280" s="21" t="inlineStr">
        <is>
          <t>otros</t>
        </is>
      </c>
      <c r="V280" s="20" t="inlineStr"/>
    </row>
    <row r="281" ht="46" customHeight="1">
      <c r="A281" s="9" t="inlineStr">
        <is>
          <t>Paley Park</t>
        </is>
      </c>
      <c r="B281" s="10" t="inlineStr">
        <is>
          <t>Parque urbano</t>
        </is>
      </c>
      <c r="C281" s="11" t="inlineStr">
        <is>
          <t>Parque</t>
        </is>
      </c>
      <c r="D281" s="11" t="inlineStr">
        <is>
          <t>Midtown</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 Av-53 St (E,M)</t>
        </is>
      </c>
      <c r="Q281" s="16" t="inlineStr">
        <is>
          <t>Pocket park de 1967 con una cascada que tapa el ruido de la calle. El mejor invento urbano de Nueva York y entra en media cuadra.</t>
        </is>
      </c>
      <c r="R281" s="16" t="inlineStr">
        <is>
          <t>3 E 53rd St</t>
        </is>
      </c>
      <c r="S281" s="16" t="inlineStr">
        <is>
          <t>—</t>
        </is>
      </c>
      <c r="T281" s="18" t="inlineStr">
        <is>
          <t>Abrir ↗</t>
        </is>
      </c>
      <c r="U281" s="21" t="inlineStr">
        <is>
          <t>otros</t>
        </is>
      </c>
      <c r="V281" s="20" t="inlineStr"/>
    </row>
    <row r="282" ht="46" customHeight="1">
      <c r="A282" s="9" t="inlineStr">
        <is>
          <t>Prospect Park</t>
        </is>
      </c>
      <c r="B282" s="10" t="inlineStr">
        <is>
          <t>Parque urbano</t>
        </is>
      </c>
      <c r="C282" s="11" t="inlineStr">
        <is>
          <t>Parque</t>
        </is>
      </c>
      <c r="D282" s="11" t="inlineStr">
        <is>
          <t>Park Slope</t>
        </is>
      </c>
      <c r="E282" s="11" t="inlineStr">
        <is>
          <t>Brooklyn</t>
        </is>
      </c>
      <c r="F282" s="12" t="n">
        <v>1</v>
      </c>
      <c r="G282" s="12" t="n">
        <v>1</v>
      </c>
      <c r="H282" s="13">
        <f>IF(AND(F282=2,G282=2),"AMBOS",IF(AND(F282=2,G282&lt;2),"solo JP",IF(AND(F282&lt;2,G282=2),"solo Thais","-")))</f>
        <v/>
      </c>
      <c r="I282" s="14" t="n">
        <v>0</v>
      </c>
      <c r="J282" s="15" t="n">
        <v>1.5</v>
      </c>
      <c r="K282" s="13" t="inlineStr">
        <is>
          <t>no</t>
        </is>
      </c>
      <c r="L282" s="16" t="inlineStr">
        <is>
          <t>—</t>
        </is>
      </c>
      <c r="M282" s="11" t="inlineStr">
        <is>
          <t>—</t>
        </is>
      </c>
      <c r="N282" s="16" t="inlineStr">
        <is>
          <t>—</t>
        </is>
      </c>
      <c r="O282" s="16" t="inlineStr">
        <is>
          <t>—</t>
        </is>
      </c>
      <c r="P282" s="16" t="inlineStr">
        <is>
          <t>Grand Army Plaza (2,3)</t>
        </is>
      </c>
      <c r="Q282" s="16" t="inlineStr">
        <is>
          <t>El parque que Olmsted y Vaux consideraban SU obra maestra, mejor que Central Park: más bosque y menos turistas.</t>
        </is>
      </c>
      <c r="R282" s="16" t="inlineStr"/>
      <c r="S282" s="16" t="inlineStr">
        <is>
          <t>—</t>
        </is>
      </c>
      <c r="T282" s="18" t="inlineStr">
        <is>
          <t>Abrir ↗</t>
        </is>
      </c>
      <c r="U282" s="19" t="inlineStr">
        <is>
          <t>lista google</t>
        </is>
      </c>
      <c r="V282" s="20" t="inlineStr"/>
    </row>
    <row r="283" ht="46" customHeight="1">
      <c r="A283" s="9" t="inlineStr">
        <is>
          <t>Straus Park</t>
        </is>
      </c>
      <c r="B283" s="10" t="inlineStr">
        <is>
          <t>Parque urbano</t>
        </is>
      </c>
      <c r="C283" s="11" t="inlineStr">
        <is>
          <t>Parque</t>
        </is>
      </c>
      <c r="D283" s="11" t="inlineStr">
        <is>
          <t>Upper West Side</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103 St (1)</t>
        </is>
      </c>
      <c r="Q283" s="16" t="inlineStr">
        <is>
          <t>Isidor Straus era dueño de Macy's y murió en el Titanic. Su mujer Ida se negó a subir al bote salvavidas y se quedó con él.</t>
        </is>
      </c>
      <c r="R283" s="16" t="inlineStr">
        <is>
          <t>Broadway &amp; W 106th St</t>
        </is>
      </c>
      <c r="S283" s="16" t="inlineStr">
        <is>
          <t>—</t>
        </is>
      </c>
      <c r="T283" s="18" t="inlineStr">
        <is>
          <t>Abrir ↗</t>
        </is>
      </c>
      <c r="U283" s="21" t="inlineStr">
        <is>
          <t>otros</t>
        </is>
      </c>
      <c r="V283" s="20" t="inlineStr"/>
    </row>
    <row r="284" ht="46" customHeight="1">
      <c r="A284" s="9" t="inlineStr">
        <is>
          <t>Tudor City Greens</t>
        </is>
      </c>
      <c r="B284" s="10" t="inlineStr">
        <is>
          <t>Parque urbano</t>
        </is>
      </c>
      <c r="C284" s="11" t="inlineStr">
        <is>
          <t>Parque</t>
        </is>
      </c>
      <c r="D284" s="11" t="inlineStr">
        <is>
          <t>Midtown East</t>
        </is>
      </c>
      <c r="E284" s="11" t="inlineStr">
        <is>
          <t>Manhattan</t>
        </is>
      </c>
      <c r="F284" s="12" t="n">
        <v>1</v>
      </c>
      <c r="G284" s="12" t="n">
        <v>1</v>
      </c>
      <c r="H284" s="13">
        <f>IF(AND(F284=2,G284=2),"AMBOS",IF(AND(F284=2,G284&lt;2),"solo JP",IF(AND(F284&lt;2,G284=2),"solo Thais","-")))</f>
        <v/>
      </c>
      <c r="I284" s="14" t="n">
        <v>0</v>
      </c>
      <c r="J284" s="15" t="n">
        <v>0.3</v>
      </c>
      <c r="K284" s="13" t="inlineStr">
        <is>
          <t>no</t>
        </is>
      </c>
      <c r="L284" s="16" t="inlineStr">
        <is>
          <t>—</t>
        </is>
      </c>
      <c r="M284" s="11" t="inlineStr">
        <is>
          <t>—</t>
        </is>
      </c>
      <c r="N284" s="16" t="inlineStr">
        <is>
          <t>—</t>
        </is>
      </c>
      <c r="O284" s="16" t="inlineStr">
        <is>
          <t>—</t>
        </is>
      </c>
      <c r="P284" s="16" t="inlineStr">
        <is>
          <t>Grand Central-42 St (4,5,6,7,S)</t>
        </is>
      </c>
      <c r="Q284" s="16" t="inlineStr">
        <is>
          <t>dos parques privados abiertos al público arriba de un barranco, con el mirador que da directo sobre la 42 hacia el este — es la postal del puente de la 42 sobre el cañón de la calle.</t>
        </is>
      </c>
      <c r="R284" s="16" t="inlineStr">
        <is>
          <t>Tudor City Pl</t>
        </is>
      </c>
      <c r="S284" s="16" t="inlineStr">
        <is>
          <t>—</t>
        </is>
      </c>
      <c r="T284" s="18" t="inlineStr">
        <is>
          <t>Abrir ↗</t>
        </is>
      </c>
      <c r="U284" s="21" t="inlineStr">
        <is>
          <t>otros</t>
        </is>
      </c>
      <c r="V284" s="20" t="inlineStr"/>
    </row>
    <row r="285" ht="46" customHeight="1">
      <c r="A285" s="9" t="inlineStr">
        <is>
          <t>Washington Square Park</t>
        </is>
      </c>
      <c r="B285" s="10" t="inlineStr">
        <is>
          <t>Parque urbano</t>
        </is>
      </c>
      <c r="C285" s="11" t="inlineStr">
        <is>
          <t>Parque</t>
        </is>
      </c>
      <c r="D285" s="11" t="inlineStr">
        <is>
          <t>Greenwich Village</t>
        </is>
      </c>
      <c r="E285" s="11" t="inlineStr">
        <is>
          <t>Manhattan</t>
        </is>
      </c>
      <c r="F285" s="12" t="n">
        <v>2</v>
      </c>
      <c r="G285" s="12" t="n">
        <v>0</v>
      </c>
      <c r="H285" s="13">
        <f>IF(AND(F285=2,G285=2),"AMBOS",IF(AND(F285=2,G285&lt;2),"solo JP",IF(AND(F285&lt;2,G285=2),"solo Thais","-")))</f>
        <v/>
      </c>
      <c r="I285" s="14" t="n">
        <v>0</v>
      </c>
      <c r="J285" s="15" t="n">
        <v>0.75</v>
      </c>
      <c r="K285" s="13" t="inlineStr">
        <is>
          <t>SÍ</t>
        </is>
      </c>
      <c r="L285" s="16" t="inlineStr">
        <is>
          <t>—</t>
        </is>
      </c>
      <c r="M285" s="11" t="inlineStr">
        <is>
          <t>—</t>
        </is>
      </c>
      <c r="N285" s="16" t="inlineStr">
        <is>
          <t>—</t>
        </is>
      </c>
      <c r="O285" s="16" t="inlineStr">
        <is>
          <t>—</t>
        </is>
      </c>
      <c r="P285" s="16" t="inlineStr">
        <is>
          <t>W 4 St (A,B,C,D,E,F,M), 8 St-NYU (R,W)</t>
        </is>
      </c>
      <c r="Q285" s="16" t="inlineStr">
        <is>
          <t>El arco, el piano ambulante, los ajedrecistas y NYU alrededor. Es el mejor lugar de la ciudad para sentarse una hora a mirar gente.</t>
        </is>
      </c>
      <c r="R285" s="16" t="inlineStr">
        <is>
          <t>Washington Square Park</t>
        </is>
      </c>
      <c r="S285" s="17" t="inlineStr">
        <is>
          <t>Día 4 · mar 1/9</t>
        </is>
      </c>
      <c r="T285" s="18" t="inlineStr">
        <is>
          <t>Abrir ↗</t>
        </is>
      </c>
      <c r="U285" s="19" t="inlineStr">
        <is>
          <t>lista google</t>
        </is>
      </c>
      <c r="V285" s="20" t="inlineStr"/>
    </row>
    <row r="286" ht="46" customHeight="1">
      <c r="A286" s="9" t="inlineStr">
        <is>
          <t>The High Line</t>
        </is>
      </c>
      <c r="B286" s="10" t="inlineStr">
        <is>
          <t>Paseo elevado</t>
        </is>
      </c>
      <c r="C286" s="11" t="inlineStr">
        <is>
          <t>Parque</t>
        </is>
      </c>
      <c r="D286" s="11" t="inlineStr">
        <is>
          <t>Chelsea / Meatpacking</t>
        </is>
      </c>
      <c r="E286" s="11" t="inlineStr">
        <is>
          <t>Manhattan</t>
        </is>
      </c>
      <c r="F286" s="12" t="n">
        <v>2</v>
      </c>
      <c r="G286" s="12" t="n">
        <v>2</v>
      </c>
      <c r="H286" s="13">
        <f>IF(AND(F286=2,G286=2),"AMBOS",IF(AND(F286=2,G286&lt;2),"solo JP",IF(AND(F286&lt;2,G286=2),"solo Thais","-")))</f>
        <v/>
      </c>
      <c r="I286" s="14" t="n">
        <v>0</v>
      </c>
      <c r="J286" s="15" t="n">
        <v>1.5</v>
      </c>
      <c r="K286" s="13" t="inlineStr">
        <is>
          <t>SÍ</t>
        </is>
      </c>
      <c r="L286" s="16" t="inlineStr">
        <is>
          <t>—</t>
        </is>
      </c>
      <c r="M286" s="11" t="inlineStr">
        <is>
          <t>—</t>
        </is>
      </c>
      <c r="N286" s="16" t="inlineStr">
        <is>
          <t>—</t>
        </is>
      </c>
      <c r="O286" s="16" t="inlineStr">
        <is>
          <t>—</t>
        </is>
      </c>
      <c r="P286" s="16" t="inlineStr">
        <is>
          <t>14 St (A,C,E), 34 St-Hudson Yards (7)</t>
        </is>
      </c>
      <c r="Q286" s="16" t="inlineStr">
        <is>
          <t>Via ferroviaria elevada convertida en parque lineal de 2,3 km. Recorrer de sur a norte por la luz. Incluye 'The Light That Shines Through the Universe' de Tuan Andrew Nguyen, un Buda de arenisca de 9 metros.</t>
        </is>
      </c>
      <c r="R286" s="16" t="inlineStr">
        <is>
          <t>High Line, Gansevoort St a W 34th St</t>
        </is>
      </c>
      <c r="S286" s="17" t="inlineStr">
        <is>
          <t>Día 7 · vie 4/9</t>
        </is>
      </c>
      <c r="T286" s="18" t="inlineStr">
        <is>
          <t>Abrir ↗</t>
        </is>
      </c>
      <c r="U286" s="19" t="inlineStr">
        <is>
          <t>lista google</t>
        </is>
      </c>
      <c r="V286" s="20" t="inlineStr">
        <is>
          <t>SÍ</t>
        </is>
      </c>
    </row>
    <row r="287" ht="46" customHeight="1">
      <c r="A287" s="23" t="inlineStr">
        <is>
          <t>US Open (primeras rondas)</t>
        </is>
      </c>
      <c r="B287" s="24" t="inlineStr">
        <is>
          <t>Deporte</t>
        </is>
      </c>
      <c r="C287" s="25" t="inlineStr">
        <is>
          <t>Evento</t>
        </is>
      </c>
      <c r="D287" s="25" t="inlineStr">
        <is>
          <t>Flushing Meadows</t>
        </is>
      </c>
      <c r="E287" s="25" t="inlineStr">
        <is>
          <t>Queens</t>
        </is>
      </c>
      <c r="F287" s="12" t="n">
        <v>0</v>
      </c>
      <c r="G287" s="12" t="n">
        <v>0</v>
      </c>
      <c r="H287" s="26">
        <f>IF(AND(F287=2,G287=2),"AMBOS",IF(AND(F287=2,G287&lt;2),"solo JP",IF(AND(F287&lt;2,G287=2),"solo Thais","-")))</f>
        <v/>
      </c>
      <c r="I287" s="27" t="n">
        <v>80</v>
      </c>
      <c r="J287" s="28" t="n">
        <v>7</v>
      </c>
      <c r="K287" s="26" t="inlineStr">
        <is>
          <t>no</t>
        </is>
      </c>
      <c r="L287" s="29" t="inlineStr">
        <is>
          <t>—</t>
        </is>
      </c>
      <c r="M287" s="25" t="inlineStr">
        <is>
          <t>—</t>
        </is>
      </c>
      <c r="N287" s="29" t="inlineStr">
        <is>
          <t>—</t>
        </is>
      </c>
      <c r="O287" s="29" t="inlineStr">
        <is>
          <t>Ticketmaster</t>
        </is>
      </c>
      <c r="P287" s="29" t="inlineStr">
        <is>
          <t>Mets-Willets Point (7)</t>
        </is>
      </c>
      <c r="Q287" s="29" t="inlineStr">
        <is>
          <t>Cuadro principal del 30 de agosto al 13 de septiembre. Las primeras rondas (30 ago - 2 sep) son cuando mas partidos simultaneos hay y el grounds pass rinde mas: se ve a metros en las canchas exteriores. Se come un dia entero.</t>
        </is>
      </c>
      <c r="R287" s="29" t="inlineStr">
        <is>
          <t>USTA Billie Jean King NTC, Flushing</t>
        </is>
      </c>
      <c r="S287" s="29" t="inlineStr">
        <is>
          <t>—</t>
        </is>
      </c>
      <c r="T287" s="30" t="inlineStr">
        <is>
          <t>Abrir ↗</t>
        </is>
      </c>
      <c r="U287" s="31" t="inlineStr">
        <is>
          <t>otros</t>
        </is>
      </c>
      <c r="V287" s="20" t="inlineStr"/>
    </row>
    <row r="288" ht="46" customHeight="1">
      <c r="A288" s="23" t="inlineStr">
        <is>
          <t>Charlie Parker Jazz Festival - East Village</t>
        </is>
      </c>
      <c r="B288" s="24" t="inlineStr">
        <is>
          <t>Festival gratis</t>
        </is>
      </c>
      <c r="C288" s="25" t="inlineStr">
        <is>
          <t>Evento</t>
        </is>
      </c>
      <c r="D288" s="25" t="inlineStr">
        <is>
          <t>East Village</t>
        </is>
      </c>
      <c r="E288" s="25" t="inlineStr">
        <is>
          <t>Manhattan</t>
        </is>
      </c>
      <c r="F288" s="12" t="n">
        <v>0</v>
      </c>
      <c r="G288" s="12" t="n">
        <v>0</v>
      </c>
      <c r="H288" s="26">
        <f>IF(AND(F288=2,G288=2),"AMBOS",IF(AND(F288=2,G288&lt;2),"solo JP",IF(AND(F288&lt;2,G288=2),"solo Thais","-")))</f>
        <v/>
      </c>
      <c r="I288" s="27" t="n">
        <v>0</v>
      </c>
      <c r="J288" s="28" t="n">
        <v>4</v>
      </c>
      <c r="K288" s="26" t="inlineStr">
        <is>
          <t>no</t>
        </is>
      </c>
      <c r="L288" s="29" t="inlineStr">
        <is>
          <t>—</t>
        </is>
      </c>
      <c r="M288" s="25" t="inlineStr">
        <is>
          <t>—</t>
        </is>
      </c>
      <c r="N288" s="29" t="inlineStr">
        <is>
          <t>—</t>
        </is>
      </c>
      <c r="O288" s="29" t="inlineStr">
        <is>
          <t>—</t>
        </is>
      </c>
      <c r="P288" s="29" t="inlineStr">
        <is>
          <t>1 Av (L), Astor Pl (6)</t>
        </is>
      </c>
      <c r="Q288" s="29" t="inlineStr">
        <is>
          <t>DOMINGO 30 DE AGOSTO, 15-19h. Ravi Coltrane (headliner), Billy Hart Quartet, Kassa Overall, Vanisha Gould. Segundo dia del festival, en el East Village.</t>
        </is>
      </c>
      <c r="R288" s="29" t="inlineStr">
        <is>
          <t>Tompkins Square Park</t>
        </is>
      </c>
      <c r="S288" s="29" t="inlineStr">
        <is>
          <t>—</t>
        </is>
      </c>
      <c r="T288" s="30" t="inlineStr">
        <is>
          <t>Abrir ↗</t>
        </is>
      </c>
      <c r="U288" s="31" t="inlineStr">
        <is>
          <t>otros</t>
        </is>
      </c>
      <c r="V288" s="20" t="inlineStr"/>
    </row>
    <row r="289" ht="46" customHeight="1">
      <c r="A289" s="23" t="inlineStr">
        <is>
          <t>Charlie Parker Jazz Festival - Harlem</t>
        </is>
      </c>
      <c r="B289" s="24" t="inlineStr">
        <is>
          <t>Festival gratis</t>
        </is>
      </c>
      <c r="C289" s="25" t="inlineStr">
        <is>
          <t>Evento</t>
        </is>
      </c>
      <c r="D289" s="25" t="inlineStr">
        <is>
          <t>Harlem</t>
        </is>
      </c>
      <c r="E289" s="25" t="inlineStr">
        <is>
          <t>Manhattan</t>
        </is>
      </c>
      <c r="F289" s="12" t="n">
        <v>2</v>
      </c>
      <c r="G289" s="12" t="n">
        <v>2</v>
      </c>
      <c r="H289" s="26">
        <f>IF(AND(F289=2,G289=2),"AMBOS",IF(AND(F289=2,G289&lt;2),"solo JP",IF(AND(F289&lt;2,G289=2),"solo Thais","-")))</f>
        <v/>
      </c>
      <c r="I289" s="27" t="n">
        <v>0</v>
      </c>
      <c r="J289" s="28" t="n">
        <v>4</v>
      </c>
      <c r="K289" s="26" t="inlineStr">
        <is>
          <t>no</t>
        </is>
      </c>
      <c r="L289" s="29" t="inlineStr">
        <is>
          <t>—</t>
        </is>
      </c>
      <c r="M289" s="25" t="inlineStr">
        <is>
          <t>—</t>
        </is>
      </c>
      <c r="N289" s="29" t="inlineStr">
        <is>
          <t>—</t>
        </is>
      </c>
      <c r="O289" s="29" t="inlineStr">
        <is>
          <t>—</t>
        </is>
      </c>
      <c r="P289" s="29" t="inlineStr">
        <is>
          <t>125 St (2,3)</t>
        </is>
      </c>
      <c r="Q289" s="29" t="inlineStr">
        <is>
          <t>SABADO 29 DE AGOSTO, 14-19h. Joshua Redman (headliner), Nat Adderley Jr., Catherine Russell, Nicole Glover. Gratis, al aire libre, con el mismo nivel artistico que se paga $60-80 en un club. Llevar manta y llegar 1-2 h antes del headliner.</t>
        </is>
      </c>
      <c r="R289" s="29" t="inlineStr">
        <is>
          <t>Marcus Garvey Park, Harlem</t>
        </is>
      </c>
      <c r="S289" s="17" t="inlineStr">
        <is>
          <t>Día 1 · sáb 29/8</t>
        </is>
      </c>
      <c r="T289" s="30" t="inlineStr">
        <is>
          <t>Abrir ↗</t>
        </is>
      </c>
      <c r="U289" s="31" t="inlineStr">
        <is>
          <t>otros</t>
        </is>
      </c>
      <c r="V289" s="20" t="inlineStr">
        <is>
          <t>SÍ</t>
        </is>
      </c>
    </row>
    <row r="290" ht="46" customHeight="1">
      <c r="A290" s="23" t="inlineStr">
        <is>
          <t>SummerStage: Christian McBride (gratis)</t>
        </is>
      </c>
      <c r="B290" s="24" t="inlineStr">
        <is>
          <t>Festival gratis</t>
        </is>
      </c>
      <c r="C290" s="25" t="inlineStr">
        <is>
          <t>Evento</t>
        </is>
      </c>
      <c r="D290" s="25" t="inlineStr">
        <is>
          <t>Central Park</t>
        </is>
      </c>
      <c r="E290" s="25" t="inlineStr">
        <is>
          <t>Manhattan</t>
        </is>
      </c>
      <c r="F290" s="12" t="n">
        <v>2</v>
      </c>
      <c r="G290" s="12" t="n">
        <v>0</v>
      </c>
      <c r="H290" s="26">
        <f>IF(AND(F290=2,G290=2),"AMBOS",IF(AND(F290=2,G290&lt;2),"solo JP",IF(AND(F290&lt;2,G290=2),"solo Thais","-")))</f>
        <v/>
      </c>
      <c r="I290" s="27" t="n">
        <v>0</v>
      </c>
      <c r="J290" s="28" t="n">
        <v>3</v>
      </c>
      <c r="K290" s="26" t="inlineStr">
        <is>
          <t>no</t>
        </is>
      </c>
      <c r="L290" s="29" t="inlineStr">
        <is>
          <t>—</t>
        </is>
      </c>
      <c r="M290" s="25" t="inlineStr">
        <is>
          <t>—</t>
        </is>
      </c>
      <c r="N290" s="29" t="inlineStr">
        <is>
          <t>—</t>
        </is>
      </c>
      <c r="O290" s="29" t="inlineStr">
        <is>
          <t>—</t>
        </is>
      </c>
      <c r="P290" s="29" t="inlineStr">
        <is>
          <t>72 St (B,C)</t>
        </is>
      </c>
      <c r="Q290" s="29" t="inlineStr">
        <is>
          <t>MIERCOLES 2 DE SEPTIEMBRE. Christian McBride + SAMARA JOY (Verve 70 aniversario) + Mei Semones &amp; Friends tocando Getz/Gilberto. Puertas 18:00, show 19:00-22:00. Gratis, sin ticket, por orden de llegada: con ese cartel hay que llegar bastante antes de las 18:00.</t>
        </is>
      </c>
      <c r="R290" s="29" t="inlineStr">
        <is>
          <t>Rumsey Playfield, Central Park</t>
        </is>
      </c>
      <c r="S290" s="17" t="inlineStr">
        <is>
          <t>Día 5 · mié 2/9</t>
        </is>
      </c>
      <c r="T290" s="30" t="inlineStr">
        <is>
          <t>Abrir ↗</t>
        </is>
      </c>
      <c r="U290" s="31" t="inlineStr">
        <is>
          <t>otros</t>
        </is>
      </c>
      <c r="V290" s="20" t="inlineStr">
        <is>
          <t>SÍ</t>
        </is>
      </c>
    </row>
    <row r="291" ht="46" customHeight="1">
      <c r="A291" s="23" t="inlineStr">
        <is>
          <t>NY Caribbean Carnival Week (Panorama)</t>
        </is>
      </c>
      <c r="B291" s="24" t="inlineStr">
        <is>
          <t>Festival pago</t>
        </is>
      </c>
      <c r="C291" s="25" t="inlineStr">
        <is>
          <t>Evento</t>
        </is>
      </c>
      <c r="D291" s="25" t="inlineStr">
        <is>
          <t>Prospect Heights</t>
        </is>
      </c>
      <c r="E291" s="25" t="inlineStr">
        <is>
          <t>Brooklyn</t>
        </is>
      </c>
      <c r="F291" s="12" t="n">
        <v>1</v>
      </c>
      <c r="G291" s="12" t="n">
        <v>1</v>
      </c>
      <c r="H291" s="26">
        <f>IF(AND(F291=2,G291=2),"AMBOS",IF(AND(F291=2,G291&lt;2),"solo JP",IF(AND(F291&lt;2,G291=2),"solo Thais","-")))</f>
        <v/>
      </c>
      <c r="I291" s="27" t="n">
        <v>30</v>
      </c>
      <c r="J291" s="28" t="n">
        <v>4</v>
      </c>
      <c r="K291" s="26" t="inlineStr">
        <is>
          <t>no</t>
        </is>
      </c>
      <c r="L291" s="29" t="inlineStr">
        <is>
          <t>—</t>
        </is>
      </c>
      <c r="M291" s="25" t="inlineStr">
        <is>
          <t>—</t>
        </is>
      </c>
      <c r="N291" s="29" t="inlineStr">
        <is>
          <t>—</t>
        </is>
      </c>
      <c r="O291" s="29" t="inlineStr">
        <is>
          <t>—</t>
        </is>
      </c>
      <c r="P291" s="29" t="inlineStr">
        <is>
          <t>Eastern Pkwy-Brooklyn Museum (2,3)</t>
        </is>
      </c>
      <c r="Q291" s="29" t="inlineStr">
        <is>
          <t>Del 3 al 7 de septiembre en el Brooklyn Museum: Blocko Mania (jue 3), Soca Fest (vie 4), Junior Carnival y Panorama (sab 5 / dom 6). El Panorama es la competencia de steel pan mas grande de Norteamerica. Fechas de fuente secundaria: VERIFICAR.</t>
        </is>
      </c>
      <c r="R291" s="29" t="inlineStr">
        <is>
          <t>Brooklyn Museum, 200 Eastern Pkwy</t>
        </is>
      </c>
      <c r="S291" s="29" t="inlineStr">
        <is>
          <t>—</t>
        </is>
      </c>
      <c r="T291" s="30" t="inlineStr">
        <is>
          <t>Abrir ↗</t>
        </is>
      </c>
      <c r="U291" s="31" t="inlineStr">
        <is>
          <t>otros</t>
        </is>
      </c>
      <c r="V291" s="20" t="inlineStr"/>
    </row>
    <row r="292" ht="46" customHeight="1">
      <c r="A292" s="23" t="inlineStr">
        <is>
          <t>Paint 'N Pour</t>
        </is>
      </c>
      <c r="B292" s="24" t="inlineStr">
        <is>
          <t>Taller y experiencia</t>
        </is>
      </c>
      <c r="C292" s="25" t="inlineStr">
        <is>
          <t>Evento</t>
        </is>
      </c>
      <c r="D292" s="25" t="inlineStr">
        <is>
          <t>Manhattan</t>
        </is>
      </c>
      <c r="E292" s="25" t="inlineStr">
        <is>
          <t>Manhattan</t>
        </is>
      </c>
      <c r="F292" s="12" t="n">
        <v>1</v>
      </c>
      <c r="G292" s="12" t="n">
        <v>1</v>
      </c>
      <c r="H292" s="26">
        <f>IF(AND(F292=2,G292=2),"AMBOS",IF(AND(F292=2,G292&lt;2),"solo JP",IF(AND(F292&lt;2,G292=2),"solo Thais","-")))</f>
        <v/>
      </c>
      <c r="I292" s="27" t="n">
        <v>45</v>
      </c>
      <c r="J292" s="28" t="n">
        <v>2</v>
      </c>
      <c r="K292" s="26" t="inlineStr">
        <is>
          <t>no</t>
        </is>
      </c>
      <c r="L292" s="29" t="inlineStr">
        <is>
          <t>—</t>
        </is>
      </c>
      <c r="M292" s="25" t="inlineStr">
        <is>
          <t>—</t>
        </is>
      </c>
      <c r="N292" s="29" t="inlineStr">
        <is>
          <t>—</t>
        </is>
      </c>
      <c r="O292" s="29" t="inlineStr">
        <is>
          <t>—</t>
        </is>
      </c>
      <c r="P292" s="29" t="inlineStr">
        <is>
          <t>-</t>
        </is>
      </c>
      <c r="Q292" s="29" t="inlineStr">
        <is>
          <t>Taller de pintura con copa de vino. Se reserva por sesión.</t>
        </is>
      </c>
      <c r="R292" s="29" t="inlineStr"/>
      <c r="S292" s="29" t="inlineStr">
        <is>
          <t>—</t>
        </is>
      </c>
      <c r="T292" s="30" t="inlineStr">
        <is>
          <t>Abrir ↗</t>
        </is>
      </c>
      <c r="U292" s="32" t="inlineStr">
        <is>
          <t>lista google</t>
        </is>
      </c>
      <c r="V292" s="20" t="inlineStr"/>
    </row>
    <row r="293" ht="46" customHeight="1">
      <c r="A293" s="23" t="inlineStr">
        <is>
          <t>Time To Paint - Painting Studio</t>
        </is>
      </c>
      <c r="B293" s="24" t="inlineStr">
        <is>
          <t>Taller y experiencia</t>
        </is>
      </c>
      <c r="C293" s="25" t="inlineStr">
        <is>
          <t>Evento</t>
        </is>
      </c>
      <c r="D293" s="25" t="inlineStr">
        <is>
          <t>Manhattan</t>
        </is>
      </c>
      <c r="E293" s="25" t="inlineStr">
        <is>
          <t>Manhattan</t>
        </is>
      </c>
      <c r="F293" s="12" t="n">
        <v>1</v>
      </c>
      <c r="G293" s="12" t="n">
        <v>1</v>
      </c>
      <c r="H293" s="26">
        <f>IF(AND(F293=2,G293=2),"AMBOS",IF(AND(F293=2,G293&lt;2),"solo JP",IF(AND(F293&lt;2,G293=2),"solo Thais","-")))</f>
        <v/>
      </c>
      <c r="I293" s="27" t="n">
        <v>45</v>
      </c>
      <c r="J293" s="28" t="n">
        <v>2</v>
      </c>
      <c r="K293" s="26" t="inlineStr">
        <is>
          <t>no</t>
        </is>
      </c>
      <c r="L293" s="29" t="inlineStr">
        <is>
          <t>—</t>
        </is>
      </c>
      <c r="M293" s="25" t="inlineStr">
        <is>
          <t>—</t>
        </is>
      </c>
      <c r="N293" s="29" t="inlineStr">
        <is>
          <t>—</t>
        </is>
      </c>
      <c r="O293" s="29" t="inlineStr">
        <is>
          <t>—</t>
        </is>
      </c>
      <c r="P293" s="29" t="inlineStr">
        <is>
          <t>-</t>
        </is>
      </c>
      <c r="Q293" s="29" t="inlineStr">
        <is>
          <t>Estudio para pintar por sesión, mismo formato que Paint 'N Pour.</t>
        </is>
      </c>
      <c r="R293" s="29" t="inlineStr"/>
      <c r="S293" s="29" t="inlineStr">
        <is>
          <t>—</t>
        </is>
      </c>
      <c r="T293" s="30" t="inlineStr">
        <is>
          <t>Abrir ↗</t>
        </is>
      </c>
      <c r="U293" s="32" t="inlineStr">
        <is>
          <t>lista google</t>
        </is>
      </c>
      <c r="V293" s="20" t="inlineStr"/>
    </row>
    <row r="294" ht="46" customHeight="1">
      <c r="A294" s="23" t="inlineStr">
        <is>
          <t>Green-Wood Discover Trolley Tour</t>
        </is>
      </c>
      <c r="B294" s="24" t="inlineStr">
        <is>
          <t>Tour guiado</t>
        </is>
      </c>
      <c r="C294" s="25" t="inlineStr">
        <is>
          <t>Evento</t>
        </is>
      </c>
      <c r="D294" s="25" t="inlineStr">
        <is>
          <t>Greenwood Heights</t>
        </is>
      </c>
      <c r="E294" s="25" t="inlineStr">
        <is>
          <t>Brooklyn</t>
        </is>
      </c>
      <c r="F294" s="12" t="n">
        <v>0</v>
      </c>
      <c r="G294" s="12" t="n">
        <v>0</v>
      </c>
      <c r="H294" s="26">
        <f>IF(AND(F294=2,G294=2),"AMBOS",IF(AND(F294=2,G294&lt;2),"solo JP",IF(AND(F294&lt;2,G294=2),"solo Thais","-")))</f>
        <v/>
      </c>
      <c r="I294" s="27" t="n">
        <v>25</v>
      </c>
      <c r="J294" s="28" t="n">
        <v>2</v>
      </c>
      <c r="K294" s="26" t="inlineStr">
        <is>
          <t>no</t>
        </is>
      </c>
      <c r="L294" s="29" t="inlineStr">
        <is>
          <t>—</t>
        </is>
      </c>
      <c r="M294" s="25" t="inlineStr">
        <is>
          <t>—</t>
        </is>
      </c>
      <c r="N294" s="29" t="inlineStr">
        <is>
          <t>—</t>
        </is>
      </c>
      <c r="O294" s="29" t="inlineStr">
        <is>
          <t>reservar</t>
        </is>
      </c>
      <c r="P294" s="29" t="inlineStr">
        <is>
          <t>25 St (R)</t>
        </is>
      </c>
      <c r="Q294" s="29" t="inlineStr">
        <is>
          <t>SABADO 29 DE AGOSTO y SABADO 5 DE SEPTIEMBRE, 13-15h. Recorrido en trolley por las 190 hectareas con guia. Es la forma de ver el cementerio entero sin caminar seis horas.</t>
        </is>
      </c>
      <c r="R294" s="29" t="inlineStr">
        <is>
          <t>500 25th St, Brooklyn</t>
        </is>
      </c>
      <c r="S294" s="29" t="inlineStr">
        <is>
          <t>—</t>
        </is>
      </c>
      <c r="T294" s="30" t="inlineStr">
        <is>
          <t>Abrir ↗</t>
        </is>
      </c>
      <c r="U294" s="31" t="inlineStr">
        <is>
          <t>otros</t>
        </is>
      </c>
      <c r="V294" s="20" t="inlineStr"/>
    </row>
    <row r="295" ht="46" customHeight="1">
      <c r="A295" s="23" t="inlineStr">
        <is>
          <t>Hamilton</t>
        </is>
      </c>
      <c r="B295" s="24" t="inlineStr">
        <is>
          <t>Musical de Broadway</t>
        </is>
      </c>
      <c r="C295" s="25" t="inlineStr">
        <is>
          <t>Teatro</t>
        </is>
      </c>
      <c r="D295" s="25" t="inlineStr">
        <is>
          <t>Theater District</t>
        </is>
      </c>
      <c r="E295" s="25" t="inlineStr">
        <is>
          <t>Manhattan</t>
        </is>
      </c>
      <c r="F295" s="12" t="n">
        <v>0</v>
      </c>
      <c r="G295" s="12" t="n">
        <v>0</v>
      </c>
      <c r="H295" s="26">
        <f>IF(AND(F295=2,G295=2),"AMBOS",IF(AND(F295=2,G295&lt;2),"solo JP",IF(AND(F295&lt;2,G295=2),"solo Thais","-")))</f>
        <v/>
      </c>
      <c r="I295" s="27" t="n">
        <v>112</v>
      </c>
      <c r="J295" s="28" t="n">
        <v>3</v>
      </c>
      <c r="K295" s="26" t="inlineStr">
        <is>
          <t>SÍ</t>
        </is>
      </c>
      <c r="L295" s="29" t="inlineStr">
        <is>
          <t>—</t>
        </is>
      </c>
      <c r="M295" s="25" t="inlineStr">
        <is>
          <t>—</t>
        </is>
      </c>
      <c r="N295" s="29" t="inlineStr">
        <is>
          <t>—</t>
        </is>
      </c>
      <c r="O295" s="29" t="inlineStr">
        <is>
          <t>—</t>
        </is>
      </c>
      <c r="P295" s="29" t="inlineStr">
        <is>
          <t>50 St (1), 49 St (N,R,W)</t>
        </is>
      </c>
      <c r="Q295" s="29" t="inlineStr">
        <is>
          <t>Sigue siendo el show mas dificil de conseguir barato, pero la loteria de $10 es gratis de intentar y asigna butacas de primera fila. Anotarse todos los dias desde ya.</t>
        </is>
      </c>
      <c r="R295" s="29" t="inlineStr">
        <is>
          <t>Richard Rodgers Theatre, 226 W 46th St</t>
        </is>
      </c>
      <c r="S295" s="29" t="inlineStr">
        <is>
          <t>—</t>
        </is>
      </c>
      <c r="T295" s="30" t="inlineStr">
        <is>
          <t>Abrir ↗</t>
        </is>
      </c>
      <c r="U295" s="31" t="inlineStr">
        <is>
          <t>otros</t>
        </is>
      </c>
      <c r="V295" s="20" t="inlineStr"/>
    </row>
    <row r="296" ht="46" customHeight="1">
      <c r="A296" s="23" t="inlineStr">
        <is>
          <t>Maybe Happy Ending</t>
        </is>
      </c>
      <c r="B296" s="24" t="inlineStr">
        <is>
          <t>Musical de Broadway</t>
        </is>
      </c>
      <c r="C296" s="25" t="inlineStr">
        <is>
          <t>Teatro</t>
        </is>
      </c>
      <c r="D296" s="25" t="inlineStr">
        <is>
          <t>Theater District</t>
        </is>
      </c>
      <c r="E296" s="25" t="inlineStr">
        <is>
          <t>Manhattan</t>
        </is>
      </c>
      <c r="F296" s="12" t="n">
        <v>0</v>
      </c>
      <c r="G296" s="12" t="n">
        <v>0</v>
      </c>
      <c r="H296" s="26">
        <f>IF(AND(F296=2,G296=2),"AMBOS",IF(AND(F296=2,G296&lt;2),"solo JP",IF(AND(F296&lt;2,G296=2),"solo Thais","-")))</f>
        <v/>
      </c>
      <c r="I296" s="27" t="n">
        <v>59</v>
      </c>
      <c r="J296" s="28" t="n">
        <v>2.5</v>
      </c>
      <c r="K296" s="26" t="inlineStr">
        <is>
          <t>no</t>
        </is>
      </c>
      <c r="L296" s="29" t="inlineStr">
        <is>
          <t>—</t>
        </is>
      </c>
      <c r="M296" s="25" t="inlineStr">
        <is>
          <t>—</t>
        </is>
      </c>
      <c r="N296" s="29" t="inlineStr">
        <is>
          <t>—</t>
        </is>
      </c>
      <c r="O296" s="29" t="inlineStr">
        <is>
          <t>—</t>
        </is>
      </c>
      <c r="P296" s="29" t="inlineStr">
        <is>
          <t>49 St (N,R,W)</t>
        </is>
      </c>
      <c r="Q296" s="29" t="inlineStr">
        <is>
          <t>Musical sobre dos robots obsoletos en Seul. Es la mejor relacion calidad/precio de la cartelera actual y la loteria de $20 es de las mas accesibles.</t>
        </is>
      </c>
      <c r="R296" s="29" t="inlineStr">
        <is>
          <t>Belasco Theatre, 111 W 44th St</t>
        </is>
      </c>
      <c r="S296" s="29" t="inlineStr">
        <is>
          <t>—</t>
        </is>
      </c>
      <c r="T296" s="30" t="inlineStr">
        <is>
          <t>Abrir ↗</t>
        </is>
      </c>
      <c r="U296" s="31" t="inlineStr">
        <is>
          <t>otros</t>
        </is>
      </c>
      <c r="V296" s="20" t="inlineStr"/>
    </row>
    <row r="297" ht="46" customHeight="1">
      <c r="A297" s="23" t="inlineStr">
        <is>
          <t>Moulin Rouge! (ULTIMAS FUNCIONES)</t>
        </is>
      </c>
      <c r="B297" s="24" t="inlineStr">
        <is>
          <t>Musical de Broadway</t>
        </is>
      </c>
      <c r="C297" s="25" t="inlineStr">
        <is>
          <t>Teatro</t>
        </is>
      </c>
      <c r="D297" s="25" t="inlineStr">
        <is>
          <t>Theater District</t>
        </is>
      </c>
      <c r="E297" s="25" t="inlineStr">
        <is>
          <t>Manhattan</t>
        </is>
      </c>
      <c r="F297" s="12" t="n">
        <v>1</v>
      </c>
      <c r="G297" s="12" t="n">
        <v>1</v>
      </c>
      <c r="H297" s="26">
        <f>IF(AND(F297=2,G297=2),"AMBOS",IF(AND(F297=2,G297&lt;2),"solo JP",IF(AND(F297&lt;2,G297=2),"solo Thais","-")))</f>
        <v/>
      </c>
      <c r="I297" s="27" t="n">
        <v>90</v>
      </c>
      <c r="J297" s="28" t="n">
        <v>3</v>
      </c>
      <c r="K297" s="26" t="inlineStr">
        <is>
          <t>no</t>
        </is>
      </c>
      <c r="L297" s="29" t="inlineStr">
        <is>
          <t>—</t>
        </is>
      </c>
      <c r="M297" s="25" t="inlineStr">
        <is>
          <t>—</t>
        </is>
      </c>
      <c r="N297" s="29" t="inlineStr">
        <is>
          <t>—</t>
        </is>
      </c>
      <c r="O297" s="29" t="inlineStr">
        <is>
          <t>urgente si lo quieren</t>
        </is>
      </c>
      <c r="P297" s="29" t="inlineStr">
        <is>
          <t>42 St-Port Authority (A,C,E)</t>
        </is>
      </c>
      <c r="Q297" s="29" t="inlineStr">
        <is>
          <t>CIERRA EL 30 DE AGOSTO DE 2026 (ya postergo el cierre una vez, de julio a agosto: puede volver a extender). Las dos ultimas funciones caen en el fin de semana de llegada, con demanda y precios en pico. Aaron Tveit protagoniza del 18 al 29 de agosto.</t>
        </is>
      </c>
      <c r="R297" s="29" t="inlineStr">
        <is>
          <t>Al Hirschfeld Theatre, 302 W 45th St</t>
        </is>
      </c>
      <c r="S297" s="29" t="inlineStr">
        <is>
          <t>—</t>
        </is>
      </c>
      <c r="T297" s="30" t="inlineStr">
        <is>
          <t>Abrir ↗</t>
        </is>
      </c>
      <c r="U297" s="31" t="inlineStr">
        <is>
          <t>otros</t>
        </is>
      </c>
      <c r="V297" s="20" t="inlineStr"/>
    </row>
    <row r="298" ht="46" customHeight="1">
      <c r="A298" s="23" t="inlineStr">
        <is>
          <t>Operation Mincemeat</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63</v>
      </c>
      <c r="J298" s="28" t="n">
        <v>2.5</v>
      </c>
      <c r="K298" s="26" t="inlineStr">
        <is>
          <t>no</t>
        </is>
      </c>
      <c r="L298" s="29" t="inlineStr">
        <is>
          <t>—</t>
        </is>
      </c>
      <c r="M298" s="25" t="inlineStr">
        <is>
          <t>—</t>
        </is>
      </c>
      <c r="N298" s="29" t="inlineStr">
        <is>
          <t>—</t>
        </is>
      </c>
      <c r="O298" s="29" t="inlineStr">
        <is>
          <t>—</t>
        </is>
      </c>
      <c r="P298" s="29" t="inlineStr">
        <is>
          <t>49 St (N,R,W)</t>
        </is>
      </c>
      <c r="Q298" s="29" t="inlineStr">
        <is>
          <t>Comedia musical britanica sobre una operacion de contrainteligencia real de la Segunda Guerra. Cinco actores haciendo ochenta personajes. Muy bien recibida y mas barata que los grandes musicales.</t>
        </is>
      </c>
      <c r="R298" s="29" t="inlineStr">
        <is>
          <t>John Golden Theatre, 252 W 45th St</t>
        </is>
      </c>
      <c r="S298" s="29" t="inlineStr">
        <is>
          <t>—</t>
        </is>
      </c>
      <c r="T298" s="30" t="inlineStr">
        <is>
          <t>Abrir ↗</t>
        </is>
      </c>
      <c r="U298" s="31" t="inlineStr">
        <is>
          <t>otros</t>
        </is>
      </c>
      <c r="V298" s="20" t="inlineStr"/>
    </row>
    <row r="299" ht="46" customHeight="1">
      <c r="A299" s="23" t="inlineStr">
        <is>
          <t>Little Shop of Horrors (Off-Broadway)</t>
        </is>
      </c>
      <c r="B299" s="24" t="inlineStr">
        <is>
          <t>Off-Broadway</t>
        </is>
      </c>
      <c r="C299" s="25" t="inlineStr">
        <is>
          <t>Teatro</t>
        </is>
      </c>
      <c r="D299" s="25" t="inlineStr">
        <is>
          <t>Theater District</t>
        </is>
      </c>
      <c r="E299" s="25" t="inlineStr">
        <is>
          <t>Manhattan</t>
        </is>
      </c>
      <c r="F299" s="12" t="n">
        <v>0</v>
      </c>
      <c r="G299" s="12" t="n">
        <v>0</v>
      </c>
      <c r="H299" s="26">
        <f>IF(AND(F299=2,G299=2),"AMBOS",IF(AND(F299=2,G299&lt;2),"solo JP",IF(AND(F299&lt;2,G299=2),"solo Thais","-")))</f>
        <v/>
      </c>
      <c r="I299" s="27" t="n">
        <v>40</v>
      </c>
      <c r="J299" s="28" t="n">
        <v>2</v>
      </c>
      <c r="K299" s="26" t="inlineStr">
        <is>
          <t>no</t>
        </is>
      </c>
      <c r="L299" s="29" t="inlineStr">
        <is>
          <t>—</t>
        </is>
      </c>
      <c r="M299" s="25" t="inlineStr">
        <is>
          <t>—</t>
        </is>
      </c>
      <c r="N299" s="29" t="inlineStr">
        <is>
          <t>—</t>
        </is>
      </c>
      <c r="O299" s="29" t="inlineStr">
        <is>
          <t>—</t>
        </is>
      </c>
      <c r="P299" s="29" t="inlineStr">
        <is>
          <t>50 St (C,E)</t>
        </is>
      </c>
      <c r="Q299" s="29" t="inlineStr">
        <is>
          <t>Sala chica, produccion excelente, y a un cuarto del precio de un musical grande. Off-Broadway hecho bien.</t>
        </is>
      </c>
      <c r="R299" s="29" t="inlineStr">
        <is>
          <t>Westside Theatre, 407 W 43rd St</t>
        </is>
      </c>
      <c r="S299" s="29" t="inlineStr">
        <is>
          <t>—</t>
        </is>
      </c>
      <c r="T299" s="30" t="inlineStr">
        <is>
          <t>Abrir ↗</t>
        </is>
      </c>
      <c r="U299" s="31" t="inlineStr">
        <is>
          <t>otros</t>
        </is>
      </c>
      <c r="V299" s="20" t="inlineStr"/>
    </row>
    <row r="300" ht="46" customHeight="1">
      <c r="A300" s="23" t="inlineStr">
        <is>
          <t>Stranger Things: The First Shadow (play)</t>
        </is>
      </c>
      <c r="B300" s="24" t="inlineStr">
        <is>
          <t>Play de Broadway</t>
        </is>
      </c>
      <c r="C300" s="25" t="inlineStr">
        <is>
          <t>Teatro</t>
        </is>
      </c>
      <c r="D300" s="25" t="inlineStr">
        <is>
          <t>Midtown</t>
        </is>
      </c>
      <c r="E300" s="25" t="inlineStr">
        <is>
          <t>Manhattan</t>
        </is>
      </c>
      <c r="F300" s="12" t="n">
        <v>2</v>
      </c>
      <c r="G300" s="12" t="n">
        <v>2</v>
      </c>
      <c r="H300" s="26">
        <f>IF(AND(F300=2,G300=2),"AMBOS",IF(AND(F300=2,G300&lt;2),"solo JP",IF(AND(F300&lt;2,G300=2),"solo Thais","-")))</f>
        <v/>
      </c>
      <c r="I300" s="27" t="n">
        <v>90</v>
      </c>
      <c r="J300" s="28" t="n">
        <v>2.5</v>
      </c>
      <c r="K300" s="26" t="inlineStr">
        <is>
          <t>SÍ</t>
        </is>
      </c>
      <c r="L300" s="29" t="inlineStr">
        <is>
          <t>—</t>
        </is>
      </c>
      <c r="M300" s="25" t="inlineStr">
        <is>
          <t>—</t>
        </is>
      </c>
      <c r="N300" s="29" t="inlineStr">
        <is>
          <t>—</t>
        </is>
      </c>
      <c r="O300" s="29" t="inlineStr">
        <is>
          <t>compra firme esta semana - verificar horario de funcion (19:00/19:30/20:00)</t>
        </is>
      </c>
      <c r="P300" s="29" t="inlineStr">
        <is>
          <t>Times Sq-42 St</t>
        </is>
      </c>
      <c r="Q300" s="29" t="inlineStr">
        <is>
          <t>EL play-espectaculo de Broadway: la precuela de Stranger Things con la maquinaria escenica que gano el Tony. Para quien viene de Mercer Labs, es el mismo musculo llevado al teatro.</t>
        </is>
      </c>
      <c r="R300" s="29" t="inlineStr">
        <is>
          <t>Marquis Theatre, 210 W 46th St</t>
        </is>
      </c>
      <c r="S300" s="17" t="inlineStr">
        <is>
          <t>Día 8 · sáb 5/9</t>
        </is>
      </c>
      <c r="T300" s="30" t="inlineStr">
        <is>
          <t>Abrir ↗</t>
        </is>
      </c>
      <c r="U300" s="31" t="inlineStr">
        <is>
          <t>otros</t>
        </is>
      </c>
      <c r="V300" s="20" t="inlineStr"/>
    </row>
    <row r="301" ht="46" customHeight="1">
      <c r="A301" s="23" t="inlineStr">
        <is>
          <t>TKTS Lincoln Center</t>
        </is>
      </c>
      <c r="B301" s="24" t="inlineStr">
        <is>
          <t>Tickets con descuento</t>
        </is>
      </c>
      <c r="C301" s="25" t="inlineStr">
        <is>
          <t>Teatro</t>
        </is>
      </c>
      <c r="D301" s="25" t="inlineStr">
        <is>
          <t>Lincoln Square</t>
        </is>
      </c>
      <c r="E301" s="25" t="inlineStr">
        <is>
          <t>Manhattan</t>
        </is>
      </c>
      <c r="F301" s="12" t="n">
        <v>0</v>
      </c>
      <c r="G301" s="12" t="n">
        <v>0</v>
      </c>
      <c r="H301" s="26">
        <f>IF(AND(F301=2,G301=2),"AMBOS",IF(AND(F301=2,G301&lt;2),"solo JP",IF(AND(F301&lt;2,G301=2),"solo Thais","-")))</f>
        <v/>
      </c>
      <c r="I301" s="27" t="n">
        <v>0</v>
      </c>
      <c r="J301" s="28" t="n">
        <v>0.75</v>
      </c>
      <c r="K301" s="26" t="inlineStr">
        <is>
          <t>no</t>
        </is>
      </c>
      <c r="L301" s="29" t="inlineStr">
        <is>
          <t>lunes: cerrado · martes a sábado: 11:00–18:00 · domingo: cerrado</t>
        </is>
      </c>
      <c r="M301" s="25" t="inlineStr">
        <is>
          <t>lunes y domingos</t>
        </is>
      </c>
      <c r="N301" s="29" t="inlineStr">
        <is>
          <t>—</t>
        </is>
      </c>
      <c r="O301" s="29" t="inlineStr">
        <is>
          <t>—</t>
        </is>
      </c>
      <c r="P301" s="29" t="inlineStr">
        <is>
          <t>66 St-Lincoln Center (1)</t>
        </is>
      </c>
      <c r="Q301" s="29" t="inlineStr">
        <is>
          <t>Mismo inventario que el booth de Times Square y casi siempre sin cola. Mar-sab 11-18h. Usar la app de TKTS para ver el inventario en tiempo real ANTES de ir. A 10 cuadras del hotel The Beacon.</t>
        </is>
      </c>
      <c r="R301" s="29" t="inlineStr">
        <is>
          <t>61 W 62nd St</t>
        </is>
      </c>
      <c r="S301" s="29" t="inlineStr">
        <is>
          <t>—</t>
        </is>
      </c>
      <c r="T301" s="30" t="inlineStr">
        <is>
          <t>Abrir ↗</t>
        </is>
      </c>
      <c r="U301" s="32" t="inlineStr">
        <is>
          <t>lista google</t>
        </is>
      </c>
      <c r="V301" s="20" t="inlineStr"/>
    </row>
    <row r="302" ht="46" customHeight="1">
      <c r="A302" s="9" t="inlineStr">
        <is>
          <t>NYC Ferry DUMBO → Wall St</t>
        </is>
      </c>
      <c r="B302" s="10" t="inlineStr">
        <is>
          <t>Ferry y teleférico</t>
        </is>
      </c>
      <c r="C302" s="11" t="inlineStr">
        <is>
          <t>Logística</t>
        </is>
      </c>
      <c r="D302" s="11" t="inlineStr">
        <is>
          <t>East River</t>
        </is>
      </c>
      <c r="E302" s="11" t="inlineStr">
        <is>
          <t>Manhattan</t>
        </is>
      </c>
      <c r="F302" s="12" t="n">
        <v>1</v>
      </c>
      <c r="G302" s="12" t="n">
        <v>1</v>
      </c>
      <c r="H302" s="13">
        <f>IF(AND(F302=2,G302=2),"AMBOS",IF(AND(F302=2,G302&lt;2),"solo JP",IF(AND(F302&lt;2,G302=2),"solo Thais","-")))</f>
        <v/>
      </c>
      <c r="I302" s="14" t="n">
        <v>4</v>
      </c>
      <c r="J302" s="15" t="n">
        <v>0.5</v>
      </c>
      <c r="K302" s="13" t="inlineStr">
        <is>
          <t>no</t>
        </is>
      </c>
      <c r="L302" s="16" t="inlineStr">
        <is>
          <t>—</t>
        </is>
      </c>
      <c r="M302" s="11" t="inlineStr">
        <is>
          <t>—</t>
        </is>
      </c>
      <c r="N302" s="16" t="inlineStr">
        <is>
          <t>—</t>
        </is>
      </c>
      <c r="O302" s="16" t="inlineStr">
        <is>
          <t>—</t>
        </is>
      </c>
      <c r="P302" s="16" t="inlineStr">
        <is>
          <t>Pier 1 DUMBO / Pier 11 Wall St</t>
        </is>
      </c>
      <c r="Q302" s="16" t="inlineStr">
        <is>
          <t>$4,50 y cruza el East River con el puente de Brooklyn de frente: la vista del crucero turístico por precio de subte.</t>
        </is>
      </c>
      <c r="R302" s="16" t="inlineStr"/>
      <c r="S302" s="16" t="inlineStr">
        <is>
          <t>—</t>
        </is>
      </c>
      <c r="T302" s="18" t="inlineStr">
        <is>
          <t>Abrir ↗</t>
        </is>
      </c>
      <c r="U302" s="19" t="inlineStr">
        <is>
          <t>lista google</t>
        </is>
      </c>
      <c r="V302" s="20" t="inlineStr"/>
    </row>
    <row r="303" ht="46" customHeight="1">
      <c r="A303" s="9" t="inlineStr">
        <is>
          <t>Hotel Ink48 (29-31 ago)</t>
        </is>
      </c>
      <c r="B303" s="10" t="inlineStr">
        <is>
          <t>Hotel</t>
        </is>
      </c>
      <c r="C303" s="11" t="inlineStr">
        <is>
          <t>Logística</t>
        </is>
      </c>
      <c r="D303" s="11" t="inlineStr">
        <is>
          <t>Hell's Kitchen</t>
        </is>
      </c>
      <c r="E303" s="11" t="inlineStr">
        <is>
          <t>Manhattan</t>
        </is>
      </c>
      <c r="F303" s="12" t="n">
        <v>2</v>
      </c>
      <c r="G303" s="12" t="n">
        <v>2</v>
      </c>
      <c r="H303" s="13">
        <f>IF(AND(F303=2,G303=2),"AMBOS",IF(AND(F303=2,G303&lt;2),"solo JP",IF(AND(F303&lt;2,G303=2),"solo Thais","-")))</f>
        <v/>
      </c>
      <c r="I303" s="14" t="n">
        <v>0</v>
      </c>
      <c r="J303" s="15" t="n">
        <v>0</v>
      </c>
      <c r="K303" s="13" t="inlineStr">
        <is>
          <t>no</t>
        </is>
      </c>
      <c r="L303" s="16" t="inlineStr">
        <is>
          <t>—</t>
        </is>
      </c>
      <c r="M303" s="11" t="inlineStr">
        <is>
          <t>—</t>
        </is>
      </c>
      <c r="N303" s="16" t="inlineStr">
        <is>
          <t>—</t>
        </is>
      </c>
      <c r="O303" s="16" t="inlineStr">
        <is>
          <t>—</t>
        </is>
      </c>
      <c r="P303" s="16" t="inlineStr">
        <is>
          <t>50 St (C,E) a ~12 min caminando</t>
        </is>
      </c>
      <c r="Q303" s="16" t="inlineStr">
        <is>
          <t>Base 29-31 de agosto. Esta lejos del subte (12 min al este hasta la 8va Av). Cerca: Intrepid, High Line norte, Hudson Yards, Birdland.</t>
        </is>
      </c>
      <c r="R303" s="16" t="inlineStr">
        <is>
          <t>653 11th Ave</t>
        </is>
      </c>
      <c r="S303" s="17" t="inlineStr">
        <is>
          <t>Día 1 · sáb 29/8, Día 3 · lun 31/8</t>
        </is>
      </c>
      <c r="T303" s="18" t="inlineStr">
        <is>
          <t>Abrir ↗</t>
        </is>
      </c>
      <c r="U303" s="19" t="inlineStr">
        <is>
          <t>lista google</t>
        </is>
      </c>
      <c r="V303" s="20" t="inlineStr"/>
    </row>
    <row r="304" ht="46" customHeight="1">
      <c r="A304" s="9" t="inlineStr">
        <is>
          <t>Hotel The Beacon (3-6 sep)</t>
        </is>
      </c>
      <c r="B304" s="10" t="inlineStr">
        <is>
          <t>Hotel</t>
        </is>
      </c>
      <c r="C304" s="11" t="inlineStr">
        <is>
          <t>Logística</t>
        </is>
      </c>
      <c r="D304" s="11" t="inlineStr">
        <is>
          <t>Upper West Side</t>
        </is>
      </c>
      <c r="E304" s="11" t="inlineStr">
        <is>
          <t>Manhattan</t>
        </is>
      </c>
      <c r="F304" s="12" t="n">
        <v>2</v>
      </c>
      <c r="G304" s="12" t="n">
        <v>2</v>
      </c>
      <c r="H304" s="13">
        <f>IF(AND(F304=2,G304=2),"AMBOS",IF(AND(F304=2,G304&lt;2),"solo JP",IF(AND(F304&lt;2,G304=2),"solo Thais","-")))</f>
        <v/>
      </c>
      <c r="I304" s="14" t="n">
        <v>0</v>
      </c>
      <c r="J304" s="15" t="n">
        <v>0</v>
      </c>
      <c r="K304" s="13" t="inlineStr">
        <is>
          <t>no</t>
        </is>
      </c>
      <c r="L304" s="16" t="inlineStr">
        <is>
          <t>—</t>
        </is>
      </c>
      <c r="M304" s="11" t="inlineStr">
        <is>
          <t>—</t>
        </is>
      </c>
      <c r="N304" s="16" t="inlineStr">
        <is>
          <t>—</t>
        </is>
      </c>
      <c r="O304" s="16" t="inlineStr">
        <is>
          <t>—</t>
        </is>
      </c>
      <c r="P304" s="16" t="inlineStr">
        <is>
          <t>72 St (1,2,3) a 3 cuadras</t>
        </is>
      </c>
      <c r="Q304" s="16" t="inlineStr">
        <is>
          <t>Base 3-6 de septiembre. Ubicacion excelente: la 1/2/3 llega a Penn Station en 10 min. Cerca: Central Park, AMNH, TKTS Lincoln Center, Dizzy's.</t>
        </is>
      </c>
      <c r="R304" s="16" t="inlineStr">
        <is>
          <t>2130 Broadway</t>
        </is>
      </c>
      <c r="S304" s="17" t="inlineStr">
        <is>
          <t>Día 6 · jue 3/9, Día 9 · dom 6/9</t>
        </is>
      </c>
      <c r="T304" s="18" t="inlineStr">
        <is>
          <t>Abrir ↗</t>
        </is>
      </c>
      <c r="U304" s="19" t="inlineStr">
        <is>
          <t>lista google</t>
        </is>
      </c>
      <c r="V304" s="20" t="inlineStr"/>
    </row>
    <row r="305" ht="46" customHeight="1">
      <c r="A305" s="9" t="inlineStr">
        <is>
          <t>JGSTAY SoHo (JP: 31 ago-2 sep)</t>
        </is>
      </c>
      <c r="B305" s="10" t="inlineStr">
        <is>
          <t>Hotel</t>
        </is>
      </c>
      <c r="C305" s="11" t="inlineStr">
        <is>
          <t>Logística</t>
        </is>
      </c>
      <c r="D305" s="11" t="inlineStr">
        <is>
          <t>SoHo</t>
        </is>
      </c>
      <c r="E305" s="11" t="inlineStr">
        <is>
          <t>Manhattan</t>
        </is>
      </c>
      <c r="F305" s="12" t="n">
        <v>2</v>
      </c>
      <c r="G305" s="12" t="n">
        <v>0</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Canal St: la del 6/J/Z esta EN la esquina (Lafayette y Canal); N/Q/R/W a 2 cuadras</t>
        </is>
      </c>
      <c r="Q305" s="16" t="inlineStr">
        <is>
          <t>Base de JP lunes y martes a la noche: se acabaron las dos vueltas nocturnas a New Jersey. Recepcion 24 h, CONSIGNA de equipaje y desayuno incluido 7-9 AM. Canal St al lado = 6 directo al MET y Grand Central, A/C al AMNH, y el Village a 15-20 min a pie.</t>
        </is>
      </c>
      <c r="R305" s="16" t="inlineStr">
        <is>
          <t>120 Lafayette St, NY 10013</t>
        </is>
      </c>
      <c r="S305" s="17" t="inlineStr">
        <is>
          <t>Día 3 · lun 31/8, Día 4 · mar 1/9, Día 5 · mié 2/9</t>
        </is>
      </c>
      <c r="T305" s="18" t="inlineStr">
        <is>
          <t>Abrir ↗</t>
        </is>
      </c>
      <c r="U305" s="21" t="inlineStr">
        <is>
          <t>otros</t>
        </is>
      </c>
      <c r="V305" s="20" t="inlineStr"/>
    </row>
    <row r="306" ht="46" customHeight="1">
      <c r="A306" s="9" t="inlineStr">
        <is>
          <t>Residence Inn Branchburg (Thais 31/8-3/9 · JP solo la noche del 2)</t>
        </is>
      </c>
      <c r="B306" s="10" t="inlineStr">
        <is>
          <t>Hotel</t>
        </is>
      </c>
      <c r="C306" s="11" t="inlineStr">
        <is>
          <t>Logística</t>
        </is>
      </c>
      <c r="D306" s="11" t="inlineStr">
        <is>
          <t>Branchburg</t>
        </is>
      </c>
      <c r="E306" s="11" t="inlineStr">
        <is>
          <t>New Jersey</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Estacion Raritan (NJ Transit RVL) a 6,4 km</t>
        </is>
      </c>
      <c r="Q306" s="16" t="inlineStr">
        <is>
          <t>Base en NJ. NO tiene shuttle (confirmado por Marriott). Estacionamiento propio gratis. Para llegar al tren hay que tomar Uber (~$14-20 por tramo a Raritan).</t>
        </is>
      </c>
      <c r="R306" s="16" t="inlineStr">
        <is>
          <t>3241 US Highway 22 East, Branchburg NJ</t>
        </is>
      </c>
      <c r="S306" s="17" t="inlineStr">
        <is>
          <t>Día 5 · mié 2/9, Día 6 · jue 3/9</t>
        </is>
      </c>
      <c r="T306" s="18" t="inlineStr">
        <is>
          <t>Abrir ↗</t>
        </is>
      </c>
      <c r="U306" s="19" t="inlineStr">
        <is>
          <t>lista google</t>
        </is>
      </c>
      <c r="V306" s="20" t="inlineStr"/>
    </row>
  </sheetData>
  <autoFilter ref="A4:V306"/>
  <mergeCells count="2">
    <mergeCell ref="A2:V2"/>
    <mergeCell ref="A1:V1"/>
  </mergeCells>
  <conditionalFormatting sqref="H5:H306">
    <cfRule type="cellIs" priority="1" operator="equal" dxfId="0">
      <formula>"AMBOS"</formula>
    </cfRule>
  </conditionalFormatting>
  <dataValidations count="2">
    <dataValidation sqref="F5:G306" showDropDown="0" showInputMessage="0" showErrorMessage="0" allowBlank="0" errorTitle="Valor inválido" error="Solo 0, 1 o 2" promptTitle="Nivel de interés" prompt="0 = no me interesa · 1 = quizás · 2 = sí quiero" type="list">
      <formula1>"0,1,2"</formula1>
    </dataValidation>
    <dataValidation sqref="V5:V306"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3"/>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 CAMBIO EN LA LLEGADA: entra el UBER SHUTTLE en vez de AirTrain + NJ Transit + taxi. Para dos personas sale más barato —$41,40 contra $46-52— y sobre todo es UN solo transporte con las valijas en vez de tres, a las siete de la mañana y después de un vuelo nocturno. Lo que se paga: llegan al hotel ~9:10 en vez de ~8:20, y los shuttles salen cada 40-50 minutos mientras que el tren sale cada 10-15. Si migraciones se estira más de lo previsto, EL PLAN VIEJO SIGUE SIENDO MEJOR y está escrito en las alternativas del día.</t>
        </is>
      </c>
    </row>
    <row r="7" ht="16" customHeight="1">
      <c r="A7" s="35" t="n"/>
      <c r="B7" s="36" t="inlineStr">
        <is>
          <t>06:00</t>
        </is>
      </c>
      <c r="C7" s="37" t="inlineStr">
        <is>
          <t>07:20</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07:20</t>
        </is>
      </c>
      <c r="C8" s="37" t="inlineStr">
        <is>
          <t>07:40</t>
        </is>
      </c>
      <c r="D8" s="38" t="inlineStr">
        <is>
          <t>Ambos</t>
        </is>
      </c>
      <c r="E8" s="39" t="inlineStr">
        <is>
          <t>Caminar a la zona de recogida del UBER SHUTTLE: Terminal B, Zona 5 — son ~6 min desde la puerta de llegadas. Pedirlo en la app apenas salgan de migraciones.</t>
        </is>
      </c>
      <c r="F8" s="37" t="inlineStr"/>
      <c r="G8" s="40" t="inlineStr"/>
      <c r="H8" s="41" t="inlineStr"/>
      <c r="I8" s="41" t="inlineStr"/>
    </row>
    <row r="9" ht="30" customHeight="1">
      <c r="A9" s="35" t="n"/>
      <c r="B9" s="36" t="inlineStr">
        <is>
          <t>07:40</t>
        </is>
      </c>
      <c r="C9" s="37" t="inlineStr">
        <is>
          <t>08:54</t>
        </is>
      </c>
      <c r="D9" s="38" t="inlineStr">
        <is>
          <t>Ambos</t>
        </is>
      </c>
      <c r="E9" s="39" t="inlineStr">
        <is>
          <t>★ UBER SHUTTLE EWR → THEATRE DISTRICT (50th St y 8th Ave). $20,70 POR PERSONA = $41,40 los dos, precio fijo y asiento reservado. Llega 8:54. UN SOLO transporte con las valijas, después de un vuelo nocturno: sin AirTrain, sin transbordo en Penn Station y sin taxi. Horarios del sábado desde Terminal B: 7:40 · 7:50 (a Port Authority) · 8:30 · 8:35.</t>
        </is>
      </c>
      <c r="F9" s="37" t="inlineStr"/>
      <c r="G9" s="40" t="inlineStr"/>
      <c r="H9" s="41" t="inlineStr"/>
      <c r="I9" s="41" t="inlineStr"/>
    </row>
    <row r="10" ht="30" customHeight="1">
      <c r="A10" s="35" t="n"/>
      <c r="B10" s="36" t="inlineStr">
        <is>
          <t>08:54</t>
        </is>
      </c>
      <c r="C10" s="37" t="inlineStr">
        <is>
          <t>09:10</t>
        </is>
      </c>
      <c r="D10" s="38" t="inlineStr">
        <is>
          <t>Ambos</t>
        </is>
      </c>
      <c r="E10" s="39" t="inlineStr">
        <is>
          <t>Bajar en Theatre District y caminar 13 min al Ink48 (50th y 8ª → 48th y 11ª, todo derecho por la 48). Con valijas es lo único que cuesta de esta opción.</t>
        </is>
      </c>
      <c r="F10" s="37" t="inlineStr"/>
      <c r="G10" s="40" t="inlineStr"/>
      <c r="H10" s="41" t="inlineStr"/>
      <c r="I10" s="41" t="inlineStr"/>
    </row>
    <row r="11" ht="16" customHeight="1">
      <c r="A11" s="35" t="n"/>
      <c r="B11" s="36" t="inlineStr">
        <is>
          <t>09:10</t>
        </is>
      </c>
      <c r="C11" s="37" t="inlineStr">
        <is>
          <t>09:25</t>
        </is>
      </c>
      <c r="D11" s="38" t="inlineStr">
        <is>
          <t>Ambos</t>
        </is>
      </c>
      <c r="E11" s="39" t="inlineStr">
        <is>
          <t>Ink48: dejar valijas y, si consiguieron el early check-in, ducha y ropa limpia.</t>
        </is>
      </c>
      <c r="F11" s="37" t="inlineStr">
        <is>
          <t>Hotel Ink48 (29-31 ago)</t>
        </is>
      </c>
      <c r="G11" s="40" t="inlineStr"/>
      <c r="H11" s="41" t="inlineStr"/>
      <c r="I11" s="41" t="inlineStr"/>
    </row>
    <row r="12" ht="30" customHeight="1">
      <c r="A12" s="35" t="n"/>
      <c r="B12" s="36" t="inlineStr">
        <is>
          <t>09:25</t>
        </is>
      </c>
      <c r="C12" s="37" t="inlineStr">
        <is>
          <t>10:00</t>
        </is>
      </c>
      <c r="D12" s="38" t="inlineStr">
        <is>
          <t>Ambos</t>
        </is>
      </c>
      <c r="E12" s="39" t="inlineStr">
        <is>
          <t>Desayuno RÁPIDO en Hell's Kitchen, sobre la 9ª o la 10ª. Hoy es rápido de verdad: el shuttle llega más tarde que el tren y el subte a Harlem sale 10:00.</t>
        </is>
      </c>
      <c r="F12" s="37" t="inlineStr"/>
      <c r="G12" s="40" t="inlineStr"/>
      <c r="H12" s="41" t="inlineStr"/>
      <c r="I12" s="41" t="inlineStr"/>
    </row>
    <row r="13" ht="16" customHeight="1">
      <c r="A13" s="35" t="n"/>
      <c r="B13" s="36" t="inlineStr">
        <is>
          <t>10:00</t>
        </is>
      </c>
      <c r="C13" s="37" t="inlineStr">
        <is>
          <t>10:30</t>
        </is>
      </c>
      <c r="D13" s="38" t="inlineStr">
        <is>
          <t>Ambos</t>
        </is>
      </c>
      <c r="E13" s="39" t="inlineStr">
        <is>
          <t>Subte A o D express desde 42 St hasta 125 St: 12 minutos y ya están en Harlem.</t>
        </is>
      </c>
      <c r="F13" s="37" t="inlineStr"/>
      <c r="G13" s="40" t="inlineStr"/>
      <c r="H13" s="41" t="inlineStr"/>
      <c r="I13" s="41" t="inlineStr"/>
    </row>
    <row r="14" ht="30" customHeight="1">
      <c r="A14" s="35" t="n"/>
      <c r="B14" s="42" t="inlineStr">
        <is>
          <t>10:30</t>
        </is>
      </c>
      <c r="C14" s="43" t="inlineStr">
        <is>
          <t>11:30</t>
        </is>
      </c>
      <c r="D14" s="44" t="inlineStr">
        <is>
          <t>Ambos</t>
        </is>
      </c>
      <c r="E14" s="45" t="inlineStr">
        <is>
          <t>Caminata por Harlem: 125th St, Adam Clayton Powell Blvd y las brownstones del Mount Morris Park Historic District.</t>
        </is>
      </c>
      <c r="F14" s="43" t="inlineStr">
        <is>
          <t>Harlem</t>
        </is>
      </c>
      <c r="G14" s="40" t="inlineStr"/>
      <c r="H14" s="41" t="inlineStr"/>
      <c r="I14" s="41" t="inlineStr"/>
    </row>
    <row r="15" ht="30" customHeight="1">
      <c r="A15" s="35" t="n"/>
      <c r="B15" s="36" t="inlineStr">
        <is>
          <t>11:30</t>
        </is>
      </c>
      <c r="C15" s="37" t="inlineStr">
        <is>
          <t>12:00</t>
        </is>
      </c>
      <c r="D15" s="38" t="inlineStr">
        <is>
          <t>Ambos</t>
        </is>
      </c>
      <c r="E15" s="39" t="inlineStr">
        <is>
          <t>Bo's Bagels (235 W 116th St) — bagel rápido, sin sentarse mucho: hoy el almuerzo fuerte es italiano en el Bronx.</t>
        </is>
      </c>
      <c r="F15" s="37" t="inlineStr">
        <is>
          <t>Bo's Bagels</t>
        </is>
      </c>
      <c r="G15" s="40" t="inlineStr">
        <is>
          <t>🚶 ~15 min a pie · 1.1 km · estimado</t>
        </is>
      </c>
      <c r="H15" s="41" t="inlineStr"/>
      <c r="I15" s="41" t="inlineStr"/>
    </row>
    <row r="16" ht="30" customHeight="1">
      <c r="A16" s="35" t="n"/>
      <c r="B16" s="42" t="inlineStr">
        <is>
          <t>12:00</t>
        </is>
      </c>
      <c r="C16" s="43" t="inlineStr">
        <is>
          <t>13:30</t>
        </is>
      </c>
      <c r="D16" s="44" t="inlineStr">
        <is>
          <t>Ambos</t>
        </is>
      </c>
      <c r="E16"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6" s="43" t="inlineStr">
        <is>
          <t>Studio Museum in Harlem</t>
        </is>
      </c>
      <c r="G16" s="40" t="inlineStr">
        <is>
          <t>🚶 ~14 min a pie · 1.0 km · estimado</t>
        </is>
      </c>
      <c r="H16" s="41" t="inlineStr"/>
      <c r="I16" s="41" t="inlineStr"/>
    </row>
    <row r="17" ht="30" customHeight="1">
      <c r="A17" s="35" t="n"/>
      <c r="B17" s="36" t="inlineStr">
        <is>
          <t>13:30</t>
        </is>
      </c>
      <c r="C17" s="37" t="inlineStr">
        <is>
          <t>14:00</t>
        </is>
      </c>
      <c r="D17" s="38" t="inlineStr">
        <is>
          <t>Ambos</t>
        </is>
      </c>
      <c r="E17" s="39" t="inlineStr">
        <is>
          <t>Subte D desde 125 St hasta Fordham Rd (~20 min). Alternativa: Metro-North desde Harlem-125th a Fordham, 12 minutos.</t>
        </is>
      </c>
      <c r="F17" s="37" t="inlineStr"/>
      <c r="G17" s="40" t="inlineStr"/>
      <c r="H17" s="41" t="inlineStr"/>
      <c r="I17" s="41" t="inlineStr"/>
    </row>
    <row r="18" ht="30" customHeight="1">
      <c r="A18" s="35" t="n"/>
      <c r="B18" s="42" t="inlineStr">
        <is>
          <t>14:00</t>
        </is>
      </c>
      <c r="C18" s="43" t="inlineStr">
        <is>
          <t>15:40</t>
        </is>
      </c>
      <c r="D18" s="44" t="inlineStr">
        <is>
          <t>Ambos</t>
        </is>
      </c>
      <c r="E18"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8" s="43" t="inlineStr">
        <is>
          <t>Arthur Avenue (Belmont)</t>
        </is>
      </c>
      <c r="G18" s="40" t="inlineStr"/>
      <c r="H18" s="41" t="inlineStr"/>
      <c r="I18" s="41" t="inlineStr"/>
    </row>
    <row r="19" ht="16" customHeight="1">
      <c r="A19" s="35" t="n"/>
      <c r="B19" s="36" t="inlineStr">
        <is>
          <t>15:40</t>
        </is>
      </c>
      <c r="C19" s="37" t="inlineStr">
        <is>
          <t>16:30</t>
        </is>
      </c>
      <c r="D19" s="38" t="inlineStr">
        <is>
          <t>Ambos</t>
        </is>
      </c>
      <c r="E19" s="39" t="inlineStr">
        <is>
          <t>Subte D desde Fordham Rd de vuelta a 125 St (~25 min) y caminar a Marcus Garvey Park.</t>
        </is>
      </c>
      <c r="F19" s="37" t="inlineStr"/>
      <c r="G19" s="40" t="inlineStr"/>
      <c r="H19" s="41" t="inlineStr"/>
      <c r="I19" s="41" t="inlineStr"/>
    </row>
    <row r="20" ht="30" customHeight="1">
      <c r="A20" s="35" t="n"/>
      <c r="B20" s="42" t="inlineStr">
        <is>
          <t>16:30</t>
        </is>
      </c>
      <c r="C20" s="43" t="inlineStr">
        <is>
          <t>18:30</t>
        </is>
      </c>
      <c r="D20" s="44" t="inlineStr">
        <is>
          <t>Ambos</t>
        </is>
      </c>
      <c r="E20"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20" s="43" t="inlineStr">
        <is>
          <t>Charlie Parker Jazz Festival - Harlem</t>
        </is>
      </c>
      <c r="G20" s="40" t="inlineStr"/>
      <c r="H20" s="41" t="inlineStr"/>
      <c r="I20" s="41" t="inlineStr"/>
    </row>
    <row r="21" ht="30" customHeight="1">
      <c r="A21" s="35" t="n"/>
      <c r="B21" s="36" t="inlineStr">
        <is>
          <t>18:30</t>
        </is>
      </c>
      <c r="C21" s="37" t="inlineStr">
        <is>
          <t>19:20</t>
        </is>
      </c>
      <c r="D21" s="38" t="inlineStr">
        <is>
          <t>Ambos</t>
        </is>
      </c>
      <c r="E21" s="39" t="inlineStr">
        <is>
          <t>UBER desde Marcus Garvey Park al Ink48 (~20-25 min un sábado a la tarde, ~$25-30). Es lo que garantiza llegar 19:00-19:05. Plan B en subte: salir 18:10, 2/3 desde 125-Lenox hasta Times Sq y 15 min a pie — total ~45 min.</t>
        </is>
      </c>
      <c r="F21" s="37" t="inlineStr"/>
      <c r="G21" s="40" t="inlineStr"/>
      <c r="H21" s="41" t="inlineStr"/>
      <c r="I21" s="41" t="inlineStr"/>
    </row>
    <row r="22" ht="16" customHeight="1">
      <c r="A22" s="35" t="n"/>
      <c r="B22" s="36" t="inlineStr">
        <is>
          <t>19:20</t>
        </is>
      </c>
      <c r="C22" s="37" t="inlineStr">
        <is>
          <t>19:30</t>
        </is>
      </c>
      <c r="D22" s="38" t="inlineStr">
        <is>
          <t>Ambos</t>
        </is>
      </c>
      <c r="E22" s="39" t="inlineStr">
        <is>
          <t>EN EL HOTEL — margen para dejar cosas y subir.</t>
        </is>
      </c>
      <c r="F22" s="37" t="inlineStr"/>
      <c r="G22" s="40" t="inlineStr"/>
      <c r="H22" s="41" t="inlineStr"/>
      <c r="I22" s="41" t="inlineStr"/>
    </row>
    <row r="23" ht="30" customHeight="1">
      <c r="A23" s="35" t="n"/>
      <c r="B23" s="42" t="inlineStr">
        <is>
          <t>19:30</t>
        </is>
      </c>
      <c r="C23" s="43" t="inlineStr">
        <is>
          <t>21:00</t>
        </is>
      </c>
      <c r="D23" s="44" t="inlineStr">
        <is>
          <t>Ambos</t>
        </is>
      </c>
      <c r="E23" s="45" t="inlineStr">
        <is>
          <t>★★ HUDSON VU — drinks y comida, RESERVA NO MODIFICABLE, en el rooftop de SU PROPIO hotel (Ink48). La mesa es de MÁXIMO 90 MINUTOS: cierran ~21:00. Pedir sin vueltas y disfrutar la vista — lo que sigue está a 8 cuadras.</t>
        </is>
      </c>
      <c r="F23" s="43" t="inlineStr">
        <is>
          <t>Hotel Ink48 (29-31 ago)</t>
        </is>
      </c>
      <c r="G23" s="40" t="inlineStr"/>
      <c r="H23" s="41" t="inlineStr"/>
      <c r="I23" s="41" t="inlineStr"/>
    </row>
    <row r="24" ht="30" customHeight="1">
      <c r="A24" s="35" t="n"/>
      <c r="B24" s="36" t="inlineStr">
        <is>
          <t>21:00</t>
        </is>
      </c>
      <c r="C24" s="37" t="inlineStr">
        <is>
          <t>21:30</t>
        </is>
      </c>
      <c r="D24" s="38" t="inlineStr">
        <is>
          <t>Ambos</t>
        </is>
      </c>
      <c r="E24" s="39" t="inlineStr">
        <is>
          <t>Caminata Ink48 → Birdland (315 W 44th): 8 cuadras, 10-12 min. Llegan ~21:15, justo para las puertas del set de las 21:30.</t>
        </is>
      </c>
      <c r="F24" s="37" t="inlineStr"/>
      <c r="G24" s="40" t="inlineStr"/>
      <c r="H24" s="41" t="inlineStr"/>
      <c r="I24" s="41" t="inlineStr"/>
    </row>
    <row r="25" ht="30" customHeight="1">
      <c r="A25" s="35" t="n"/>
      <c r="B25" s="42" t="inlineStr">
        <is>
          <t>21:30</t>
        </is>
      </c>
      <c r="C25" s="43" t="inlineStr"/>
      <c r="D25" s="44" t="inlineStr">
        <is>
          <t>Ambos</t>
        </is>
      </c>
      <c r="E25"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5" s="43" t="inlineStr">
        <is>
          <t>Birdland</t>
        </is>
      </c>
      <c r="G25" s="40" t="inlineStr"/>
      <c r="H25" s="41" t="inlineStr"/>
      <c r="I25" s="41" t="inlineStr"/>
    </row>
    <row r="26" ht="32" customHeight="1">
      <c r="A26" s="46" t="inlineStr">
        <is>
          <t>ALTERNATIVA / OJO:  PLAN VIEJO, POR SI EL SHUTTLE NO SIRVE (y es el que conviene si salen tarde de migraciones): AirTrain hasta Newark Airport Station (~10 min, ticket en la app MyTix — a bordo cobran $5 extra) y NJ Transit hasta Penn Station, $17,25 por persona con el AirTrain incluido. Trenes del sábado desde EWR: 6:00, 6:07, 6:43, 7:04, 7:15, 7:25, 7:39 — o sea uno cada diez o quince minutos, que es la ventaja real. De Penn al hotel, taxi de $12-18. Llegan 8:15-8:30, casi una hora antes que con el shuttle. //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8" ht="22" customHeight="1">
      <c r="A28" s="33" t="inlineStr">
        <is>
          <t>DÍA 2 · Domingo 30/08 · Lower East Side, Chinatown y el Brooklyn Bridge a pie  —  base: Ink48  ·  Ambos</t>
        </is>
      </c>
    </row>
    <row r="29" ht="32" customHeight="1">
      <c r="A29"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30" ht="16" customHeight="1">
      <c r="A30" s="35" t="n"/>
      <c r="B30" s="36" t="inlineStr">
        <is>
          <t>08:30</t>
        </is>
      </c>
      <c r="C30" s="37" t="inlineStr">
        <is>
          <t>09:15</t>
        </is>
      </c>
      <c r="D30" s="38" t="inlineStr">
        <is>
          <t>Ambos</t>
        </is>
      </c>
      <c r="E30" s="39" t="inlineStr">
        <is>
          <t>Desayuno rápido y subte F hasta 2 Av.</t>
        </is>
      </c>
      <c r="F30" s="37" t="inlineStr"/>
      <c r="G30" s="40" t="inlineStr"/>
      <c r="H30" s="41" t="inlineStr"/>
      <c r="I30" s="41" t="inlineStr"/>
    </row>
    <row r="31" ht="30" customHeight="1">
      <c r="A31" s="35" t="n"/>
      <c r="B31" s="42" t="inlineStr">
        <is>
          <t>09:15</t>
        </is>
      </c>
      <c r="C31" s="43" t="inlineStr">
        <is>
          <t>10:30</t>
        </is>
      </c>
      <c r="D31" s="44" t="inlineStr">
        <is>
          <t>Ambos</t>
        </is>
      </c>
      <c r="E31" s="45" t="inlineStr">
        <is>
          <t>★ Russ &amp; Daughters — appetizing store de 1914, cuarta generación de la misma familia. Salmón curado cortado a mano sobre bagel. El mostrador es mejor experiencia que el café de al lado.</t>
        </is>
      </c>
      <c r="F31" s="43" t="inlineStr">
        <is>
          <t>Russ &amp; Daughters</t>
        </is>
      </c>
      <c r="G31" s="40" t="inlineStr"/>
      <c r="H31" s="41" t="inlineStr"/>
      <c r="I31" s="41" t="inlineStr"/>
    </row>
    <row r="32" ht="30" customHeight="1">
      <c r="A32" s="35" t="n"/>
      <c r="B32" s="42" t="inlineStr">
        <is>
          <t>10:30</t>
        </is>
      </c>
      <c r="C32" s="43" t="inlineStr">
        <is>
          <t>11:45</t>
        </is>
      </c>
      <c r="D32" s="44" t="inlineStr">
        <is>
          <t>Ambos</t>
        </is>
      </c>
      <c r="E32" s="45" t="inlineStr">
        <is>
          <t>★ Museum at Eldridge Street — sinagoga de 1887 restaurada por $20 millones, con un rosetón nuevo de Kiki Smith. Que hoy esté en el medio de Chinatown es la mitad del punto. CIERRA LOS SÁBADOS: hoy es el día.</t>
        </is>
      </c>
      <c r="F32" s="43" t="inlineStr">
        <is>
          <t>Museum at Eldridge Street</t>
        </is>
      </c>
      <c r="G32" s="40" t="inlineStr">
        <is>
          <t>🚶 ~20 min a pie (1.3 km) o 🚇 ~15 min · estimado</t>
        </is>
      </c>
      <c r="H32" s="41" t="inlineStr"/>
      <c r="I32" s="41" t="inlineStr"/>
    </row>
    <row r="33" ht="30" customHeight="1">
      <c r="A33" s="35" t="n"/>
      <c r="B33" s="36" t="inlineStr">
        <is>
          <t>11:45</t>
        </is>
      </c>
      <c r="C33" s="37" t="inlineStr">
        <is>
          <t>12:45</t>
        </is>
      </c>
      <c r="D33" s="38" t="inlineStr">
        <is>
          <t>Ambos</t>
        </is>
      </c>
      <c r="E33" s="39" t="inlineStr">
        <is>
          <t>Essex Market — mercado municipal desde 1940. Sigue teniendo carniceros y pescaderos de verdad, no solo puestos para turistas.</t>
        </is>
      </c>
      <c r="F33" s="37" t="inlineStr">
        <is>
          <t>Essex Market</t>
        </is>
      </c>
      <c r="G33" s="40" t="inlineStr">
        <is>
          <t>🚶 ~11 min a pie · 0.8 km · estimado</t>
        </is>
      </c>
      <c r="H33" s="41" t="inlineStr"/>
      <c r="I33" s="41" t="inlineStr"/>
    </row>
    <row r="34" ht="30" customHeight="1">
      <c r="A34" s="35" t="n"/>
      <c r="B34" s="36" t="inlineStr">
        <is>
          <t>12:45</t>
        </is>
      </c>
      <c r="C34" s="37" t="inlineStr">
        <is>
          <t>13:15</t>
        </is>
      </c>
      <c r="D34" s="38" t="inlineStr">
        <is>
          <t>Ambos</t>
        </is>
      </c>
      <c r="E34" s="39" t="inlineStr">
        <is>
          <t>Caminata por el Lower East Side: Orchard, Ludlow, Rivington. Tres capas de inmigración en la misma cuadra.</t>
        </is>
      </c>
      <c r="F34" s="37" t="inlineStr">
        <is>
          <t>Lower East Side</t>
        </is>
      </c>
      <c r="G34" s="40" t="inlineStr"/>
      <c r="H34" s="41" t="inlineStr"/>
      <c r="I34" s="41" t="inlineStr"/>
    </row>
    <row r="35" ht="30" customHeight="1">
      <c r="A35" s="35" t="n"/>
      <c r="B35" s="36" t="inlineStr">
        <is>
          <t>13:15</t>
        </is>
      </c>
      <c r="C35" s="37" t="inlineStr">
        <is>
          <t>14:15</t>
        </is>
      </c>
      <c r="D35" s="38" t="inlineStr">
        <is>
          <t>Ambos</t>
        </is>
      </c>
      <c r="E35" s="39" t="inlineStr">
        <is>
          <t>Almuerzo en Chinatown: Mott St y las pescaderías de la calle. El paisaje urbano es el plato fuerte.</t>
        </is>
      </c>
      <c r="F35" s="37" t="inlineStr">
        <is>
          <t>Chinatown (Manhattan)</t>
        </is>
      </c>
      <c r="G35" s="40" t="inlineStr">
        <is>
          <t>🚶 ~14 min a pie · 1.0 km · estimado</t>
        </is>
      </c>
      <c r="H35" s="41" t="inlineStr"/>
      <c r="I35" s="41" t="inlineStr"/>
    </row>
    <row r="36" ht="30" customHeight="1">
      <c r="A36" s="35" t="n"/>
      <c r="B36" s="36" t="inlineStr">
        <is>
          <t>14:15</t>
        </is>
      </c>
      <c r="C36" s="37" t="inlineStr">
        <is>
          <t>14:45</t>
        </is>
      </c>
      <c r="D36" s="38" t="inlineStr">
        <is>
          <t>Ambos</t>
        </is>
      </c>
      <c r="E36" s="39" t="inlineStr">
        <is>
          <t>Columbus Park (tai chi y partidas de xiangqi) y Doyers Street, la cuadra torcida que era 'the Bloody Angle'. Diez minutos y de ahí se sale caminando hacia City Hall.</t>
        </is>
      </c>
      <c r="F36" s="37" t="inlineStr"/>
      <c r="G36" s="40" t="inlineStr"/>
      <c r="H36" s="41" t="inlineStr"/>
      <c r="I36" s="41" t="inlineStr"/>
    </row>
    <row r="37" ht="30" customHeight="1">
      <c r="A37" s="35" t="n"/>
      <c r="B37" s="42" t="inlineStr">
        <is>
          <t>14:45</t>
        </is>
      </c>
      <c r="C37" s="43" t="inlineStr">
        <is>
          <t>16:00</t>
        </is>
      </c>
      <c r="D37" s="44" t="inlineStr">
        <is>
          <t>Ambos</t>
        </is>
      </c>
      <c r="E37"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7" s="43" t="inlineStr"/>
      <c r="G37" s="40" t="inlineStr"/>
      <c r="H37" s="41" t="inlineStr"/>
      <c r="I37" s="41" t="inlineStr"/>
    </row>
    <row r="38" ht="30" customHeight="1">
      <c r="A38" s="35" t="n"/>
      <c r="B38" s="36" t="inlineStr">
        <is>
          <t>16:00</t>
        </is>
      </c>
      <c r="C38" s="37" t="inlineStr">
        <is>
          <t>17:05</t>
        </is>
      </c>
      <c r="D38" s="38" t="inlineStr">
        <is>
          <t>Ambos</t>
        </is>
      </c>
      <c r="E38" s="39" t="inlineStr">
        <is>
          <t>Bajar en DUMBO: la foto del Manhattan Bridge encuadrado en Washington St, el waterfront, y una parada en TIME OUT MARKET (está ahí mismo y JP lo marcó 2): un vermut con el skyline de frente. OJO: el sábado 5 vuelven de día — no repetir de más.</t>
        </is>
      </c>
      <c r="F38" s="37" t="inlineStr">
        <is>
          <t>DUMBO</t>
        </is>
      </c>
      <c r="G38" s="40" t="inlineStr"/>
      <c r="H38" s="41" t="inlineStr"/>
      <c r="I38" s="41" t="inlineStr"/>
    </row>
    <row r="39" ht="16" customHeight="1">
      <c r="A39" s="35" t="n"/>
      <c r="B39" s="36" t="inlineStr">
        <is>
          <t>17:05</t>
        </is>
      </c>
      <c r="C39" s="37" t="inlineStr">
        <is>
          <t>17:30</t>
        </is>
      </c>
      <c r="D39" s="38" t="inlineStr">
        <is>
          <t>Ambos</t>
        </is>
      </c>
      <c r="E39" s="39" t="inlineStr">
        <is>
          <t>Subte A/C desde High St hasta Fulton St (2 paradas, ~10 min) y 5 min a pie hasta Dey St.</t>
        </is>
      </c>
      <c r="F39" s="37" t="inlineStr"/>
      <c r="G39" s="40" t="inlineStr"/>
      <c r="H39" s="41" t="inlineStr"/>
      <c r="I39" s="41" t="inlineStr"/>
    </row>
    <row r="40" ht="30" customHeight="1">
      <c r="A40" s="35" t="n"/>
      <c r="B40" s="42" t="inlineStr">
        <is>
          <t>17:30</t>
        </is>
      </c>
      <c r="C40" s="43" t="inlineStr">
        <is>
          <t>18:50</t>
        </is>
      </c>
      <c r="D40" s="44" t="inlineStr">
        <is>
          <t>Ambos</t>
        </is>
      </c>
      <c r="E40"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40" s="43" t="inlineStr">
        <is>
          <t>Mercer Labs — Museum of Art and Technology</t>
        </is>
      </c>
      <c r="G40" s="40" t="inlineStr"/>
      <c r="H40" s="41" t="inlineStr"/>
      <c r="I40" s="41" t="inlineStr"/>
    </row>
    <row r="41" ht="30" customHeight="1">
      <c r="A41" s="35" t="n"/>
      <c r="B41" s="36" t="inlineStr">
        <is>
          <t>18:50</t>
        </is>
      </c>
      <c r="C41" s="37" t="inlineStr">
        <is>
          <t>19:15</t>
        </is>
      </c>
      <c r="D41" s="38" t="inlineStr">
        <is>
          <t>Ambos</t>
        </is>
      </c>
      <c r="E41" s="39" t="inlineStr">
        <is>
          <t>Caminar a The Crown: 1,6 km derecho por Park Row hacia Bowery (~20 min) — o R/W City Hall → Canal St si llueve.</t>
        </is>
      </c>
      <c r="F41" s="37" t="inlineStr"/>
      <c r="G41" s="40" t="inlineStr"/>
      <c r="H41" s="41" t="inlineStr"/>
      <c r="I41" s="41" t="inlineStr"/>
    </row>
    <row r="42" ht="30" customHeight="1">
      <c r="A42" s="35" t="n"/>
      <c r="B42" s="42" t="inlineStr">
        <is>
          <t>19:15</t>
        </is>
      </c>
      <c r="C42" s="43" t="inlineStr">
        <is>
          <t>20:45</t>
        </is>
      </c>
      <c r="D42" s="44" t="inlineStr">
        <is>
          <t>Ambos</t>
        </is>
      </c>
      <c r="E42" s="45" t="inlineStr">
        <is>
          <t>★ The Crown (50 Bowery, piso 21) — rooftop sin cover, EN EL ATARDECER (~19:27): el Manhattan Bridge que acaban de cruzar se enciende de frente mientras cae el sol. Es el ángulo que no da ningún observatorio pago — luz, atardecer y noche en un solo trago.</t>
        </is>
      </c>
      <c r="F42" s="43" t="inlineStr">
        <is>
          <t>The Crown (50 Bowery)</t>
        </is>
      </c>
      <c r="G42" s="40" t="inlineStr"/>
      <c r="H42" s="41" t="inlineStr"/>
      <c r="I42" s="41" t="inlineStr"/>
    </row>
    <row r="43" ht="30" customHeight="1">
      <c r="A43" s="35" t="n"/>
      <c r="B43" s="36" t="inlineStr">
        <is>
          <t>20:45</t>
        </is>
      </c>
      <c r="C43" s="37" t="inlineStr">
        <is>
          <t>22:15</t>
        </is>
      </c>
      <c r="D43" s="38" t="inlineStr">
        <is>
          <t>Ambos</t>
        </is>
      </c>
      <c r="E43" s="39" t="inlineStr">
        <is>
          <t>Cena en el East Village / LES: Katz's abre hasta tarde (a esta hora la cola del domingo ya bajó).</t>
        </is>
      </c>
      <c r="F43" s="37" t="inlineStr">
        <is>
          <t>Katz's Delicatessen</t>
        </is>
      </c>
      <c r="G43" s="40" t="inlineStr">
        <is>
          <t>🚶 ~20 min a pie (1.3 km) o 🚇 ~15 min · estimado</t>
        </is>
      </c>
      <c r="H43" s="41" t="inlineStr"/>
      <c r="I43" s="41" t="inlineStr"/>
    </row>
    <row r="44" ht="30" customHeight="1">
      <c r="A44" s="35" t="n"/>
      <c r="B44" s="36" t="inlineStr">
        <is>
          <t>22:15</t>
        </is>
      </c>
      <c r="C44" s="37" t="inlineStr"/>
      <c r="D44" s="38" t="inlineStr">
        <is>
          <t>Ambos</t>
        </is>
      </c>
      <c r="E44" s="39" t="inlineStr">
        <is>
          <t>Opcional: Nublu (Avenue C) — jazz experimental y afrobeat hasta tarde. A 14 minutos A PIE de Katz's. Lo marcaron 2 los dos.</t>
        </is>
      </c>
      <c r="F44" s="37" t="inlineStr">
        <is>
          <t>Nublu</t>
        </is>
      </c>
      <c r="G44" s="40" t="inlineStr">
        <is>
          <t>🚶 ~14 min a pie · 1.1 km · estimado</t>
        </is>
      </c>
      <c r="H44" s="41" t="inlineStr"/>
      <c r="I44" s="41" t="inlineStr"/>
    </row>
    <row r="45" ht="32" customHeight="1">
      <c r="A45"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7" ht="22" customHeight="1">
      <c r="A47" s="33" t="inlineStr">
        <is>
          <t>DÍA 3 · Lunes 31/08 · JP solo · Midtown total: MoMA, Top of the Rock y Birdland  —  base: Ink48 → JGStay SoHo (las valijas viajan con Thais)  ·  Solo JP</t>
        </is>
      </c>
    </row>
    <row r="48" ht="32" customHeight="1">
      <c r="A48"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9" ht="30" customHeight="1">
      <c r="A49" s="35" t="n"/>
      <c r="B49" s="36" t="inlineStr">
        <is>
          <t>08:00</t>
        </is>
      </c>
      <c r="C49" s="37" t="inlineStr">
        <is>
          <t>08:10</t>
        </is>
      </c>
      <c r="D49" s="38" t="inlineStr">
        <is>
          <t>Thais</t>
        </is>
      </c>
      <c r="E49" s="39" t="inlineStr">
        <is>
          <t>THAIS: checkout de Ink48 y tren temprano a New Jersey con LAS DOS valijas — hoy EMPIEZA A TRABAJAR. No participa de nada de este día. JP sale solo con su bolso de dos noches.</t>
        </is>
      </c>
      <c r="F49" s="37" t="inlineStr">
        <is>
          <t>Hotel Ink48 (29-31 ago)</t>
        </is>
      </c>
      <c r="G49" s="40" t="inlineStr"/>
      <c r="H49" s="41" t="inlineStr"/>
      <c r="I49" s="41" t="inlineStr"/>
    </row>
    <row r="50" ht="16" customHeight="1">
      <c r="A50" s="35" t="n"/>
      <c r="B50" s="36" t="inlineStr">
        <is>
          <t>08:10</t>
        </is>
      </c>
      <c r="C50" s="37" t="inlineStr">
        <is>
          <t>08:35</t>
        </is>
      </c>
      <c r="D50" s="38" t="inlineStr">
        <is>
          <t>Solo JP</t>
        </is>
      </c>
      <c r="E50" s="39" t="inlineStr">
        <is>
          <t>JP: checkout y subte N/R/W desde 49 St derecho por Broadway hasta Canal St (~15 min).</t>
        </is>
      </c>
      <c r="F50" s="37" t="inlineStr"/>
      <c r="G50" s="40" t="inlineStr"/>
      <c r="H50" s="41" t="inlineStr"/>
      <c r="I50" s="41" t="inlineStr"/>
    </row>
    <row r="51" ht="30" customHeight="1">
      <c r="A51" s="35" t="n"/>
      <c r="B51" s="36" t="inlineStr">
        <is>
          <t>08:35</t>
        </is>
      </c>
      <c r="C51" s="37" t="inlineStr">
        <is>
          <t>09:00</t>
        </is>
      </c>
      <c r="D51" s="38" t="inlineStr">
        <is>
          <t>Solo JP</t>
        </is>
      </c>
      <c r="E51" s="39" t="inlineStr">
        <is>
          <t>Dejar el bolso en la CONSIGNA del JGSTAY SOHO (recepción 24 h; el check-in formal es a la tarde — confirmar la consigna por mensaje). Liviano el resto del día.</t>
        </is>
      </c>
      <c r="F51" s="37" t="inlineStr">
        <is>
          <t>JGSTAY SoHo (JP: 31 ago-2 sep)</t>
        </is>
      </c>
      <c r="G51" s="40" t="inlineStr"/>
      <c r="H51" s="41" t="inlineStr"/>
      <c r="I51" s="41" t="inlineStr"/>
    </row>
    <row r="52" ht="16" customHeight="1">
      <c r="A52" s="35" t="n"/>
      <c r="B52" s="36" t="inlineStr">
        <is>
          <t>09:00</t>
        </is>
      </c>
      <c r="C52" s="37" t="inlineStr">
        <is>
          <t>09:20</t>
        </is>
      </c>
      <c r="D52" s="38" t="inlineStr">
        <is>
          <t>Solo JP</t>
        </is>
      </c>
      <c r="E52" s="39" t="inlineStr">
        <is>
          <t>Subte 6 desde Canal St directo hasta Grand Central (~20 min).</t>
        </is>
      </c>
      <c r="F52" s="37" t="inlineStr"/>
      <c r="G52" s="40" t="inlineStr"/>
      <c r="H52" s="41" t="inlineStr"/>
      <c r="I52" s="41" t="inlineStr"/>
    </row>
    <row r="53" ht="30" customHeight="1">
      <c r="A53" s="35" t="n"/>
      <c r="B53" s="36" t="inlineStr">
        <is>
          <t>09:20</t>
        </is>
      </c>
      <c r="C53" s="37" t="inlineStr">
        <is>
          <t>09:45</t>
        </is>
      </c>
      <c r="D53" s="38" t="inlineStr">
        <is>
          <t>Solo JP</t>
        </is>
      </c>
      <c r="E53" s="39" t="inlineStr">
        <is>
          <t>Desayuno adentro de Grand Central, en el dining concourse o en el Grand Central Market — ya estás dentro del edificio que venís a ver.</t>
        </is>
      </c>
      <c r="F53" s="37" t="inlineStr">
        <is>
          <t>Grand Central Terminal</t>
        </is>
      </c>
      <c r="G53" s="40" t="inlineStr"/>
      <c r="H53" s="41" t="inlineStr"/>
      <c r="I53" s="41" t="inlineStr"/>
    </row>
    <row r="54" ht="30" customHeight="1">
      <c r="A54" s="35" t="n"/>
      <c r="B54" s="42" t="inlineStr">
        <is>
          <t>09:45</t>
        </is>
      </c>
      <c r="C54" s="43" t="inlineStr">
        <is>
          <t>10:15</t>
        </is>
      </c>
      <c r="D54" s="44" t="inlineStr">
        <is>
          <t>Solo JP</t>
        </is>
      </c>
      <c r="E54" s="45" t="inlineStr">
        <is>
          <t>Grand Central Terminal: el techo celeste pintado al revés y la Whispering Gallery frente al Oyster Bar.</t>
        </is>
      </c>
      <c r="F54" s="43" t="inlineStr">
        <is>
          <t>Grand Central Terminal</t>
        </is>
      </c>
      <c r="G54" s="40" t="inlineStr"/>
      <c r="H54" s="41" t="inlineStr"/>
      <c r="I54" s="41" t="inlineStr"/>
    </row>
    <row r="55" ht="16" customHeight="1">
      <c r="A55" s="35" t="n"/>
      <c r="B55" s="36" t="inlineStr">
        <is>
          <t>10:15</t>
        </is>
      </c>
      <c r="C55" s="37" t="inlineStr">
        <is>
          <t>11:00</t>
        </is>
      </c>
      <c r="D55" s="38" t="inlineStr">
        <is>
          <t>Solo JP</t>
        </is>
      </c>
      <c r="E55" s="39" t="inlineStr">
        <is>
          <t>Lobby del Chrysler Building — art déco puro. SOLO lun-vie 8-18h.</t>
        </is>
      </c>
      <c r="F55" s="37" t="inlineStr">
        <is>
          <t>Lobby del Chrysler Building</t>
        </is>
      </c>
      <c r="G55" s="40" t="inlineStr">
        <is>
          <t>🚶 ~4 min a pie · 0.2 km · estimado</t>
        </is>
      </c>
      <c r="H55" s="41" t="inlineStr"/>
      <c r="I55" s="41" t="inlineStr"/>
    </row>
    <row r="56" ht="30" customHeight="1">
      <c r="A56" s="35" t="n"/>
      <c r="B56" s="42" t="inlineStr">
        <is>
          <t>11:00</t>
        </is>
      </c>
      <c r="C56" s="43" t="inlineStr">
        <is>
          <t>11:55</t>
        </is>
      </c>
      <c r="D56" s="44" t="inlineStr">
        <is>
          <t>Solo JP</t>
        </is>
      </c>
      <c r="E56" s="45" t="inlineStr">
        <is>
          <t>Ford Foundation Atrium — jardín de 12 pisos dentro de un edificio de oficinas. PREINSCRIPCIÓN online antes de las 17h de ayer. Solo se puede del 31/8 al 3/9.</t>
        </is>
      </c>
      <c r="F56" s="43" t="inlineStr">
        <is>
          <t>Ford Foundation Atrium</t>
        </is>
      </c>
      <c r="G56" s="40" t="inlineStr">
        <is>
          <t>🚶 ~9 min a pie · 0.6 km · estimado</t>
        </is>
      </c>
      <c r="H56" s="41" t="inlineStr"/>
      <c r="I56" s="41" t="inlineStr"/>
    </row>
    <row r="57" ht="30" customHeight="1">
      <c r="A57" s="35" t="n"/>
      <c r="B57" s="36" t="inlineStr">
        <is>
          <t>11:55</t>
        </is>
      </c>
      <c r="C57" s="37" t="inlineStr">
        <is>
          <t>12:55</t>
        </is>
      </c>
      <c r="D57" s="38" t="inlineStr">
        <is>
          <t>Solo JP</t>
        </is>
      </c>
      <c r="E57" s="39" t="inlineStr">
        <is>
          <t>New York Public Library: Rose Main Reading Room — se ve perfecta por libre (los tours gratuitos son 11:00 y 14:00 y no coinciden con esta pasada; no hacen falta).</t>
        </is>
      </c>
      <c r="F57" s="37" t="inlineStr">
        <is>
          <t>New York Public Library (Schwarzman)</t>
        </is>
      </c>
      <c r="G57" s="40" t="inlineStr">
        <is>
          <t>🚶 ~20 min a pie (1.4 km) o 🚇 ~15 min · estimado</t>
        </is>
      </c>
      <c r="H57" s="41" t="inlineStr"/>
      <c r="I57" s="41" t="inlineStr"/>
    </row>
    <row r="58" ht="16" customHeight="1">
      <c r="A58" s="35" t="n"/>
      <c r="B58" s="36" t="inlineStr">
        <is>
          <t>12:55</t>
        </is>
      </c>
      <c r="C58" s="37" t="inlineStr">
        <is>
          <t>13:45</t>
        </is>
      </c>
      <c r="D58" s="38" t="inlineStr">
        <is>
          <t>Solo JP</t>
        </is>
      </c>
      <c r="E58" s="39" t="inlineStr">
        <is>
          <t>Almuerzo cerca de Bryant Park.</t>
        </is>
      </c>
      <c r="F58" s="37" t="inlineStr">
        <is>
          <t>Bryant Park</t>
        </is>
      </c>
      <c r="G58" s="40" t="inlineStr"/>
      <c r="H58" s="41" t="inlineStr"/>
      <c r="I58" s="41" t="inlineStr"/>
    </row>
    <row r="59" ht="30" customHeight="1">
      <c r="A59" s="35" t="n"/>
      <c r="B59" s="42" t="inlineStr">
        <is>
          <t>13:45</t>
        </is>
      </c>
      <c r="C59" s="43" t="inlineStr">
        <is>
          <t>16:30</t>
        </is>
      </c>
      <c r="D59" s="44" t="inlineStr">
        <is>
          <t>Solo JP</t>
        </is>
      </c>
      <c r="E59"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9" s="43" t="inlineStr">
        <is>
          <t>MoMA</t>
        </is>
      </c>
      <c r="G59" s="40" t="inlineStr">
        <is>
          <t>🚶 ~20 min a pie (1.3 km) o 🚇 ~15 min · estimado</t>
        </is>
      </c>
      <c r="H59" s="41" t="inlineStr"/>
      <c r="I59" s="41" t="inlineStr"/>
    </row>
    <row r="60" ht="30" customHeight="1">
      <c r="A60" s="35" t="n"/>
      <c r="B60" s="36" t="inlineStr">
        <is>
          <t>16:30</t>
        </is>
      </c>
      <c r="C60" s="37" t="inlineStr">
        <is>
          <t>17:15</t>
        </is>
      </c>
      <c r="D60" s="38" t="inlineStr">
        <is>
          <t>Solo JP</t>
        </is>
      </c>
      <c r="E60" s="39" t="inlineStr">
        <is>
          <t>Caminar cuatro cuadras: Rockefeller Center a nivel de calle — la plaza, Atlas y St. Patrick's enfrente, sobre la Quinta.</t>
        </is>
      </c>
      <c r="F60" s="37" t="inlineStr"/>
      <c r="G60" s="40" t="inlineStr"/>
      <c r="H60" s="41" t="inlineStr"/>
      <c r="I60" s="41" t="inlineStr"/>
    </row>
    <row r="61" ht="30" customHeight="1">
      <c r="A61" s="35" t="n"/>
      <c r="B61" s="36" t="inlineStr">
        <is>
          <t>17:15</t>
        </is>
      </c>
      <c r="C61" s="37" t="inlineStr">
        <is>
          <t>18:15</t>
        </is>
      </c>
      <c r="D61" s="38" t="inlineStr">
        <is>
          <t>Solo JP</t>
        </is>
      </c>
      <c r="E61" s="39" t="inlineStr">
        <is>
          <t>Cena TEMPRANA en Midtown. Hoy se cena ANTES de subir: la noche está tomada por el arco del observatorio y Birdland. Las valijas viajan con Thais y el bolso ya espera en SoHo.</t>
        </is>
      </c>
      <c r="F61" s="37" t="inlineStr"/>
      <c r="G61" s="40" t="inlineStr"/>
      <c r="H61" s="41" t="inlineStr"/>
      <c r="I61" s="41" t="inlineStr"/>
    </row>
    <row r="62" ht="30" customHeight="1">
      <c r="A62" s="35" t="n"/>
      <c r="B62" s="42" t="inlineStr">
        <is>
          <t>18:15</t>
        </is>
      </c>
      <c r="C62" s="43" t="inlineStr">
        <is>
          <t>20:10</t>
        </is>
      </c>
      <c r="D62" s="44" t="inlineStr">
        <is>
          <t>Solo JP</t>
        </is>
      </c>
      <c r="E62"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2" s="43" t="inlineStr">
        <is>
          <t>Top of the Rock</t>
        </is>
      </c>
      <c r="G62" s="40" t="inlineStr"/>
      <c r="H62" s="41" t="inlineStr"/>
      <c r="I62" s="41" t="inlineStr"/>
    </row>
    <row r="63" ht="16" customHeight="1">
      <c r="A63" s="35" t="n"/>
      <c r="B63" s="36" t="inlineStr">
        <is>
          <t>20:10</t>
        </is>
      </c>
      <c r="C63" s="37" t="inlineStr">
        <is>
          <t>20:30</t>
        </is>
      </c>
      <c r="D63" s="38" t="inlineStr">
        <is>
          <t>Solo JP</t>
        </is>
      </c>
      <c r="E63" s="39" t="inlineStr">
        <is>
          <t>Caminar a Birdland: 12 minutos (50th y 6ª → 44th entre 8ª y 9ª).</t>
        </is>
      </c>
      <c r="F63" s="37" t="inlineStr"/>
      <c r="G63" s="40" t="inlineStr"/>
      <c r="H63" s="41" t="inlineStr"/>
      <c r="I63" s="41" t="inlineStr"/>
    </row>
    <row r="64" ht="30" customHeight="1">
      <c r="A64" s="35" t="n"/>
      <c r="B64" s="42" t="inlineStr">
        <is>
          <t>20:30</t>
        </is>
      </c>
      <c r="C64" s="43" t="inlineStr">
        <is>
          <t>22:40</t>
        </is>
      </c>
      <c r="D64" s="44" t="inlineStr">
        <is>
          <t>Solo JP</t>
        </is>
      </c>
      <c r="E64" s="45" t="inlineStr">
        <is>
          <t>★ BIRDLAND: Vince Giordano &amp; the Nighthawks — jazz de los años 20 y 30 con instrumentos de época. Institución de los lunes, y el lunes Broadway está oscuro. Birdland está a 8 cuadras de Penn Station.</t>
        </is>
      </c>
      <c r="F64" s="43" t="inlineStr">
        <is>
          <t>Birdland</t>
        </is>
      </c>
      <c r="G64" s="40" t="inlineStr"/>
      <c r="H64" s="41" t="inlineStr"/>
      <c r="I64" s="41" t="inlineStr"/>
    </row>
    <row r="65" ht="30" customHeight="1">
      <c r="A65" s="35" t="n"/>
      <c r="B65" s="36" t="inlineStr">
        <is>
          <t>22:40</t>
        </is>
      </c>
      <c r="C65" s="37" t="inlineStr"/>
      <c r="D65" s="38" t="inlineStr">
        <is>
          <t>Solo JP</t>
        </is>
      </c>
      <c r="E65" s="39" t="inlineStr">
        <is>
          <t>Birdland ENTERO y sin mirar el reloj: ya NO hay tren que atrapar. Subte A/C/E desde 42 St-Port Authority hasta Canal St (~15 min) y check-in en el JGStay. La noche pasó de terminar 00:35 en New Jersey a ~23:30 en SoHo.</t>
        </is>
      </c>
      <c r="F65" s="37" t="inlineStr">
        <is>
          <t>JGSTAY SoHo (JP: 31 ago-2 sep)</t>
        </is>
      </c>
      <c r="G65" s="40" t="inlineStr"/>
      <c r="H65" s="41" t="inlineStr"/>
      <c r="I65" s="41" t="inlineStr"/>
    </row>
    <row r="66" ht="32" customHeight="1">
      <c r="A66"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8" ht="22" customHeight="1">
      <c r="A68" s="33" t="inlineStr">
        <is>
          <t>DÍA 4 · Martes 01/09 · JP solo · el MET, The Cloisters y la noche del Village  —  base: JGStay SoHo  ·  Solo JP</t>
        </is>
      </c>
    </row>
    <row r="69" ht="32" customHeight="1">
      <c r="A69"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70" ht="30" customHeight="1">
      <c r="A70" s="35" t="n"/>
      <c r="B70" s="36" t="inlineStr">
        <is>
          <t>08:20</t>
        </is>
      </c>
      <c r="C70" s="37" t="inlineStr">
        <is>
          <t>09:10</t>
        </is>
      </c>
      <c r="D70" s="38" t="inlineStr">
        <is>
          <t>Solo JP</t>
        </is>
      </c>
      <c r="E70" s="39" t="inlineStr">
        <is>
          <t>Desayuno INCLUIDO en el JGStay (7-9 AM) — primera mañana del viaje sin tren ni madrugón: el MET abre 10:00 y Canal St está en la puerta.</t>
        </is>
      </c>
      <c r="F70" s="37" t="inlineStr">
        <is>
          <t>JGSTAY SoHo (JP: 31 ago-2 sep)</t>
        </is>
      </c>
      <c r="G70" s="40" t="inlineStr"/>
      <c r="H70" s="41" t="inlineStr"/>
      <c r="I70" s="41" t="inlineStr"/>
    </row>
    <row r="71" ht="16" customHeight="1">
      <c r="A71" s="35" t="n"/>
      <c r="B71" s="36" t="inlineStr">
        <is>
          <t>09:10</t>
        </is>
      </c>
      <c r="C71" s="37" t="inlineStr">
        <is>
          <t>10:00</t>
        </is>
      </c>
      <c r="D71" s="38" t="inlineStr">
        <is>
          <t>Solo JP</t>
        </is>
      </c>
      <c r="E71" s="39" t="inlineStr">
        <is>
          <t>Subte 6 directo desde Canal St hasta 86 St (~35 min): se llega justo a la apertura del MET.</t>
        </is>
      </c>
      <c r="F71" s="37" t="inlineStr"/>
      <c r="G71" s="40" t="inlineStr"/>
      <c r="H71" s="41" t="inlineStr"/>
      <c r="I71" s="41" t="inlineStr"/>
    </row>
    <row r="72" ht="30" customHeight="1">
      <c r="A72" s="35" t="n"/>
      <c r="B72" s="42" t="inlineStr">
        <is>
          <t>10:00</t>
        </is>
      </c>
      <c r="C72" s="43" t="inlineStr">
        <is>
          <t>13:15</t>
        </is>
      </c>
      <c r="D72" s="44" t="inlineStr">
        <is>
          <t>Solo JP</t>
        </is>
      </c>
      <c r="E72"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2" s="43" t="inlineStr">
        <is>
          <t>The Metropolitan Museum of Art</t>
        </is>
      </c>
      <c r="G72" s="40" t="inlineStr"/>
      <c r="H72" s="41" t="inlineStr"/>
      <c r="I72" s="41" t="inlineStr"/>
    </row>
    <row r="73" ht="16" customHeight="1">
      <c r="A73" s="35" t="n"/>
      <c r="B73" s="36" t="inlineStr">
        <is>
          <t>13:15</t>
        </is>
      </c>
      <c r="C73" s="37" t="inlineStr">
        <is>
          <t>13:50</t>
        </is>
      </c>
      <c r="D73" s="38" t="inlineStr">
        <is>
          <t>Solo JP</t>
        </is>
      </c>
      <c r="E73" s="39" t="inlineStr">
        <is>
          <t>Almuerzo RÁPIDO cerca del MET (30-40 min): hoy la tarde tiene museo con hora de cierre.</t>
        </is>
      </c>
      <c r="F73" s="37" t="inlineStr"/>
      <c r="G73" s="40" t="inlineStr"/>
      <c r="H73" s="41" t="inlineStr"/>
      <c r="I73" s="41" t="inlineStr"/>
    </row>
    <row r="74" ht="30" customHeight="1">
      <c r="A74" s="35" t="n"/>
      <c r="B74" s="36" t="inlineStr">
        <is>
          <t>13:50</t>
        </is>
      </c>
      <c r="C74" s="37" t="inlineStr">
        <is>
          <t>14:30</t>
        </is>
      </c>
      <c r="D74" s="38" t="inlineStr">
        <is>
          <t>Solo JP</t>
        </is>
      </c>
      <c r="E74" s="39" t="inlineStr">
        <is>
          <t>Al Cloisters: NO hay tren A en el lado este — la ruta real en subte es M86-SBS cruzando el parque + B/C hasta 168 St + A hasta 190 St (~55 min). El taxi/Uber directo (~25 min, $28-35) compra 40 minutos de museo: hoy se justifica.</t>
        </is>
      </c>
      <c r="F74" s="37" t="inlineStr"/>
      <c r="G74" s="40" t="inlineStr"/>
      <c r="H74" s="41" t="inlineStr"/>
      <c r="I74" s="41" t="inlineStr"/>
    </row>
    <row r="75" ht="30" customHeight="1">
      <c r="A75" s="35" t="n"/>
      <c r="B75" s="42" t="inlineStr">
        <is>
          <t>14:30</t>
        </is>
      </c>
      <c r="C75" s="43" t="inlineStr">
        <is>
          <t>17:00</t>
        </is>
      </c>
      <c r="D75" s="44" t="inlineStr">
        <is>
          <t>Solo JP</t>
        </is>
      </c>
      <c r="E75" s="45" t="inlineStr">
        <is>
          <t>★ THE MET CLOISTERS — arte medieval en un edificio armado con claustros franceses reales, sobre un acantilado del Hudson. INCLUIDO en el ticket del MET del mismo día: guardá el sticker.</t>
        </is>
      </c>
      <c r="F75" s="43" t="inlineStr">
        <is>
          <t>The Met Cloisters</t>
        </is>
      </c>
      <c r="G75" s="40" t="inlineStr"/>
      <c r="H75" s="41" t="inlineStr"/>
      <c r="I75" s="41" t="inlineStr"/>
    </row>
    <row r="76" ht="30" customHeight="1">
      <c r="A76" s="35" t="n"/>
      <c r="B76" s="36" t="inlineStr">
        <is>
          <t>17:00</t>
        </is>
      </c>
      <c r="C76" s="37" t="inlineStr">
        <is>
          <t>17:30</t>
        </is>
      </c>
      <c r="D76" s="38" t="inlineStr">
        <is>
          <t>Solo JP</t>
        </is>
      </c>
      <c r="E76" s="39" t="inlineStr">
        <is>
          <t>Fort Tryon Park — el Hudson y los Palisades sin un solo edificio a la vista. Media hora honesta: el parque ya rodea al Cloisters, y la noche de hoy tiene tres paradas.</t>
        </is>
      </c>
      <c r="F76" s="37" t="inlineStr">
        <is>
          <t>Fort Tryon Park</t>
        </is>
      </c>
      <c r="G76" s="40" t="inlineStr">
        <is>
          <t>🚶 ~5 min a pie · 0.3 km · estimado</t>
        </is>
      </c>
      <c r="H76" s="41" t="inlineStr"/>
      <c r="I76" s="41" t="inlineStr"/>
    </row>
    <row r="77" ht="16" customHeight="1">
      <c r="A77" s="35" t="n"/>
      <c r="B77" s="36" t="inlineStr">
        <is>
          <t>17:30</t>
        </is>
      </c>
      <c r="C77" s="37" t="inlineStr">
        <is>
          <t>18:10</t>
        </is>
      </c>
      <c r="D77" s="38" t="inlineStr">
        <is>
          <t>Solo JP</t>
        </is>
      </c>
      <c r="E77" s="39" t="inlineStr">
        <is>
          <t>Tren A desde 190 St directo hasta W 4 St-Washington Sq (~35 min).</t>
        </is>
      </c>
      <c r="F77" s="37" t="inlineStr"/>
      <c r="G77" s="40" t="inlineStr"/>
      <c r="H77" s="41" t="inlineStr"/>
      <c r="I77" s="41" t="inlineStr"/>
    </row>
    <row r="78" ht="30" customHeight="1">
      <c r="A78" s="35" t="n"/>
      <c r="B78" s="36" t="inlineStr">
        <is>
          <t>18:10</t>
        </is>
      </c>
      <c r="C78" s="37" t="inlineStr">
        <is>
          <t>18:35</t>
        </is>
      </c>
      <c r="D78" s="38" t="inlineStr">
        <is>
          <t>Solo JP</t>
        </is>
      </c>
      <c r="E78" s="39" t="inlineStr">
        <is>
          <t>Washington Square Park (JP lo marcó 2): el arco, los músicos y las mesas de ajedrez al caer la tarde. Veinte minutos.</t>
        </is>
      </c>
      <c r="F78" s="37" t="inlineStr">
        <is>
          <t>Washington Square Park</t>
        </is>
      </c>
      <c r="G78" s="40" t="inlineStr"/>
      <c r="H78" s="41" t="inlineStr"/>
      <c r="I78" s="41" t="inlineStr"/>
    </row>
    <row r="79" ht="30" customHeight="1">
      <c r="A79" s="35" t="n"/>
      <c r="B79" s="36" t="inlineStr">
        <is>
          <t>18:35</t>
        </is>
      </c>
      <c r="C79" s="37" t="inlineStr">
        <is>
          <t>18:45</t>
        </is>
      </c>
      <c r="D79" s="38" t="inlineStr">
        <is>
          <t>Solo JP</t>
        </is>
      </c>
      <c r="E79" s="39" t="inlineStr">
        <is>
          <t>Bajar MacDougal St — la cuadra folk de los 60s (Caffe Reggio, el viejo Gaslight) — hasta Houston: 8-10 min y es paseo, no traslado.</t>
        </is>
      </c>
      <c r="F79" s="37" t="inlineStr"/>
      <c r="G79" s="40" t="inlineStr"/>
      <c r="H79" s="41" t="inlineStr"/>
      <c r="I79" s="41" t="inlineStr"/>
    </row>
    <row r="80" ht="30" customHeight="1">
      <c r="A80" s="35" t="n"/>
      <c r="B80" s="42" t="inlineStr">
        <is>
          <t>18:45</t>
        </is>
      </c>
      <c r="C80" s="43" t="inlineStr">
        <is>
          <t>19:40</t>
        </is>
      </c>
      <c r="D80" s="44" t="inlineStr">
        <is>
          <t>Solo JP</t>
        </is>
      </c>
      <c r="E80"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80" s="43" t="inlineStr">
        <is>
          <t>Hamburger America</t>
        </is>
      </c>
      <c r="G80" s="40" t="inlineStr">
        <is>
          <t>🚶 ~10 min a pie · 0.8 km · estimado</t>
        </is>
      </c>
      <c r="H80" s="41" t="inlineStr"/>
      <c r="I80" s="41" t="inlineStr"/>
    </row>
    <row r="81" ht="30" customHeight="1">
      <c r="A81" s="35" t="n"/>
      <c r="B81" s="36" t="inlineStr">
        <is>
          <t>19:40</t>
        </is>
      </c>
      <c r="C81" s="37" t="inlineStr">
        <is>
          <t>20:30</t>
        </is>
      </c>
      <c r="D81" s="38" t="inlineStr">
        <is>
          <t>Solo JP</t>
        </is>
      </c>
      <c r="E81" s="39" t="inlineStr">
        <is>
          <t>Paseo por el West Village sin plan: Bleecker, Grove, Bedford. La única grilla rota de Manhattan, y de noche es cuando mejor está.</t>
        </is>
      </c>
      <c r="F81" s="37" t="inlineStr">
        <is>
          <t>West Village</t>
        </is>
      </c>
      <c r="G81" s="40" t="inlineStr">
        <is>
          <t>🚶 ~11 min a pie · 0.8 km · estimado</t>
        </is>
      </c>
      <c r="H81" s="41" t="inlineStr"/>
      <c r="I81" s="41" t="inlineStr"/>
    </row>
    <row r="82" ht="30" customHeight="1">
      <c r="A82" s="35" t="n"/>
      <c r="B82" s="42" t="inlineStr">
        <is>
          <t>20:30</t>
        </is>
      </c>
      <c r="C82" s="43" t="inlineStr">
        <is>
          <t>22:30</t>
        </is>
      </c>
      <c r="D82" s="44" t="inlineStr">
        <is>
          <t>Solo JP</t>
        </is>
      </c>
      <c r="E82"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2" s="43" t="inlineStr">
        <is>
          <t>Smalls Jazz Club</t>
        </is>
      </c>
      <c r="G82" s="40" t="inlineStr"/>
      <c r="H82" s="41" t="inlineStr"/>
      <c r="I82" s="41" t="inlineStr"/>
    </row>
    <row r="83" ht="30" customHeight="1">
      <c r="A83" s="35" t="n"/>
      <c r="B83" s="36" t="inlineStr">
        <is>
          <t>22:30</t>
        </is>
      </c>
      <c r="C83" s="37" t="inlineStr"/>
      <c r="D83" s="38" t="inlineStr">
        <is>
          <t>Solo JP</t>
        </is>
      </c>
      <c r="E83" s="39" t="inlineStr">
        <is>
          <t>Caminar al JGStay: 20-25 min cruzando el Village y SoHo, que a esta hora es el mejor paseo del viaje. O subte 1 desde Christopher St a Canal.</t>
        </is>
      </c>
      <c r="F83" s="37" t="inlineStr">
        <is>
          <t>JGSTAY SoHo (JP: 31 ago-2 sep)</t>
        </is>
      </c>
      <c r="G83" s="40" t="inlineStr"/>
      <c r="H83" s="41" t="inlineStr"/>
      <c r="I83" s="41" t="inlineStr"/>
    </row>
    <row r="84" ht="32" customHeight="1">
      <c r="A84"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6" ht="22" customHeight="1">
      <c r="A86" s="33" t="inlineStr">
        <is>
          <t>DÍA 5 · Miércoles 02/09 · JP solo · Historia Natural, Frick gratis y McBride en Central Park  —  base: JGStay SoHo → New Jersey (la ÚNICA vuelta nocturna)  ·  Solo JP</t>
        </is>
      </c>
    </row>
    <row r="87" ht="32" customHeight="1">
      <c r="A87"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8" ht="30" customHeight="1">
      <c r="A88" s="35" t="n"/>
      <c r="B88" s="36" t="inlineStr">
        <is>
          <t>08:15</t>
        </is>
      </c>
      <c r="C88" s="37" t="inlineStr">
        <is>
          <t>09:15</t>
        </is>
      </c>
      <c r="D88" s="38" t="inlineStr">
        <is>
          <t>Solo JP</t>
        </is>
      </c>
      <c r="E88" s="39" t="inlineStr">
        <is>
          <t>Desayuno incluido en el JGStay y CHECKOUT: el bolso queda en la CONSIGNA — se retira a la tarde, en el hueco libre del día.</t>
        </is>
      </c>
      <c r="F88" s="37" t="inlineStr">
        <is>
          <t>JGSTAY SoHo (JP: 31 ago-2 sep)</t>
        </is>
      </c>
      <c r="G88" s="40" t="inlineStr"/>
      <c r="H88" s="41" t="inlineStr"/>
      <c r="I88" s="41" t="inlineStr"/>
    </row>
    <row r="89" ht="16" customHeight="1">
      <c r="A89" s="35" t="n"/>
      <c r="B89" s="36" t="inlineStr">
        <is>
          <t>09:15</t>
        </is>
      </c>
      <c r="C89" s="37" t="inlineStr">
        <is>
          <t>10:00</t>
        </is>
      </c>
      <c r="D89" s="38" t="inlineStr">
        <is>
          <t>Solo JP</t>
        </is>
      </c>
      <c r="E89" s="39" t="inlineStr">
        <is>
          <t>Subte A o C desde Canal St hasta 81 St-Museum of Natural History (~30 min).</t>
        </is>
      </c>
      <c r="F89" s="37" t="inlineStr"/>
      <c r="G89" s="40" t="inlineStr"/>
      <c r="H89" s="41" t="inlineStr"/>
      <c r="I89" s="41" t="inlineStr"/>
    </row>
    <row r="90" ht="30" customHeight="1">
      <c r="A90" s="35" t="n"/>
      <c r="B90" s="42" t="inlineStr">
        <is>
          <t>10:00</t>
        </is>
      </c>
      <c r="C90" s="43" t="inlineStr">
        <is>
          <t>12:45</t>
        </is>
      </c>
      <c r="D90" s="44" t="inlineStr">
        <is>
          <t>Solo JP</t>
        </is>
      </c>
      <c r="E90" s="45" t="inlineStr">
        <is>
          <t>★ AMERICAN MUSEUM OF NATURAL HISTORY — dinosaurios, la ballena azul y el Gilder Center nuevo de Studio Gang. $37. Thais lo marcó 0: es de hoy.</t>
        </is>
      </c>
      <c r="F90" s="43" t="inlineStr">
        <is>
          <t>American Museum of Natural History</t>
        </is>
      </c>
      <c r="G90" s="40" t="inlineStr"/>
      <c r="H90" s="41" t="inlineStr"/>
      <c r="I90" s="41" t="inlineStr"/>
    </row>
    <row r="91" ht="16" customHeight="1">
      <c r="A91" s="35" t="n"/>
      <c r="B91" s="36" t="inlineStr">
        <is>
          <t>12:45</t>
        </is>
      </c>
      <c r="C91" s="37" t="inlineStr">
        <is>
          <t>13:45</t>
        </is>
      </c>
      <c r="D91" s="38" t="inlineStr">
        <is>
          <t>Solo JP</t>
        </is>
      </c>
      <c r="E91" s="39" t="inlineStr">
        <is>
          <t>Almuerzo y cruzar Central Park de oeste a este (20 min a pie).</t>
        </is>
      </c>
      <c r="F91" s="37" t="inlineStr"/>
      <c r="G91" s="40" t="inlineStr"/>
      <c r="H91" s="41" t="inlineStr"/>
      <c r="I91" s="41" t="inlineStr"/>
    </row>
    <row r="92" ht="30" customHeight="1">
      <c r="A92" s="35" t="n"/>
      <c r="B92" s="42" t="inlineStr">
        <is>
          <t>13:45</t>
        </is>
      </c>
      <c r="C92" s="43" t="inlineStr">
        <is>
          <t>16:30</t>
        </is>
      </c>
      <c r="D92" s="44" t="inlineStr">
        <is>
          <t>Solo JP</t>
        </is>
      </c>
      <c r="E92"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2" s="43" t="inlineStr">
        <is>
          <t>The Frick Collection</t>
        </is>
      </c>
      <c r="G92" s="40" t="inlineStr">
        <is>
          <t>🚶 ~25 min a pie (1.6 km) o 🚇 ~15 min · estimado</t>
        </is>
      </c>
      <c r="H92" s="41" t="inlineStr"/>
      <c r="I92" s="41" t="inlineStr"/>
    </row>
    <row r="93" ht="30" customHeight="1">
      <c r="A93" s="35" t="n"/>
      <c r="B93" s="36" t="inlineStr">
        <is>
          <t>16:30</t>
        </is>
      </c>
      <c r="C93" s="37" t="inlineStr">
        <is>
          <t>17:45</t>
        </is>
      </c>
      <c r="D93" s="38" t="inlineStr">
        <is>
          <t>Solo JP</t>
        </is>
      </c>
      <c r="E93"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3" s="37" t="inlineStr">
        <is>
          <t>JGSTAY SoHo (JP: 31 ago-2 sep)</t>
        </is>
      </c>
      <c r="G93" s="40" t="inlineStr"/>
      <c r="H93" s="41" t="inlineStr"/>
      <c r="I93" s="41" t="inlineStr"/>
    </row>
    <row r="94" ht="30" customHeight="1">
      <c r="A94" s="35" t="n"/>
      <c r="B94" s="36" t="inlineStr">
        <is>
          <t>17:45</t>
        </is>
      </c>
      <c r="C94" s="37" t="inlineStr">
        <is>
          <t>18:45</t>
        </is>
      </c>
      <c r="D94" s="38" t="inlineStr">
        <is>
          <t>Solo JP</t>
        </is>
      </c>
      <c r="E94" s="39" t="inlineStr">
        <is>
          <t>Subte 6 al sur. Cena TEMPRANA cerca de Central Park: hoy no hay cena tardía posible, el tren manda.</t>
        </is>
      </c>
      <c r="F94" s="37" t="inlineStr"/>
      <c r="G94" s="40" t="inlineStr"/>
      <c r="H94" s="41" t="inlineStr"/>
      <c r="I94" s="41" t="inlineStr"/>
    </row>
    <row r="95" ht="16" customHeight="1">
      <c r="A95" s="35" t="n"/>
      <c r="B95" s="36" t="inlineStr">
        <is>
          <t>18:45</t>
        </is>
      </c>
      <c r="C95" s="37" t="inlineStr">
        <is>
          <t>19:00</t>
        </is>
      </c>
      <c r="D95" s="38" t="inlineStr">
        <is>
          <t>Solo JP</t>
        </is>
      </c>
      <c r="E95" s="39" t="inlineStr">
        <is>
          <t>Entrar a Rumsey Playfield. Puertas 18:00 y con este cartel se llena: cuanto antes, mejor lugar.</t>
        </is>
      </c>
      <c r="F95" s="37" t="inlineStr"/>
      <c r="G95" s="40" t="inlineStr"/>
      <c r="H95" s="41" t="inlineStr"/>
      <c r="I95" s="41" t="inlineStr"/>
    </row>
    <row r="96" ht="30" customHeight="1">
      <c r="A96" s="35" t="n"/>
      <c r="B96" s="42" t="inlineStr">
        <is>
          <t>19:00</t>
        </is>
      </c>
      <c r="C96" s="43" t="inlineStr">
        <is>
          <t>22:00</t>
        </is>
      </c>
      <c r="D96" s="44" t="inlineStr">
        <is>
          <t>Solo JP</t>
        </is>
      </c>
      <c r="E96" s="45" t="inlineStr">
        <is>
          <t>★★ SUMMERSTAGE: Christian McBride + SAMARA JOY + Mei Semones — Verve 70 aniversario y Getz/Gilberto. GRATIS, sin ticket, Rumsey Playfield, 19:00-22:00.</t>
        </is>
      </c>
      <c r="F96" s="43" t="inlineStr">
        <is>
          <t>SummerStage: Christian McBride (gratis)</t>
        </is>
      </c>
      <c r="G96" s="40" t="inlineStr"/>
      <c r="H96" s="41" t="inlineStr"/>
      <c r="I96" s="41" t="inlineStr"/>
    </row>
    <row r="97" ht="30" customHeight="1">
      <c r="A97" s="35" t="n"/>
      <c r="B97" s="36" t="inlineStr">
        <is>
          <t>22:00</t>
        </is>
      </c>
      <c r="C97" s="37" t="inlineStr">
        <is>
          <t>22:48</t>
        </is>
      </c>
      <c r="D97" s="38" t="inlineStr">
        <is>
          <t>Solo JP</t>
        </is>
      </c>
      <c r="E97" s="39" t="inlineStr">
        <is>
          <t>Salir del parque por la 72 y subte 1/2/3 hasta 34 St-Penn Station. Son 25-30 min puerta a puerta: llegás a Penn 22:25-22:30, con 18-23 min de colchón.</t>
        </is>
      </c>
      <c r="F97" s="37" t="inlineStr"/>
      <c r="G97" s="40" t="inlineStr"/>
      <c r="H97" s="41" t="inlineStr"/>
      <c r="I97" s="41" t="inlineStr"/>
    </row>
    <row r="98" ht="30" customHeight="1">
      <c r="A98" s="35" t="n"/>
      <c r="B98" s="36" t="inlineStr">
        <is>
          <t>22:48</t>
        </is>
      </c>
      <c r="C98" s="37" t="inlineStr">
        <is>
          <t>00:15</t>
        </is>
      </c>
      <c r="D98" s="38" t="inlineStr">
        <is>
          <t>Solo JP</t>
        </is>
      </c>
      <c r="E98" s="39" t="inlineStr">
        <is>
          <t>NJ Transit DIRECTO Penn → Raritan (tren 5197), llega 00:04. $18,50. ⚠️ ES EL TREN CRÍTICO: si lo perdés, la próxima llegada a Raritan es 01:31.</t>
        </is>
      </c>
      <c r="F98" s="37" t="inlineStr"/>
      <c r="G98" s="40" t="inlineStr"/>
      <c r="H98" s="41" t="inlineStr"/>
      <c r="I98" s="41" t="inlineStr"/>
    </row>
    <row r="99" ht="30" customHeight="1">
      <c r="A99" s="35" t="n"/>
      <c r="B99" s="36" t="inlineStr">
        <is>
          <t>00:15</t>
        </is>
      </c>
      <c r="C99" s="37" t="inlineStr"/>
      <c r="D99" s="38" t="inlineStr">
        <is>
          <t>Solo JP</t>
        </is>
      </c>
      <c r="E99" s="39" t="inlineStr">
        <is>
          <t>Uber Raritan → Residence Inn (pedirlo antes de subir al tren). Mañana: despertador 5:45 para el tren de las 6:55 con las maletas.</t>
        </is>
      </c>
      <c r="F99" s="37" t="inlineStr">
        <is>
          <t>Residence Inn Branchburg (Thais 31/8-3/9 · JP solo la noche del 2)</t>
        </is>
      </c>
      <c r="G99" s="40" t="inlineStr"/>
      <c r="H99" s="41" t="inlineStr"/>
      <c r="I99" s="41" t="inlineStr"/>
    </row>
    <row r="100" ht="32" customHeight="1">
      <c r="A100"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2" ht="22" customHeight="1">
      <c r="A102" s="33" t="inlineStr">
        <is>
          <t>DÍA 6 · Jueves 03/09 · Traslado + World Trade Center completo + ferry con Thais  —  base: New Jersey → The Beacon  ·  Solo JP</t>
        </is>
      </c>
    </row>
    <row r="103" ht="32" customHeight="1">
      <c r="A103"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4" ht="30" customHeight="1">
      <c r="A104" s="35" t="n"/>
      <c r="B104" s="36" t="inlineStr">
        <is>
          <t>06:20</t>
        </is>
      </c>
      <c r="C104" s="37" t="inlineStr">
        <is>
          <t>06:55</t>
        </is>
      </c>
      <c r="D104" s="38" t="inlineStr">
        <is>
          <t>Solo JP</t>
        </is>
      </c>
      <c r="E104" s="39" t="inlineStr">
        <is>
          <t>Uber desde el Residence Inn a la estación Raritan (~20 min, $14-20). PEDIRLO LA NOCHE ANTERIOR: Branchburg es semi-rural y a esa hora puede no haber autos.</t>
        </is>
      </c>
      <c r="F104" s="37" t="inlineStr">
        <is>
          <t>Residence Inn Branchburg (Thais 31/8-3/9 · JP solo la noche del 2)</t>
        </is>
      </c>
      <c r="G104" s="40" t="inlineStr"/>
      <c r="H104" s="41" t="inlineStr"/>
      <c r="I104" s="41" t="inlineStr"/>
    </row>
    <row r="105" ht="30" customHeight="1">
      <c r="A105" s="35" t="n"/>
      <c r="B105" s="36" t="inlineStr">
        <is>
          <t>06:55</t>
        </is>
      </c>
      <c r="C105" s="37" t="inlineStr">
        <is>
          <t>08:30</t>
        </is>
      </c>
      <c r="D105" s="38" t="inlineStr">
        <is>
          <t>Solo JP</t>
        </is>
      </c>
      <c r="E105" s="39" t="inlineStr">
        <is>
          <t>NJ Transit Raritan → NY Penn Station. Llega 8:20. $18,50. Con maletas, ir al vagón con espacio de equipaje.</t>
        </is>
      </c>
      <c r="F105" s="37" t="inlineStr"/>
      <c r="G105" s="40" t="inlineStr"/>
      <c r="H105" s="41" t="inlineStr"/>
      <c r="I105" s="41" t="inlineStr"/>
    </row>
    <row r="106" ht="16" customHeight="1">
      <c r="A106" s="35" t="n"/>
      <c r="B106" s="36" t="inlineStr">
        <is>
          <t>08:30</t>
        </is>
      </c>
      <c r="C106" s="37" t="inlineStr">
        <is>
          <t>08:45</t>
        </is>
      </c>
      <c r="D106" s="38" t="inlineStr">
        <is>
          <t>Solo JP</t>
        </is>
      </c>
      <c r="E106" s="39" t="inlineStr">
        <is>
          <t>Subte 1/2/3 desde 34 St-Penn Station hasta 72 St. Diez minutos, directo.</t>
        </is>
      </c>
      <c r="F106" s="37" t="inlineStr"/>
      <c r="G106" s="40" t="inlineStr"/>
      <c r="H106" s="41" t="inlineStr"/>
      <c r="I106" s="41" t="inlineStr"/>
    </row>
    <row r="107" ht="30" customHeight="1">
      <c r="A107" s="35" t="n"/>
      <c r="B107" s="42" t="inlineStr">
        <is>
          <t>08:45</t>
        </is>
      </c>
      <c r="C107" s="43" t="inlineStr">
        <is>
          <t>09:15</t>
        </is>
      </c>
      <c r="D107" s="44" t="inlineStr">
        <is>
          <t>Solo JP</t>
        </is>
      </c>
      <c r="E107" s="45" t="inlineStr">
        <is>
          <t>★ THE BEACON — dejar las maletas en el bell desk. El check-in formal es a la tarde, con Thais, pero el equipaje se puede dejar desde temprano. Confirmalo por mail antes de viajar.</t>
        </is>
      </c>
      <c r="F107" s="43" t="inlineStr">
        <is>
          <t>Hotel The Beacon (3-6 sep)</t>
        </is>
      </c>
      <c r="G107" s="40" t="inlineStr"/>
      <c r="H107" s="41" t="inlineStr"/>
      <c r="I107" s="41" t="inlineStr"/>
    </row>
    <row r="108" ht="30" customHeight="1">
      <c r="A108" s="35" t="n"/>
      <c r="B108" s="36" t="inlineStr">
        <is>
          <t>09:15</t>
        </is>
      </c>
      <c r="C108" s="37" t="inlineStr">
        <is>
          <t>09:50</t>
        </is>
      </c>
      <c r="D108" s="38" t="inlineStr">
        <is>
          <t>Solo JP</t>
        </is>
      </c>
      <c r="E108" s="39" t="inlineStr">
        <is>
          <t>Subte 1 directo desde 72 St hasta WTC Cortlandt (~30 min). Alternativa: 2/3 express hasta Chambers St y 5 min a pie.</t>
        </is>
      </c>
      <c r="F108" s="37" t="inlineStr"/>
      <c r="G108" s="40" t="inlineStr"/>
      <c r="H108" s="41" t="inlineStr"/>
      <c r="I108" s="41" t="inlineStr"/>
    </row>
    <row r="109" ht="30" customHeight="1">
      <c r="A109" s="35" t="n"/>
      <c r="B109" s="42" t="inlineStr">
        <is>
          <t>09:50</t>
        </is>
      </c>
      <c r="C109" s="43" t="inlineStr">
        <is>
          <t>10:30</t>
        </is>
      </c>
      <c r="D109" s="44" t="inlineStr">
        <is>
          <t>Solo JP</t>
        </is>
      </c>
      <c r="E109" s="45" t="inlineStr">
        <is>
          <t>★ 9/11 MEMORIAL (la plaza) — las dos fuentes en las huellas de las torres y el Survivor Tree. Gratis, abierto desde las 8:00. Verlo ANTES del museo ordena la visita.</t>
        </is>
      </c>
      <c r="F109" s="43" t="inlineStr"/>
      <c r="G109" s="40" t="inlineStr"/>
      <c r="H109" s="41" t="inlineStr"/>
      <c r="I109" s="41" t="inlineStr"/>
    </row>
    <row r="110" ht="30" customHeight="1">
      <c r="A110" s="35" t="n"/>
      <c r="B110" s="42" t="inlineStr">
        <is>
          <t>10:30</t>
        </is>
      </c>
      <c r="C110" s="43" t="inlineStr">
        <is>
          <t>12:45</t>
        </is>
      </c>
      <c r="D110" s="44" t="inlineStr">
        <is>
          <t>Solo JP</t>
        </is>
      </c>
      <c r="E110" s="45" t="inlineStr">
        <is>
          <t>★★ 9/11 MEMORIAL MUSEUM — $36, TIMED TICKET OBLIGATORIO comprado online antes (el museo no vende en puerta sin reserva). 2 horas largas; es duro y muy bien hecho. Thais lo marcó 0: por eso va en la mañana de JP solo.</t>
        </is>
      </c>
      <c r="F110" s="43" t="inlineStr">
        <is>
          <t>9/11 Memorial Museum</t>
        </is>
      </c>
      <c r="G110" s="40" t="inlineStr"/>
      <c r="H110" s="41" t="inlineStr"/>
      <c r="I110" s="41" t="inlineStr"/>
    </row>
    <row r="111" ht="30" customHeight="1">
      <c r="A111" s="35" t="n"/>
      <c r="B111" s="36" t="inlineStr">
        <is>
          <t>12:45</t>
        </is>
      </c>
      <c r="C111" s="37" t="inlineStr">
        <is>
          <t>13:45</t>
        </is>
      </c>
      <c r="D111" s="38" t="inlineStr">
        <is>
          <t>Solo JP</t>
        </is>
      </c>
      <c r="E111"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1" s="37" t="inlineStr">
        <is>
          <t>Stone St</t>
        </is>
      </c>
      <c r="G111" s="40" t="inlineStr">
        <is>
          <t>🚶 ~14 min a pie · 1.1 km · estimado</t>
        </is>
      </c>
      <c r="H111" s="41" t="inlineStr"/>
      <c r="I111" s="41" t="inlineStr"/>
    </row>
    <row r="112" ht="30" customHeight="1">
      <c r="A112" s="35" t="n"/>
      <c r="B112" s="42" t="inlineStr">
        <is>
          <t>13:45</t>
        </is>
      </c>
      <c r="C112" s="43" t="inlineStr">
        <is>
          <t>15:15</t>
        </is>
      </c>
      <c r="D112" s="44" t="inlineStr">
        <is>
          <t>Solo JP</t>
        </is>
      </c>
      <c r="E112" s="45" t="inlineStr">
        <is>
          <t>★★ ONE WORLD OBSERVATORY — piso 102, el punto más alto del hemisferio occidental, con el puerto y Brooklyn dominando la vista. $44+fee, ventana de entrada de 15 min: sacar el timed ticket online. JP lo subió a 2 en la última pasada.</t>
        </is>
      </c>
      <c r="F112" s="43" t="inlineStr">
        <is>
          <t>One World Observatory</t>
        </is>
      </c>
      <c r="G112" s="40" t="inlineStr">
        <is>
          <t>🚶 ~20 min a pie (1.2 km) o 🚇 ~15 min · estimado</t>
        </is>
      </c>
      <c r="H112" s="41" t="inlineStr"/>
      <c r="I112" s="41" t="inlineStr"/>
    </row>
    <row r="113" ht="30" customHeight="1">
      <c r="A113" s="35" t="n"/>
      <c r="B113" s="36" t="inlineStr">
        <is>
          <t>15:15</t>
        </is>
      </c>
      <c r="C113" s="37" t="inlineStr">
        <is>
          <t>16:00</t>
        </is>
      </c>
      <c r="D113" s="38" t="inlineStr">
        <is>
          <t>Solo JP</t>
        </is>
      </c>
      <c r="E113" s="39" t="inlineStr">
        <is>
          <t>El Oculus en un VISTAZO (5 min — ya estás ahí, y el tiempo no da para más) y R/W desde Cortlandt St hacia el norte.</t>
        </is>
      </c>
      <c r="F113" s="37" t="inlineStr">
        <is>
          <t>Oculus / WTC Transportation Hub</t>
        </is>
      </c>
      <c r="G113" s="40" t="inlineStr">
        <is>
          <t>🚶 ~4 min a pie · 0.3 km · estimado</t>
        </is>
      </c>
      <c r="H113" s="41" t="inlineStr"/>
      <c r="I113" s="41" t="inlineStr"/>
    </row>
    <row r="114" ht="30" customHeight="1">
      <c r="A114" s="35" t="n"/>
      <c r="B114" s="42" t="inlineStr">
        <is>
          <t>16:00</t>
        </is>
      </c>
      <c r="C114" s="43" t="inlineStr">
        <is>
          <t>16:30</t>
        </is>
      </c>
      <c r="D114" s="44" t="inlineStr">
        <is>
          <t>Ambos</t>
        </is>
      </c>
      <c r="E114"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4" s="43" t="inlineStr"/>
      <c r="G114" s="40" t="inlineStr"/>
      <c r="H114" s="41" t="inlineStr"/>
      <c r="I114" s="41" t="inlineStr"/>
    </row>
    <row r="115" ht="30" customHeight="1">
      <c r="A115" s="35" t="n"/>
      <c r="B115" s="42" t="inlineStr">
        <is>
          <t>16:30</t>
        </is>
      </c>
      <c r="C115" s="43" t="inlineStr">
        <is>
          <t>18:05</t>
        </is>
      </c>
      <c r="D115" s="44" t="inlineStr">
        <is>
          <t>Ambos</t>
        </is>
      </c>
      <c r="E115"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5" s="43" t="inlineStr">
        <is>
          <t>Museum of the Moving Image</t>
        </is>
      </c>
      <c r="G115" s="40" t="inlineStr">
        <is>
          <t>🚇 ~40 min en subte · 11.5 km (a pie 155 min) · estimado</t>
        </is>
      </c>
      <c r="H115" s="41" t="inlineStr"/>
      <c r="I115" s="41" t="inlineStr"/>
    </row>
    <row r="116" ht="16" customHeight="1">
      <c r="A116" s="35" t="n"/>
      <c r="B116" s="36" t="inlineStr">
        <is>
          <t>18:05</t>
        </is>
      </c>
      <c r="C116" s="37" t="inlineStr">
        <is>
          <t>18:55</t>
        </is>
      </c>
      <c r="D116" s="38" t="inlineStr">
        <is>
          <t>Ambos</t>
        </is>
      </c>
      <c r="E116" s="39" t="inlineStr">
        <is>
          <t>Subte N/W desde 36 Av hasta Times Sq y 1/2/3 hasta 72 St (~45 min).</t>
        </is>
      </c>
      <c r="F116" s="37" t="inlineStr"/>
      <c r="G116" s="40" t="inlineStr"/>
      <c r="H116" s="41" t="inlineStr"/>
      <c r="I116" s="41" t="inlineStr"/>
    </row>
    <row r="117" ht="16" customHeight="1">
      <c r="A117" s="35" t="n"/>
      <c r="B117" s="36" t="inlineStr">
        <is>
          <t>18:55</t>
        </is>
      </c>
      <c r="C117" s="37" t="inlineStr">
        <is>
          <t>19:15</t>
        </is>
      </c>
      <c r="D117" s="38" t="inlineStr">
        <is>
          <t>Ambos</t>
        </is>
      </c>
      <c r="E117" s="39" t="inlineStr">
        <is>
          <t>The Beacon: check-in formal y subir las maletas.</t>
        </is>
      </c>
      <c r="F117" s="37" t="inlineStr">
        <is>
          <t>Hotel The Beacon (3-6 sep)</t>
        </is>
      </c>
      <c r="G117" s="40" t="inlineStr"/>
      <c r="H117" s="41" t="inlineStr"/>
      <c r="I117" s="41" t="inlineStr"/>
    </row>
    <row r="118" ht="30" customHeight="1">
      <c r="A118" s="35" t="n"/>
      <c r="B118" s="36" t="inlineStr">
        <is>
          <t>19:15</t>
        </is>
      </c>
      <c r="C118" s="37" t="inlineStr">
        <is>
          <t>19:55</t>
        </is>
      </c>
      <c r="D118" s="38" t="inlineStr">
        <is>
          <t>Ambos</t>
        </is>
      </c>
      <c r="E118" s="39" t="inlineStr">
        <is>
          <t>Cena RÁPIDA en el Upper West Side, bajando por Broadway o Columbus. Hoy se come temprano y liviano: la noche tiene tres paradas y todas valen.</t>
        </is>
      </c>
      <c r="F118" s="37" t="inlineStr"/>
      <c r="G118" s="40" t="inlineStr"/>
      <c r="H118" s="41" t="inlineStr"/>
      <c r="I118" s="41" t="inlineStr"/>
    </row>
    <row r="119" ht="30" customHeight="1">
      <c r="A119" s="35" t="n"/>
      <c r="B119" s="42" t="inlineStr">
        <is>
          <t>19:55</t>
        </is>
      </c>
      <c r="C119" s="43" t="inlineStr">
        <is>
          <t>20:20</t>
        </is>
      </c>
      <c r="D119" s="44" t="inlineStr">
        <is>
          <t>Ambos</t>
        </is>
      </c>
      <c r="E119"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9" s="43" t="inlineStr">
        <is>
          <t>Lincoln Center (campus y plaza)</t>
        </is>
      </c>
      <c r="G119" s="40" t="inlineStr">
        <is>
          <t>🚶 ~20 min a pie (1.3 km) o 🚇 ~15 min · estimado</t>
        </is>
      </c>
      <c r="H119" s="41" t="inlineStr"/>
      <c r="I119" s="41" t="inlineStr"/>
    </row>
    <row r="120" ht="16" customHeight="1">
      <c r="A120" s="35" t="n"/>
      <c r="B120" s="36" t="inlineStr">
        <is>
          <t>20:20</t>
        </is>
      </c>
      <c r="C120" s="37" t="inlineStr">
        <is>
          <t>20:30</t>
        </is>
      </c>
      <c r="D120" s="38" t="inlineStr">
        <is>
          <t>Ambos</t>
        </is>
      </c>
      <c r="E120" s="39" t="inlineStr">
        <is>
          <t>Caminar seis cuadras por Broadway hasta Columbus Circle (~8 min).</t>
        </is>
      </c>
      <c r="F120" s="37" t="inlineStr"/>
      <c r="G120" s="40" t="inlineStr"/>
      <c r="H120" s="41" t="inlineStr"/>
      <c r="I120" s="41" t="inlineStr"/>
    </row>
    <row r="121" ht="30" customHeight="1">
      <c r="A121" s="35" t="n"/>
      <c r="B121" s="42" t="inlineStr">
        <is>
          <t>20:30</t>
        </is>
      </c>
      <c r="C121" s="43" t="inlineStr">
        <is>
          <t>20:55</t>
        </is>
      </c>
      <c r="D121" s="44" t="inlineStr">
        <is>
          <t>Ambos</t>
        </is>
      </c>
      <c r="E121"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1" s="43" t="inlineStr">
        <is>
          <t>MO Lounge — Mandarin Oriental (piso 35)</t>
        </is>
      </c>
      <c r="G121" s="40" t="inlineStr"/>
      <c r="H121" s="41" t="inlineStr"/>
      <c r="I121" s="41" t="inlineStr"/>
    </row>
    <row r="122" ht="30" customHeight="1">
      <c r="A122" s="35" t="n"/>
      <c r="B122" s="36" t="inlineStr">
        <is>
          <t>20:55</t>
        </is>
      </c>
      <c r="C122" s="37" t="inlineStr">
        <is>
          <t>21:00</t>
        </is>
      </c>
      <c r="D122" s="38" t="inlineStr">
        <is>
          <t>Ambos</t>
        </is>
      </c>
      <c r="E122" s="39" t="inlineStr">
        <is>
          <t>Bajar en ascensor: Dizzy's está EN EL MISMO EDIFICIO (10 Columbus Circle, piso 5). Cero calle, cero frío.</t>
        </is>
      </c>
      <c r="F122" s="37" t="inlineStr"/>
      <c r="G122" s="40" t="inlineStr"/>
      <c r="H122" s="41" t="inlineStr"/>
      <c r="I122" s="41" t="inlineStr"/>
    </row>
    <row r="123" ht="30" customHeight="1">
      <c r="A123" s="35" t="n"/>
      <c r="B123" s="36" t="inlineStr">
        <is>
          <t>21:00</t>
        </is>
      </c>
      <c r="C123" s="37" t="inlineStr"/>
      <c r="D123" s="38" t="inlineStr">
        <is>
          <t>Ambos</t>
        </is>
      </c>
      <c r="E123"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3" s="37" t="inlineStr">
        <is>
          <t>Dizzy's Club (Jazz at Lincoln Center)</t>
        </is>
      </c>
      <c r="G123" s="40" t="inlineStr"/>
      <c r="H123" s="41" t="inlineStr"/>
      <c r="I123" s="41" t="inlineStr"/>
    </row>
    <row r="124" ht="32" customHeight="1">
      <c r="A124"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6" ht="22" customHeight="1">
      <c r="A126" s="33" t="inlineStr">
        <is>
          <t>DÍA 7 · Viernes 04/09 · Vessel + High Line, SUMMIT al atardecer y el VANGUARD de a dos  —  base: The Beacon  ·  Ambos</t>
        </is>
      </c>
    </row>
    <row r="127" ht="32" customHeight="1">
      <c r="A127"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8" ht="16" customHeight="1">
      <c r="A128" s="35" t="n"/>
      <c r="B128" s="36" t="inlineStr">
        <is>
          <t>09:15</t>
        </is>
      </c>
      <c r="C128" s="37" t="inlineStr">
        <is>
          <t>09:40</t>
        </is>
      </c>
      <c r="D128" s="38" t="inlineStr">
        <is>
          <t>Ambos</t>
        </is>
      </c>
      <c r="E128" s="39" t="inlineStr">
        <is>
          <t>Subte a Hudson Yards.</t>
        </is>
      </c>
      <c r="F128" s="37" t="inlineStr"/>
      <c r="G128" s="40" t="inlineStr"/>
      <c r="H128" s="41" t="inlineStr"/>
      <c r="I128" s="41" t="inlineStr"/>
    </row>
    <row r="129" ht="30" customHeight="1">
      <c r="A129" s="35" t="n"/>
      <c r="B129" s="36" t="inlineStr">
        <is>
          <t>09:40</t>
        </is>
      </c>
      <c r="C129" s="37" t="inlineStr">
        <is>
          <t>10:00</t>
        </is>
      </c>
      <c r="D129" s="38" t="inlineStr">
        <is>
          <t>Ambos</t>
        </is>
      </c>
      <c r="E129" s="39" t="inlineStr">
        <is>
          <t>La plaza de Hudson Yards mientras abre el Vessel: The Shops y el Shed desde afuera. Sacar el timed ticket de las 10:00 online antes.</t>
        </is>
      </c>
      <c r="F129" s="37" t="inlineStr"/>
      <c r="G129" s="40" t="inlineStr"/>
      <c r="H129" s="41" t="inlineStr"/>
      <c r="I129" s="41" t="inlineStr"/>
    </row>
    <row r="130" ht="30" customHeight="1">
      <c r="A130" s="35" t="n"/>
      <c r="B130" s="42" t="inlineStr">
        <is>
          <t>10:00</t>
        </is>
      </c>
      <c r="C130" s="43" t="inlineStr">
        <is>
          <t>10:50</t>
        </is>
      </c>
      <c r="D130" s="44" t="inlineStr">
        <is>
          <t>Ambos</t>
        </is>
      </c>
      <c r="E130"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30" s="43" t="inlineStr">
        <is>
          <t>The Vessel</t>
        </is>
      </c>
      <c r="G130" s="40" t="inlineStr"/>
      <c r="H130" s="41" t="inlineStr"/>
      <c r="I130" s="41" t="inlineStr"/>
    </row>
    <row r="131" ht="30" customHeight="1">
      <c r="A131" s="35" t="n"/>
      <c r="B131" s="42" t="inlineStr">
        <is>
          <t>10:50</t>
        </is>
      </c>
      <c r="C131" s="43" t="inlineStr">
        <is>
          <t>12:20</t>
        </is>
      </c>
      <c r="D131" s="44" t="inlineStr">
        <is>
          <t>Ambos</t>
        </is>
      </c>
      <c r="E131" s="45" t="inlineStr">
        <is>
          <t>★ THE HIGH LINE completo, de norte a sur (2,3 km) — arranca ahí mismo, en 30th y 10ª. Vía ferroviaria elevada convertida en parque lineal. Incluye el Buda de arenisca de 9 metros de Tuan Andrew Nguyen.</t>
        </is>
      </c>
      <c r="F131" s="43" t="inlineStr">
        <is>
          <t>The High Line</t>
        </is>
      </c>
      <c r="G131" s="40" t="inlineStr">
        <is>
          <t>🚶 ~12 min a pie · 0.9 km · estimado</t>
        </is>
      </c>
      <c r="H131" s="41" t="inlineStr"/>
      <c r="I131" s="41" t="inlineStr"/>
    </row>
    <row r="132" ht="30" customHeight="1">
      <c r="A132" s="35" t="n"/>
      <c r="B132" s="36" t="inlineStr">
        <is>
          <t>12:20</t>
        </is>
      </c>
      <c r="C132" s="37" t="inlineStr">
        <is>
          <t>13:00</t>
        </is>
      </c>
      <c r="D132" s="38" t="inlineStr">
        <is>
          <t>Ambos</t>
        </is>
      </c>
      <c r="E132" s="39" t="inlineStr">
        <is>
          <t>Little Island — el parque flotante de Heatherwick sobre 132 macetas de hormigón, al final del High Line. Gratis.</t>
        </is>
      </c>
      <c r="F132" s="37" t="inlineStr">
        <is>
          <t>Little Island</t>
        </is>
      </c>
      <c r="G132" s="40" t="inlineStr">
        <is>
          <t>🚶 ~15 min a pie · 1.1 km · estimado</t>
        </is>
      </c>
      <c r="H132" s="41" t="inlineStr"/>
      <c r="I132" s="41" t="inlineStr"/>
    </row>
    <row r="133" ht="30" customHeight="1">
      <c r="A133" s="35" t="n"/>
      <c r="B133" s="42" t="inlineStr">
        <is>
          <t>13:00</t>
        </is>
      </c>
      <c r="C133" s="43" t="inlineStr">
        <is>
          <t>14:30</t>
        </is>
      </c>
      <c r="D133" s="44" t="inlineStr">
        <is>
          <t>Ambos</t>
        </is>
      </c>
      <c r="E133" s="45" t="inlineStr">
        <is>
          <t>Galerías de Chelsea COMPLETAS — W 19th a W 27th entre la 10ª y la 11ª, concentradas en W 24th y W 21st (Gagosian, Pace, Zwirner). Gratis, se entra y se sale. El recorte del Vessel se devolvió: SUMMIT pasó al atardecer y la tarde se estiró.</t>
        </is>
      </c>
      <c r="F133" s="43" t="inlineStr"/>
      <c r="G133" s="40" t="inlineStr"/>
      <c r="H133" s="41" t="inlineStr"/>
      <c r="I133" s="41" t="inlineStr"/>
    </row>
    <row r="134" ht="30" customHeight="1">
      <c r="A134" s="35" t="n"/>
      <c r="B134" s="36" t="inlineStr">
        <is>
          <t>14:30</t>
        </is>
      </c>
      <c r="C134" s="37" t="inlineStr">
        <is>
          <t>16:25</t>
        </is>
      </c>
      <c r="D134" s="38" t="inlineStr">
        <is>
          <t>Ambos</t>
        </is>
      </c>
      <c r="E134"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4" s="37" t="inlineStr">
        <is>
          <t>Chelsea Market</t>
        </is>
      </c>
      <c r="G134" s="40" t="inlineStr">
        <is>
          <t>🚶 ~7 min a pie · 0.5 km · estimado</t>
        </is>
      </c>
      <c r="H134" s="41" t="inlineStr"/>
      <c r="I134" s="41" t="inlineStr"/>
    </row>
    <row r="135" ht="30" customHeight="1">
      <c r="A135" s="35" t="n"/>
      <c r="B135" s="36" t="inlineStr">
        <is>
          <t>16:25</t>
        </is>
      </c>
      <c r="C135" s="37" t="inlineStr">
        <is>
          <t>17:00</t>
        </is>
      </c>
      <c r="D135" s="38" t="inlineStr">
        <is>
          <t>Ambos</t>
        </is>
      </c>
      <c r="E135" s="39" t="inlineStr">
        <is>
          <t>A la Morgan: L desde 14 St-8 Av hasta Union Sq y 6 hasta 33 St, o A/C/E hasta 34 St-Penn y siete cuadras a pie (~30 min). Salir 16:25 deja margen para entrar 17:00 EN PUNTO.</t>
        </is>
      </c>
      <c r="F135" s="37" t="inlineStr"/>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c r="H136" s="41" t="inlineStr"/>
      <c r="I136" s="41" t="inlineStr"/>
    </row>
    <row r="137" ht="16" customHeight="1">
      <c r="A137" s="35" t="n"/>
      <c r="B137" s="36" t="inlineStr">
        <is>
          <t>18:00</t>
        </is>
      </c>
      <c r="C137" s="37" t="inlineStr">
        <is>
          <t>18:10</t>
        </is>
      </c>
      <c r="D137" s="38" t="inlineStr">
        <is>
          <t>Ambos</t>
        </is>
      </c>
      <c r="E137" s="39" t="inlineStr">
        <is>
          <t>Caminar las seis cuadras de la Morgan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OPCIONAL si quieren la panorámica: Westlight (piso 22, sin cover, un trago) — lo bajaron a 'quizás', así que es prescindible. NO comer nada: lo que viene lo merece.</t>
        </is>
      </c>
      <c r="F154" s="37" t="inlineStr"/>
      <c r="G154" s="40" t="inlineStr"/>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MoMA PS1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PS1, que cierra a las 18:00.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15:30</t>
        </is>
      </c>
      <c r="D173" s="38" t="inlineStr">
        <is>
          <t>Ambos</t>
        </is>
      </c>
      <c r="E173" s="39" t="inlineStr">
        <is>
          <t>SALIR 15:05 de Four Freedoms Park y caminar 15 min al norte por el borde del río hasta la ESTACIÓN DEL F, que está en el medio de la isla (Main St y Roosevelt Island Bridge). Hoy NO se vuelve en teleférico: se cruza a Queens por abajo.</t>
        </is>
      </c>
      <c r="F173" s="37" t="inlineStr"/>
      <c r="G173" s="40" t="inlineStr"/>
      <c r="H173" s="41" t="inlineStr"/>
      <c r="I173" s="41" t="inlineStr"/>
    </row>
    <row r="174" ht="30" customHeight="1">
      <c r="A174" s="35" t="n"/>
      <c r="B174" s="36" t="inlineStr">
        <is>
          <t>15:30</t>
        </is>
      </c>
      <c r="C174" s="37" t="inlineStr">
        <is>
          <t>15:45</t>
        </is>
      </c>
      <c r="D174" s="38" t="inlineStr">
        <is>
          <t>Ambos</t>
        </is>
      </c>
      <c r="E174" s="39" t="inlineStr">
        <is>
          <t>Subte F, UNA parada: Roosevelt Island → 21 St-Queensbridge (~4 min). Salir y caminar 12-15 min al sur por 21st St / Jackson Ave.</t>
        </is>
      </c>
      <c r="F174" s="37" t="inlineStr"/>
      <c r="G174" s="40" t="inlineStr"/>
      <c r="H174" s="41" t="inlineStr"/>
      <c r="I174" s="41" t="inlineStr"/>
    </row>
    <row r="175" ht="30" customHeight="1">
      <c r="A175" s="35" t="n"/>
      <c r="B175" s="42" t="inlineStr">
        <is>
          <t>15:45</t>
        </is>
      </c>
      <c r="C175" s="43" t="inlineStr">
        <is>
          <t>17:45</t>
        </is>
      </c>
      <c r="D175" s="44" t="inlineStr">
        <is>
          <t>Ambos</t>
        </is>
      </c>
      <c r="E175"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5" s="43" t="inlineStr">
        <is>
          <t>MoMA PS1</t>
        </is>
      </c>
      <c r="G175" s="40" t="inlineStr"/>
      <c r="H175" s="41" t="inlineStr"/>
      <c r="I175" s="41" t="inlineStr"/>
    </row>
    <row r="176" ht="30" customHeight="1">
      <c r="A176" s="35" t="n"/>
      <c r="B176" s="36" t="inlineStr">
        <is>
          <t>17:45</t>
        </is>
      </c>
      <c r="C176" s="37" t="inlineStr">
        <is>
          <t>18:20</t>
        </is>
      </c>
      <c r="D176" s="38" t="inlineStr">
        <is>
          <t>Ambos</t>
        </is>
      </c>
      <c r="E176" s="39" t="inlineStr">
        <is>
          <t>Del PS1 al hotel: subte 7 desde Court Sq hasta Times Sq y 1/2/3 hasta 72 St, o E/M hasta 53 St (~45 min). Llegan 18:30, justo para las valijas. El vuelo no se toca.</t>
        </is>
      </c>
      <c r="F176" s="37" t="inlineStr"/>
      <c r="G176" s="40" t="inlineStr"/>
      <c r="H176" s="41" t="inlineStr"/>
      <c r="I176" s="41" t="inlineStr"/>
    </row>
    <row r="177" ht="30" customHeight="1">
      <c r="A177" s="35" t="n"/>
      <c r="B177" s="36" t="inlineStr">
        <is>
          <t>18:20</t>
        </is>
      </c>
      <c r="C177" s="37" t="inlineStr">
        <is>
          <t>18:30</t>
        </is>
      </c>
      <c r="D177" s="38" t="inlineStr">
        <is>
          <t>Ambos</t>
        </is>
      </c>
      <c r="E177"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7" s="37" t="inlineStr"/>
      <c r="G177" s="40" t="inlineStr"/>
      <c r="H177" s="41" t="inlineStr"/>
      <c r="I177" s="41" t="inlineStr"/>
    </row>
    <row r="178" ht="16" customHeight="1">
      <c r="A178" s="35" t="n"/>
      <c r="B178" s="36" t="inlineStr">
        <is>
          <t>18:30</t>
        </is>
      </c>
      <c r="C178" s="37" t="inlineStr">
        <is>
          <t>19:40</t>
        </is>
      </c>
      <c r="D178" s="38" t="inlineStr">
        <is>
          <t>Ambos</t>
        </is>
      </c>
      <c r="E178" s="39" t="inlineStr">
        <is>
          <t>Retirar las valijas del bell desk. Cena tranquila cerca del hotel: es la última.</t>
        </is>
      </c>
      <c r="F178" s="37" t="inlineStr"/>
      <c r="G178" s="40" t="inlineStr"/>
      <c r="H178" s="41" t="inlineStr"/>
      <c r="I178" s="41" t="inlineStr"/>
    </row>
    <row r="179" ht="16" customHeight="1">
      <c r="A179" s="35" t="n"/>
      <c r="B179" s="36" t="inlineStr">
        <is>
          <t>19:40</t>
        </is>
      </c>
      <c r="C179" s="37" t="inlineStr">
        <is>
          <t>20:14</t>
        </is>
      </c>
      <c r="D179" s="38" t="inlineStr">
        <is>
          <t>Ambos</t>
        </is>
      </c>
      <c r="E179" s="39" t="inlineStr">
        <is>
          <t>Salir de The Beacon. Subte 1/2/3 desde 72 St hasta 34 St-Penn Station: ~10 min, $3.</t>
        </is>
      </c>
      <c r="F179" s="37" t="inlineStr"/>
      <c r="G179" s="40" t="inlineStr"/>
      <c r="H179" s="41" t="inlineStr"/>
      <c r="I179" s="41" t="inlineStr"/>
    </row>
    <row r="180" ht="30" customHeight="1">
      <c r="A180" s="35" t="n"/>
      <c r="B180" s="36" t="inlineStr">
        <is>
          <t>20:14</t>
        </is>
      </c>
      <c r="C180" s="37" t="inlineStr">
        <is>
          <t>20:45</t>
        </is>
      </c>
      <c r="D180" s="38" t="inlineStr">
        <is>
          <t>Ambos</t>
        </is>
      </c>
      <c r="E180" s="39" t="inlineStr">
        <is>
          <t>NJ Transit Penn Station → EWR, llega 20:38. $17,25 (incluye el AirTrain). VERIFICAR el horario dominical en njtransit.com unos días antes.</t>
        </is>
      </c>
      <c r="F180" s="37" t="inlineStr"/>
      <c r="G180" s="40" t="inlineStr"/>
      <c r="H180" s="41" t="inlineStr"/>
      <c r="I180" s="41" t="inlineStr"/>
    </row>
    <row r="181" ht="16" customHeight="1">
      <c r="A181" s="35" t="n"/>
      <c r="B181" s="36" t="inlineStr">
        <is>
          <t>20:45</t>
        </is>
      </c>
      <c r="C181" s="37" t="inlineStr">
        <is>
          <t>20:55</t>
        </is>
      </c>
      <c r="D181" s="38" t="inlineStr">
        <is>
          <t>Ambos</t>
        </is>
      </c>
      <c r="E181" s="39" t="inlineStr">
        <is>
          <t>AirTrain hasta la terminal: 10-15 min.</t>
        </is>
      </c>
      <c r="F181" s="37" t="inlineStr"/>
      <c r="G181" s="40" t="inlineStr"/>
      <c r="H181" s="41" t="inlineStr"/>
      <c r="I181" s="41" t="inlineStr"/>
    </row>
    <row r="182" ht="30" customHeight="1">
      <c r="A182" s="35" t="n"/>
      <c r="B182" s="36" t="inlineStr">
        <is>
          <t>20:55</t>
        </is>
      </c>
      <c r="C182" s="37" t="inlineStr"/>
      <c r="D182" s="38" t="inlineStr">
        <is>
          <t>Ambos</t>
        </is>
      </c>
      <c r="E182" s="39" t="inlineStr">
        <is>
          <t>En terminal. Faltan 2h45 para el vuelo de las 23:40 — correcto para un internacional en el domingo de Labor Day, que es la noche de más tráfico del año en EWR.</t>
        </is>
      </c>
      <c r="F182" s="37" t="inlineStr"/>
      <c r="G182" s="40" t="inlineStr"/>
      <c r="H182" s="41" t="inlineStr"/>
      <c r="I182" s="41" t="inlineStr"/>
    </row>
    <row r="183" ht="32" customHeight="1">
      <c r="A183"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183:I183"/>
    <mergeCell ref="A164:I164"/>
    <mergeCell ref="A84:I84"/>
    <mergeCell ref="A66:I66"/>
    <mergeCell ref="A145:I145"/>
    <mergeCell ref="A26:I26"/>
    <mergeCell ref="A86:I86"/>
    <mergeCell ref="A47:I47"/>
    <mergeCell ref="A5:I5"/>
    <mergeCell ref="A126:I126"/>
    <mergeCell ref="A100:I100"/>
    <mergeCell ref="A29:I29"/>
    <mergeCell ref="A165:I165"/>
    <mergeCell ref="A1:G1"/>
    <mergeCell ref="A68:I68"/>
    <mergeCell ref="A28:I28"/>
    <mergeCell ref="A102:I102"/>
    <mergeCell ref="A127:I127"/>
    <mergeCell ref="A143:I143"/>
    <mergeCell ref="A48:I48"/>
    <mergeCell ref="A103:I103"/>
    <mergeCell ref="A45:I45"/>
    <mergeCell ref="A2:G2"/>
    <mergeCell ref="A146:I146"/>
    <mergeCell ref="A124:I124"/>
    <mergeCell ref="A6:I6"/>
    <mergeCell ref="A162:I162"/>
    <mergeCell ref="A69:I69"/>
    <mergeCell ref="A87:I87"/>
  </mergeCells>
  <dataValidations count="1">
    <dataValidation sqref="H5:H185"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SUMIF(Lugares!$F$5:$F$306,2,Lugares!$I$5:$I$306)-SUMIFS(Lugares!$I$5:$I$306,Lugares!$F$5:$F$306,2,Lugares!$C$5:$C$306,"Comida")-SUMIFS(Lugares!$I$5:$I$306,Lugares!$F$5:$F$306,2,Lugares!$C$5:$C$306,"Música")</f>
        <v/>
      </c>
      <c r="C5" s="48">
        <f>SUMIF(Lugares!$G$5:$G$306,2,Lugares!$I$5:$I$306)-SUMIFS(Lugares!$I$5:$I$306,Lugares!$G$5:$G$306,2,Lugares!$C$5:$C$306,"Comida")-SUMIFS(Lugares!$I$5:$I$306,Lugares!$G$5:$G$306,2,Lugares!$C$5:$C$306,"Música")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Uber Shuttle</t>
        </is>
      </c>
    </row>
    <row r="6" ht="26" customHeight="1">
      <c r="A6" s="57" t="inlineStr">
        <is>
          <t>Opción</t>
        </is>
      </c>
      <c r="B6" s="57" t="inlineStr">
        <is>
          <t>Costo</t>
        </is>
      </c>
      <c r="C6" s="57" t="inlineStr">
        <is>
          <t>Tiempo</t>
        </is>
      </c>
      <c r="D6" s="57" t="inlineStr">
        <is>
          <t>Detalle</t>
        </is>
      </c>
    </row>
    <row r="7" ht="40" customHeight="1">
      <c r="A7" s="39" t="inlineStr">
        <is>
          <t>Uber Shuttle ✅</t>
        </is>
      </c>
      <c r="B7" s="39" t="inlineStr">
        <is>
          <t>$20,70 p/p · $41,40 los dos</t>
        </is>
      </c>
      <c r="C7" s="39" t="inlineStr">
        <is>
          <t>~75 min terminal a hotel</t>
        </is>
      </c>
      <c r="D7" s="39" t="inlineStr">
        <is>
          <t>UN SOLO transporte con las valijas: sin AirTrain, sin transbordo en Penn y sin taxi. Precio fijo por persona y asiento reservado, se pide en la app de Uber. Sale de Terminal B, Zona 5, a ~6 min a pie de llegadas. Horarios del sábado 29: 7:40 y 8:30 a Theatre District (50th y 8ª, 13 min a pie del Ink48); 7:50 y 8:35 a Port Authority (40th y 8ª, 17 min a pie). ⚠️ SALEN CADA 40-50 MIN: si migraciones se estira y pierden el de 7:40, el siguiente llega 9:57 y el día arranca tarde.  ▸ $41,40 los dos, sin nada más que pagar</t>
        </is>
      </c>
    </row>
    <row r="8" ht="40" customHeight="1">
      <c r="A8" s="39" t="inlineStr">
        <is>
          <t>AirTrain + NJ Transit (el plan viejo)</t>
        </is>
      </c>
      <c r="B8" s="39" t="inlineStr">
        <is>
          <t>$17,25 p/p · $34,50 los dos</t>
        </is>
      </c>
      <c r="C8" s="39" t="inlineStr">
        <is>
          <t>~55-70 min desde terminal</t>
        </is>
      </c>
      <c r="D8" s="39" t="inlineStr">
        <is>
          <t>Precio ÚNICO: ya incluye el fee de AirTrain de $8,75, no se compra aparte. Trenes sábado desde EWR: 6:00, 6:07, 6:43, 7:04, 7:15, 7:25, 7:39 — UNO CADA 10-15 MIN, que es su ventaja real sobre el shuttle. Viaje 26-31 min. Comprar en la app MyTix o en máquina — a bordo cobran $5 de recargo. Llegan al hotel 8:15-8:30, casi una hora antes.  ▸ $46,50-52,50 los dos con el taxi de Penn Station al hotel · ES EL PLAN B SI SALEN TARDE DE MIGRACIONES</t>
        </is>
      </c>
    </row>
    <row r="9" ht="40" customHeight="1">
      <c r="A9" s="39" t="inlineStr">
        <is>
          <t>Taxi oficial de EWR</t>
        </is>
      </c>
      <c r="B9" s="39" t="inlineStr">
        <is>
          <t>~$78-90</t>
        </is>
      </c>
      <c r="C9" s="39" t="inlineStr">
        <is>
          <t>45-60 min</t>
        </is>
      </c>
      <c r="D9" s="39" t="inlineStr">
        <is>
          <t>Tarifa fija por zona: Ink48 está en la calle 48 = Zona 2 = $65 fijo, + $2 de airport fee + $6,75-15,75 de peajes + $1 por valija. El recargo de hora pico ($10) rige sáb-dom 12-21h, así que a las 6-7 AM NO aplica.</t>
        </is>
      </c>
    </row>
    <row r="10" ht="40" customHeight="1">
      <c r="A10" s="39" t="inlineStr">
        <is>
          <t>Uber / Lyft</t>
        </is>
      </c>
      <c r="B10" s="39" t="inlineStr">
        <is>
          <t>$70-110 (estimado)</t>
        </is>
      </c>
      <c r="C10" s="39" t="inlineStr">
        <is>
          <t>45-60 min</t>
        </is>
      </c>
      <c r="D10" s="39" t="inlineStr">
        <is>
          <t>A las 7 AM de un sábado el tráfico es liviano. Ink48 está dentro de la zona de congestion pricing (sur de la calle 60): hay recargo adicional.</t>
        </is>
      </c>
    </row>
    <row r="11" ht="40" customHeight="1">
      <c r="A11" s="39" t="inlineStr">
        <is>
          <t>Newark Airport Express ❌</t>
        </is>
      </c>
      <c r="B11" s="39" t="inlineStr">
        <is>
          <t>$18-19 (NO CONFIRMADO)</t>
        </is>
      </c>
      <c r="C11" s="39" t="inlineStr">
        <is>
          <t>60-80 min</t>
        </is>
      </c>
      <c r="D11" s="39" t="inlineStr">
        <is>
          <t>No aporta nada frente al tren: más caro, más lento, sujeto al tráfico del Lincoln Tunnel, y deja en Port Authority a 15 min caminando del hotel. Las fuentes se contradicen sobre el precio.</t>
        </is>
      </c>
    </row>
    <row r="12" ht="40" customHeight="1">
      <c r="A12" s="58" t="inlineStr">
        <is>
          <t>Secuencia realista</t>
        </is>
      </c>
      <c r="B12" s="58" t="inlineStr"/>
      <c r="C12" s="58" t="inlineStr"/>
      <c r="D12" s="58" t="inlineStr">
        <is>
          <t>Aterrizan 6:00 → migraciones y equipaje 45-75 min → 6 min a pie a la Zona 5 de Terminal B → Uber Shuttle 7:40 → Theatre District 8:54 → 13 min a pie → hotel ~9:10. Total ≈ 3h desde que tocan pista, con UN solo transporte. Con el plan viejo llegaban 8:15-8:30 pero cambiando tres veces de vehículo con las valijas.</t>
        </is>
      </c>
    </row>
    <row r="13" ht="40" customHeight="1">
      <c r="A13" s="59" t="inlineStr">
        <is>
          <t>⚠ Alerta</t>
        </is>
      </c>
      <c r="B13" s="59" t="inlineStr"/>
      <c r="C13" s="59" t="inlineStr"/>
      <c r="D13" s="59" t="inlineStr">
        <is>
          <t>El shuttle sale cada 40-50 minutos, no cada 10: mirá el horario en la app de Uber apenas aterricen y, si se estiró migraciones, pasate al tren sin dudar. El AirTrain de Newark está en obra de reemplazo hasta 2030. El servicio por bus solo aplica días de semana de 5:00 a 15:00 — sus dos vuelos caen en fin de semana, así que están cubiertos. Igual reverifiquen 2-3 días antes en njtransit.com.</t>
        </is>
      </c>
    </row>
    <row r="15" ht="22" customHeight="1">
      <c r="A15" s="33" t="inlineStr">
        <is>
          <t>The Beacon → EWR · domingo 6 de septiembre, vuelo 23:40</t>
        </is>
      </c>
    </row>
    <row r="16" ht="30" customHeight="1">
      <c r="A16" s="2" t="inlineStr">
        <is>
          <t>RECOMENDADO: Subte 1/2/3 + NJ Transit — $20,25 total</t>
        </is>
      </c>
    </row>
    <row r="17" ht="26" customHeight="1">
      <c r="A17" s="57" t="inlineStr">
        <is>
          <t>Opción</t>
        </is>
      </c>
      <c r="B17" s="57" t="inlineStr">
        <is>
          <t>Costo</t>
        </is>
      </c>
      <c r="C17" s="57" t="inlineStr">
        <is>
          <t>Tiempo</t>
        </is>
      </c>
      <c r="D17" s="57" t="inlineStr">
        <is>
          <t>Detalle</t>
        </is>
      </c>
    </row>
    <row r="18" ht="40" customHeight="1">
      <c r="A18" s="39" t="inlineStr">
        <is>
          <t>Subte + NJ Transit ✅</t>
        </is>
      </c>
      <c r="B18" s="39" t="inlineStr">
        <is>
          <t>$20,25</t>
        </is>
      </c>
      <c r="C18" s="39" t="inlineStr">
        <is>
          <t>~55 min + AirTrain</t>
        </is>
      </c>
      <c r="D18"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9" ht="40" customHeight="1">
      <c r="A19" s="39" t="inlineStr">
        <is>
          <t>Taxi amarillo desde Manhattan</t>
        </is>
      </c>
      <c r="B19" s="39" t="inlineStr">
        <is>
          <t>$95-120</t>
        </is>
      </c>
      <c r="C19" s="39" t="inlineStr">
        <is>
          <t>50-75 min</t>
        </is>
      </c>
      <c r="D19" s="39" t="inlineStr">
        <is>
          <t>OJO: saliendo de Manhattan NO rige la tarifa fija por zonas (esa es solo para taxis que salen de EWR). Se cobra medidor + recargo Newark de $20 + peajes + congestion charge.</t>
        </is>
      </c>
    </row>
    <row r="20" ht="40" customHeight="1">
      <c r="A20" s="39" t="inlineStr">
        <is>
          <t>Uber / Lyft</t>
        </is>
      </c>
      <c r="B20" s="39" t="inlineStr">
        <is>
          <t>$70-110 + riesgo alto de surge</t>
        </is>
      </c>
      <c r="C20" s="39" t="inlineStr">
        <is>
          <t>50-75 min</t>
        </is>
      </c>
      <c r="D20" s="39" t="inlineStr">
        <is>
          <t>El domingo 6/9 es el domingo del fin de semana largo de Labor Day: el día de mayor tráfico de retorno del año. Riesgo real de surge y de demora.</t>
        </is>
      </c>
    </row>
    <row r="21" ht="40" customHeight="1">
      <c r="A21" s="59" t="inlineStr">
        <is>
          <t>⚠ Alerta</t>
        </is>
      </c>
      <c r="B21" s="59" t="inlineStr"/>
      <c r="C21" s="59" t="inlineStr"/>
      <c r="D21"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3" ht="22" customHeight="1">
      <c r="A23" s="33" t="inlineStr">
        <is>
          <t>Bridgewater/Branchburg NJ ↔ Manhattan · 31 ago al 3 sep</t>
        </is>
      </c>
    </row>
    <row r="24" ht="30" customHeight="1">
      <c r="A24" s="2" t="inlineStr">
        <is>
          <t>RECOMENDADO: Estación RARITAN + pasajes sueltos + Uber al tren</t>
        </is>
      </c>
    </row>
    <row r="25" ht="40" customHeight="1">
      <c r="A25" s="59" t="inlineStr">
        <is>
          <t>Hotel</t>
        </is>
      </c>
      <c r="B25" s="59" t="inlineStr"/>
      <c r="C25" s="59" t="inlineStr"/>
      <c r="D25" s="59" t="inlineStr">
        <is>
          <t>Residence Inn Bridgewater Branchburg, 3241 US-22 East. NO TIENE SHUTTLE (confirmado por Marriott). Estacionamiento propio gratis.</t>
        </is>
      </c>
    </row>
    <row r="26" ht="26" customHeight="1">
      <c r="A26" s="57" t="inlineStr">
        <is>
          <t>Estación</t>
        </is>
      </c>
      <c r="B26" s="57" t="inlineStr">
        <is>
          <t>Distancia del hotel</t>
        </is>
      </c>
      <c r="C26" s="57" t="inlineStr">
        <is>
          <t>Estacionamiento</t>
        </is>
      </c>
      <c r="D26" s="57" t="inlineStr">
        <is>
          <t>Servicio</t>
        </is>
      </c>
    </row>
    <row r="27" ht="26" customHeight="1">
      <c r="A27" s="58" t="inlineStr">
        <is>
          <t>Raritan ✅</t>
        </is>
      </c>
      <c r="B27" s="58" t="inlineStr">
        <is>
          <t>6,4 km / 4,0 mi</t>
        </is>
      </c>
      <c r="C27" s="58" t="inlineStr">
        <is>
          <t>$4/día</t>
        </is>
      </c>
      <c r="D27" s="58" t="inlineStr">
        <is>
          <t>Completo. Es cabecera: siempre hay asiento.</t>
        </is>
      </c>
    </row>
    <row r="28" ht="26" customHeight="1">
      <c r="A28" s="39" t="inlineStr">
        <is>
          <t>Somerville</t>
        </is>
      </c>
      <c r="B28" s="39" t="inlineStr">
        <is>
          <t>8,1 km / 5,0 mi</t>
        </is>
      </c>
      <c r="C28" s="39" t="inlineStr">
        <is>
          <t>$5/día (garage Robeson St)</t>
        </is>
      </c>
      <c r="D28" s="39" t="inlineStr">
        <is>
          <t>Completo. Resta 3 min de viaje pero está 1 milla más lejos.</t>
        </is>
      </c>
    </row>
    <row r="29" ht="26" customHeight="1">
      <c r="A29" s="39" t="inlineStr">
        <is>
          <t>North Branch ❌</t>
        </is>
      </c>
      <c r="B29" s="39" t="inlineStr">
        <is>
          <t>1,7 km / 1,0 mi</t>
        </is>
      </c>
      <c r="C29" s="39" t="inlineStr">
        <is>
          <t>GRATIS, 40 lugares</t>
        </is>
      </c>
      <c r="D29" s="39" t="inlineStr">
        <is>
          <t>SOLO horas pico. Es la más cercana pero no sirve.</t>
        </is>
      </c>
    </row>
    <row r="30" ht="26" customHeight="1">
      <c r="A30" s="39" t="inlineStr">
        <is>
          <t>Bridgewater</t>
        </is>
      </c>
      <c r="B30" s="39" t="inlineStr">
        <is>
          <t>13,2 km / 8,2 mi</t>
        </is>
      </c>
      <c r="C30" s="39" t="inlineStr">
        <is>
          <t>$4/día</t>
        </is>
      </c>
      <c r="D30" s="39" t="inlineStr">
        <is>
          <t>Completo, pero es la más lejana del hotel.</t>
        </is>
      </c>
    </row>
    <row r="32" ht="26" customHeight="1">
      <c r="A32" s="57" t="inlineStr">
        <is>
          <t>Tipo de pasaje</t>
        </is>
      </c>
      <c r="B32" s="57" t="inlineStr">
        <is>
          <t>Precio</t>
        </is>
      </c>
      <c r="C32" s="57" t="inlineStr"/>
      <c r="D32" s="57" t="inlineStr">
        <is>
          <t>Nota</t>
        </is>
      </c>
    </row>
    <row r="33" ht="40" customHeight="1">
      <c r="A33" s="58" t="inlineStr">
        <is>
          <t>Pasaje suelto Raritan → NY Penn</t>
        </is>
      </c>
      <c r="B33" s="58" t="inlineStr">
        <is>
          <t>$18,50</t>
        </is>
      </c>
      <c r="C33" s="58" t="inlineStr"/>
      <c r="D33" s="58" t="inlineStr">
        <is>
          <t>PLAN CONFIRMADO: JP hace 4 tramos = $74 (ida el 1, vuelta el 2, ida el 3, más la vuelta del 31). Thais hace 2 = $37. Total $111 ← LA OPCIÓN MÁS BARATA</t>
        </is>
      </c>
    </row>
    <row r="34" ht="26" customHeight="1">
      <c r="A34" s="39" t="inlineStr">
        <is>
          <t>Round-trip</t>
        </is>
      </c>
      <c r="B34" s="39" t="inlineStr">
        <is>
          <t>$37,00</t>
        </is>
      </c>
      <c r="C34" s="39" t="inlineStr"/>
      <c r="D34" s="39" t="inlineStr">
        <is>
          <t>Exactamente 2 × $18,50. NO hay descuento.</t>
        </is>
      </c>
    </row>
    <row r="35" ht="26" customHeight="1">
      <c r="A35" s="39" t="inlineStr">
        <is>
          <t>10-trip</t>
        </is>
      </c>
      <c r="B35" s="39" t="inlineStr">
        <is>
          <t>$185,00</t>
        </is>
      </c>
      <c r="C35" s="39" t="inlineStr"/>
      <c r="D35" s="39" t="inlineStr">
        <is>
          <t>Exactamente 10 × $18,50. Más caro y sobran 2 viajes.</t>
        </is>
      </c>
    </row>
    <row r="36" ht="26" customHeight="1">
      <c r="A36" s="39" t="inlineStr">
        <is>
          <t>Pase semanal</t>
        </is>
      </c>
      <c r="B36" s="39" t="inlineStr">
        <is>
          <t>$164,00</t>
        </is>
      </c>
      <c r="C36" s="39" t="inlineStr"/>
      <c r="D36" s="39" t="inlineStr">
        <is>
          <t>Más caro que 8 pasajes sueltos.</t>
        </is>
      </c>
    </row>
    <row r="37" ht="40" customHeight="1">
      <c r="A37" s="39" t="inlineStr">
        <is>
          <t>FlexPass (20 viajes one-way)</t>
        </is>
      </c>
      <c r="B37" s="39" t="inlineStr">
        <is>
          <t>$314,50</t>
        </is>
      </c>
      <c r="C37" s="39" t="inlineStr"/>
      <c r="D37" s="39" t="inlineStr">
        <is>
          <t>El ÚNICO producto con descuento real: 15% off, válido 30 días. Pero son 20 viajes y ustedes hacen 8 — no sirve para este viaje.</t>
        </is>
      </c>
    </row>
    <row r="38" ht="26" customHeight="1">
      <c r="A38" s="39" t="inlineStr">
        <is>
          <t>Bus 114/117 a Port Authority</t>
        </is>
      </c>
      <c r="B38" s="39" t="inlineStr">
        <is>
          <t>$15,80</t>
        </is>
      </c>
      <c r="C38" s="39" t="inlineStr"/>
      <c r="D38" s="39" t="inlineStr">
        <is>
          <t>$22 más barato en total, pero 45 min más por tramo. No compensa.</t>
        </is>
      </c>
    </row>
    <row r="40" ht="40" customHeight="1">
      <c r="A40" s="39" t="inlineStr">
        <is>
          <t>Horarios</t>
        </is>
      </c>
      <c r="B40" s="39" t="inlineStr"/>
      <c r="C40" s="39" t="inlineStr"/>
      <c r="D40"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1" ht="40" customHeight="1">
      <c r="A41" s="39" t="inlineStr">
        <is>
          <t>Trenes directos</t>
        </is>
      </c>
      <c r="B41" s="39" t="inlineStr"/>
      <c r="C41" s="39" t="inlineStr"/>
      <c r="D41"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3" ht="26" customHeight="1">
      <c r="A43" s="57" t="inlineStr">
        <is>
          <t>Escenario</t>
        </is>
      </c>
      <c r="B43" s="57" t="inlineStr">
        <is>
          <t>Cálculo</t>
        </is>
      </c>
      <c r="C43" s="57" t="inlineStr"/>
      <c r="D43" s="57" t="inlineStr">
        <is>
          <t>Total 4 días</t>
        </is>
      </c>
    </row>
    <row r="44" ht="26" customHeight="1">
      <c r="A44" s="58" t="inlineStr">
        <is>
          <t>① Uber ↔ Raritan + tren ✅ (PLAN REAL)</t>
        </is>
      </c>
      <c r="B44" s="58" t="inlineStr">
        <is>
          <t>$111 tren (6 tramos entre los dos) + $108 Uber (6 tramos)</t>
        </is>
      </c>
      <c r="C44" s="58" t="inlineStr"/>
      <c r="D44" s="58" t="inlineStr">
        <is>
          <t>~$219 los dos</t>
        </is>
      </c>
    </row>
    <row r="45" ht="26" customHeight="1">
      <c r="A45" s="39" t="inlineStr">
        <is>
          <t>② Bus 114/117 + Uber</t>
        </is>
      </c>
      <c r="B45" s="39" t="inlineStr">
        <is>
          <t>$126,40 bus + $128-176 Uber</t>
        </is>
      </c>
      <c r="C45" s="39" t="inlineStr"/>
      <c r="D45" s="39" t="inlineStr">
        <is>
          <t>$254-302 (pero +45 min por tramo)</t>
        </is>
      </c>
    </row>
    <row r="46" ht="26" customHeight="1">
      <c r="A46" s="39" t="inlineStr">
        <is>
          <t>③ Auto de alquiler + park&amp;ride</t>
        </is>
      </c>
      <c r="B46" s="39" t="inlineStr">
        <is>
          <t>$160-300 alquiler + $16 parking + nafta + $148 tren</t>
        </is>
      </c>
      <c r="C46" s="39" t="inlineStr"/>
      <c r="D46" s="39" t="inlineStr">
        <is>
          <t>$329-469 ❌</t>
        </is>
      </c>
    </row>
    <row r="47" ht="26" customHeight="1">
      <c r="A47" s="39" t="inlineStr">
        <is>
          <t>④ Auto hasta Newark Penn + PATH</t>
        </is>
      </c>
      <c r="B47" s="39" t="inlineStr">
        <is>
          <t>$160-300 alquiler + $80-120 parking + $26 PATH</t>
        </is>
      </c>
      <c r="C47" s="39" t="inlineStr"/>
      <c r="D47" s="39" t="inlineStr">
        <is>
          <t>$266-446 ❌</t>
        </is>
      </c>
    </row>
    <row r="48" ht="40" customHeight="1">
      <c r="A48" s="59" t="inlineStr">
        <is>
          <t>¿Conviene alquilar auto?</t>
        </is>
      </c>
      <c r="B48" s="59" t="inlineStr">
        <is>
          <t>NO</t>
        </is>
      </c>
      <c r="C48" s="59" t="inlineStr"/>
      <c r="D48"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9" ht="40" customHeight="1">
      <c r="A49" s="59" t="inlineStr">
        <is>
          <t>⚠ Riesgo</t>
        </is>
      </c>
      <c r="B49" s="59" t="inlineStr"/>
      <c r="C49" s="59" t="inlineStr"/>
      <c r="D49"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1" ht="22" customHeight="1">
      <c r="A51" s="33" t="inlineStr">
        <is>
          <t>Moverse dentro de NYC</t>
        </is>
      </c>
    </row>
    <row r="52" ht="40" customHeight="1">
      <c r="A52" s="60" t="inlineStr">
        <is>
          <t>🔴 CAMBIO CLAVE 2026</t>
        </is>
      </c>
      <c r="B52" s="60" t="inlineStr"/>
      <c r="C52" s="60" t="inlineStr"/>
      <c r="D52" s="60" t="inlineStr">
        <is>
          <t>EL METROCARD SE ELIMINÓ. Desde el 1 de enero de 2026 no se puede comprar ni recargar, y los pases de 7 y 30 días ilimitados ya no existen. No hay decisión que tomar: se usa OMNY.</t>
        </is>
      </c>
    </row>
    <row r="53" ht="26" customHeight="1">
      <c r="A53" s="39" t="inlineStr">
        <is>
          <t>Tarifa</t>
        </is>
      </c>
      <c r="B53" s="39" t="inlineStr">
        <is>
          <t>$3,00</t>
        </is>
      </c>
      <c r="C53" s="39" t="inlineStr"/>
      <c r="D53" s="39" t="inlineStr">
        <is>
          <t>$3,00 por viaje de subte o bus local (subió de $2,90 en enero 2026). Bus express $7,25.</t>
        </is>
      </c>
    </row>
    <row r="54" ht="40" customHeight="1">
      <c r="A54" s="58" t="inlineStr">
        <is>
          <t>Fare capping OMNY</t>
        </is>
      </c>
      <c r="B54" s="58" t="inlineStr">
        <is>
          <t>tope $35 / 7 días</t>
        </is>
      </c>
      <c r="C54" s="58" t="inlineStr"/>
      <c r="D54"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5" ht="40" customHeight="1">
      <c r="A55" s="59" t="inlineStr">
        <is>
          <t>⚠ CRÍTICO</t>
        </is>
      </c>
      <c r="B55" s="59" t="inlineStr"/>
      <c r="C55" s="59" t="inlineStr"/>
      <c r="D55"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6" ht="40" customHeight="1">
      <c r="A56" s="39" t="inlineStr">
        <is>
          <t>Cuenta del viaje</t>
        </is>
      </c>
      <c r="B56" s="39" t="inlineStr"/>
      <c r="C56" s="39" t="inlineStr"/>
      <c r="D56" s="39" t="inlineStr">
        <is>
          <t>9 días en NYC = dos períodos de 7 días. Con uso intensivo, el techo es $35 + $35 = $70 por persona en todo el viaje. Con uso liviano pagan solo lo que usan: OMNY nunca cobra de más.</t>
        </is>
      </c>
    </row>
    <row r="57" ht="26" customHeight="1">
      <c r="A57" s="39" t="inlineStr">
        <is>
          <t>Ink48 (48th &amp; 11th Ave)</t>
        </is>
      </c>
      <c r="B57" s="39" t="inlineStr"/>
      <c r="C57" s="39" t="inlineStr"/>
      <c r="D57" s="39" t="inlineStr">
        <is>
          <t>50 St (C,E) a ~12 min caminando hacia el este. Es un hotel notoriamente lejos del subte.</t>
        </is>
      </c>
    </row>
    <row r="58" ht="26" customHeight="1">
      <c r="A58" s="39" t="inlineStr">
        <is>
          <t>The Beacon (Broadway &amp; 75th)</t>
        </is>
      </c>
      <c r="B58" s="39" t="inlineStr"/>
      <c r="C58" s="39" t="inlineStr"/>
      <c r="D58" s="39" t="inlineStr">
        <is>
          <t>72 St (1,2,3) a 3 cuadras, 79 St (1) a 4. Directo a Penn Station en 10 min.</t>
        </is>
      </c>
    </row>
  </sheetData>
  <mergeCells count="9">
    <mergeCell ref="A5:D5"/>
    <mergeCell ref="A23:D23"/>
    <mergeCell ref="A2:E2"/>
    <mergeCell ref="A4:D4"/>
    <mergeCell ref="A15:D15"/>
    <mergeCell ref="A1:E1"/>
    <mergeCell ref="A24:D24"/>
    <mergeCell ref="A16:D16"/>
    <mergeCell ref="A51:D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y preguntar DOS cosas: si la rotonda está abierta y si sigue el pay-what-you-wish</t>
        </is>
      </c>
      <c r="C16" s="59" t="inlineStr">
        <is>
          <t>La mañana del domingo 6, antes de salir del hotel</t>
        </is>
      </c>
      <c r="D16" s="59" t="inlineStr">
        <is>
          <t>guggenheim.org / +1 212-423-3500</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2026-08-28T04:06:45Z</dcterms:created>
  <dcterms:modified xsi:type="dcterms:W3CDTF">2026-08-28T04:06:45Z</dcterms:modified>
</cp:coreProperties>
</file>