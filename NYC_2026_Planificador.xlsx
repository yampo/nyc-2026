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U95" authorId="0" shapeId="0">
      <text>
        <t>En la lista de Google figura como: Casa Della Mozzarella
(coincide con lo que habíamos propuesto nosotros)</t>
      </text>
    </comment>
    <comment ref="I97" authorId="0" shapeId="0">
      <text>
        <t>estimado, sin verificar contra la fuente</t>
      </text>
    </comment>
    <comment ref="I98" authorId="0" shapeId="0">
      <text>
        <t>estimado, sin verificar contra la fuente</t>
      </text>
    </comment>
    <comment ref="I100"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$15-25</t>
      </text>
    </comment>
    <comment ref="U104" authorId="0" shapeId="0">
      <text>
        <t>En la lista de Google figura como: Frankel's Delicatessen &amp; Appetizing
(coincide con lo que habíamos propuesto nosotros)</t>
      </text>
    </comment>
    <comment ref="I105" authorId="0" shapeId="0">
      <text>
        <t>~$29 el sandwich de pastrami</t>
      </text>
    </comment>
    <comment ref="U105" authorId="0" shapeId="0">
      <text>
        <t>En la lista de Google figura como: Katz's Delicatessen
(coincide con lo que habíamos propuesto nosotros)</t>
      </text>
    </comment>
    <comment ref="U106" authorId="0" shapeId="0">
      <text>
        <t>En la lista de Google figura como: Russ &amp; Daughters
(coincide con lo que habíamos propuesto nosotros)</t>
      </text>
    </comment>
    <comment ref="I108" authorId="0" shapeId="0">
      <text>
        <t>$18-26</t>
      </text>
    </comment>
    <comment ref="U108" authorId="0" shapeId="0">
      <text>
        <t>En la lista de Google figura como: S&amp;P Lunch
(coincide con lo que habíamos propuesto nosotros)</t>
      </text>
    </comment>
    <comment ref="I112" authorId="0" shapeId="0">
      <text>
        <t>estimado, sin verificar contra la fuente</t>
      </text>
    </comment>
    <comment ref="I114" authorId="0" shapeId="0">
      <text>
        <t>estimado, sin verificar contra la fuente</t>
      </text>
    </comment>
    <comment ref="I115" authorId="0" shapeId="0">
      <text>
        <t>~$15-20 con papas y bebida. SIN reservas: counter por orden de llegada.</t>
      </text>
    </comment>
    <comment ref="U115" authorId="0" shapeId="0">
      <text>
        <t>En la lista de Google figura como: Hamburger America
(coincide con lo que habíamos propuesto nosotros)</t>
      </text>
    </comment>
    <comment ref="I120" authorId="0" shapeId="0">
      <text>
        <t>estimado, sin verificar contra la fuente</t>
      </text>
    </comment>
    <comment ref="U121" authorId="0" shapeId="0">
      <text>
        <t>En la lista de Google figura como: Arthur Avenue Retail Market
(coincide con lo que habíamos propuesto nosotros)</t>
      </text>
    </comment>
    <comment ref="U122" authorId="0" shapeId="0">
      <text>
        <t>En la lista de Google figura como: Chelsea Market
(coincide con lo que habíamos propuesto nosotros)</t>
      </text>
    </comment>
    <comment ref="U123" authorId="0" shapeId="0">
      <text>
        <t>En la lista de Google figura como: Dekalb Market Hall
(coincide con lo que habíamos propuesto nosotros)</t>
      </text>
    </comment>
    <comment ref="U125" authorId="0" shapeId="0">
      <text>
        <t>En la lista de Google figura como: Essex Market
(coincide con lo que habíamos propuesto nosotros)</t>
      </text>
    </comment>
    <comment ref="I126" authorId="0" shapeId="0">
      <text>
        <t>estimado, sin verificar contra la fuente</t>
      </text>
    </comment>
    <comment ref="I129" authorId="0" shapeId="0">
      <text>
        <t>estimado, sin verificar contra la fuente</t>
      </text>
    </comment>
    <comment ref="U130" authorId="0" shapeId="0">
      <text>
        <t>En la lista de Google figura como: Time Out Market New York
(coincide con lo que habíamos propuesto nosotros)</t>
      </text>
    </comment>
    <comment ref="I132" authorId="0" shapeId="0">
      <text>
        <t>estimado, sin verificar contra la fuente</t>
      </text>
    </comment>
    <comment ref="U133" authorId="0" shapeId="0">
      <text>
        <t>En la lista de Google figura como: BO's Bagels
(coincide con lo que habíamos propuesto nosotros)</t>
      </text>
    </comment>
    <comment ref="I138" authorId="0" shapeId="0">
      <text>
        <t>estimado, sin verificar contra la fuente</t>
      </text>
    </comment>
    <comment ref="I140" authorId="0" shapeId="0">
      <text>
        <t>estimado, sin verificar contra la fuente</t>
      </text>
    </comment>
    <comment ref="I142" authorId="0" shapeId="0">
      <text>
        <t>estimado, sin verificar contra la fuente</t>
      </text>
    </comment>
    <comment ref="U143" authorId="0" shapeId="0">
      <text>
        <t>En la lista de Google figura como: L&amp;B Spumoni Gardens
(coincide con lo que habíamos propuesto nosotros)</t>
      </text>
    </comment>
    <comment ref="I144" authorId="0" shapeId="0">
      <text>
        <t>solo efectivo, BYOB</t>
      </text>
    </comment>
    <comment ref="I145" authorId="0" shapeId="0">
      <text>
        <t>porcion $3.75-4</t>
      </text>
    </comment>
    <comment ref="I148" authorId="0" shapeId="0">
      <text>
        <t>estimado, sin verificar contra la fuente</t>
      </text>
    </comment>
    <comment ref="I149" authorId="0" shapeId="0">
      <text>
        <t>estimado, sin verificar contra la fuente</t>
      </text>
    </comment>
    <comment ref="I152" authorId="0" shapeId="0">
      <text>
        <t>estimado, sin verificar contra la fuente</t>
      </text>
    </comment>
    <comment ref="I155" authorId="0" shapeId="0">
      <text>
        <t>~$20 para dos con bebida</t>
      </text>
    </comment>
    <comment ref="I160" authorId="0" shapeId="0">
      <text>
        <t>estimado, sin verificar contra la fuente</t>
      </text>
    </comment>
    <comment ref="I164" authorId="0" shapeId="0">
      <text>
        <t>estimado, sin verificar contra la fuente</t>
      </text>
    </comment>
    <comment ref="U169" authorId="0" shapeId="0">
      <text>
        <t>En la lista de Google figura como: Tanoreen
(coincide con lo que habíamos propuesto nosotros)</t>
      </text>
    </comment>
    <comment ref="I171" authorId="0" shapeId="0">
      <text>
        <t>estimado, sin verificar contra la fuente</t>
      </text>
    </comment>
    <comment ref="I172" authorId="0" shapeId="0">
      <text>
        <t>estimado, sin verificar contra la fuente</t>
      </text>
    </comment>
    <comment ref="I173" authorId="0" shapeId="0">
      <text>
        <t>Porterhouse p/2 ~$140 + sides + propina: ~$110-130 por cabeza. SIN TARJETAS DE CREDITO: efectivo, debito US o cheque.</t>
      </text>
    </comment>
    <comment ref="U173" authorId="0" shapeId="0">
      <text>
        <t>En la lista de Google figura como: Peter Luger Steak House
(coincide con lo que habíamos propuesto nosotros)</t>
      </text>
    </comment>
    <comment ref="I174" authorId="0" shapeId="0">
      <text>
        <t>Frecuentemente sin cover (minimo de consumo)</t>
      </text>
    </comment>
    <comment ref="U174" authorId="0" shapeId="0">
      <text>
        <t>En la lista de Google figura como: Bar Bayeux
(coincide con lo que habíamos propuesto nosotros)</t>
      </text>
    </comment>
    <comment ref="I175" authorId="0" shapeId="0">
      <text>
        <t>$10 sugerido EN EFECTIVO - los musicos cobran de las donaciones</t>
      </text>
    </comment>
    <comment ref="U175" authorId="0" shapeId="0">
      <text>
        <t>En la lista de Google figura como: LunÀtico
(coincide con lo que habíamos propuesto nosotros)</t>
      </text>
    </comment>
    <comment ref="I176" authorId="0" shapeId="0">
      <text>
        <t>Reserva GRATIS por Eventbrite (es solo reserva, no entrada). $20 de music charge por cabeza se suma a la cuenta + consumo.</t>
      </text>
    </comment>
    <comment ref="U176" authorId="0" shapeId="0">
      <text>
        <t>En la lista de Google figura como: Cafe Wha?
(coincide con lo que habíamos propuesto nosotros)</t>
      </text>
    </comment>
    <comment ref="I178" authorId="0" shapeId="0">
      <text>
        <t>~$30-40 el set, entrada por la web. BYOB: se lleva la bebida propia.</t>
      </text>
    </comment>
    <comment ref="I179" authorId="0" shapeId="0">
      <text>
        <t>$20-45 cover + $20 minimo por persona por set. Solo TicketWeb.</t>
      </text>
    </comment>
    <comment ref="U179" authorId="0" shapeId="0">
      <text>
        <t>En la lista de Google figura como: Birdland Jazz Club
(coincide con lo que habíamos propuesto nosotros)</t>
      </text>
    </comment>
    <comment ref="I180" authorId="0" shapeId="0">
      <text>
        <t>$20-45 + $5 minimo de mesa</t>
      </text>
    </comment>
    <comment ref="U180" authorId="0" shapeId="0">
      <text>
        <t>En la lista de Google figura como: Blue Note
(coincide con lo que habíamos propuesto nosotros)</t>
      </text>
    </comment>
    <comment ref="I181" authorId="0" shapeId="0">
      <text>
        <t>$20-45 + $21-25 minimo. LATE NIGHT jue-sab ~22:45 desde $10-20.</t>
      </text>
    </comment>
    <comment ref="U181" authorId="0" shapeId="0">
      <text>
        <t>En la lista de Google figura como: Dizzy's Club
(coincide con lo que habíamos propuesto nosotros)</t>
      </text>
    </comment>
    <comment ref="I182" authorId="0" shapeId="0">
      <text>
        <t>$25 incluye una bebida</t>
      </text>
    </comment>
    <comment ref="U182" authorId="0" shapeId="0">
      <text>
        <t>En la lista de Google figura como: Mezzrow
(coincide con lo que habíamos propuesto nosotros)</t>
      </text>
    </comment>
    <comment ref="I183" authorId="0" shapeId="0">
      <text>
        <t>$15-25</t>
      </text>
    </comment>
    <comment ref="U183" authorId="0" shapeId="0">
      <text>
        <t>En la lista de Google figura como: Ornithology Jazz Club
(coincide con lo que habíamos propuesto nosotros)</t>
      </text>
    </comment>
    <comment ref="I184" authorId="0" shapeId="0">
      <text>
        <t>$25 incluye una bebida</t>
      </text>
    </comment>
    <comment ref="U184" authorId="0" shapeId="0">
      <text>
        <t>En la lista de Google figura como: Smalls Jazz Club
(coincide con lo que habíamos propuesto nosotros)</t>
      </text>
    </comment>
    <comment ref="I185" authorId="0" shapeId="0">
      <text>
        <t>$45 la entrada GA (YA COMPRADA, 26/8) + minimo de UNA consumicion por persona - vale gaseosa, jugo o agua. No sirven comida. Aceptan tarjeta.</t>
      </text>
    </comment>
    <comment ref="U185" authorId="0" shapeId="0">
      <text>
        <t>En la lista de Google figura como: Village Vanguard
(coincide con lo que habíamos propuesto nosotros)</t>
      </text>
    </comment>
    <comment ref="I186" authorId="0" shapeId="0">
      <text>
        <t>Donacion sugerida ~$10-20, efectivo</t>
      </text>
    </comment>
    <comment ref="U186" authorId="0" shapeId="0">
      <text>
        <t>En la lista de Google figura como: Barbès
(coincide con lo que habíamos propuesto nosotros)</t>
      </text>
    </comment>
    <comment ref="U187" authorId="0" shapeId="0">
      <text>
        <t>En la lista de Google figura como: Nublu
(coincide con lo que habíamos propuesto nosotros)</t>
      </text>
    </comment>
    <comment ref="I192" authorId="0" shapeId="0">
      <text>
        <t>La plaza es GRATIS siempre. Temporadas: la Filarmonica (Dudamel) abre el 10/9, Met Opera y City Ballet mas tarde — durante el viaje las salas grandes estan oscuras.</t>
      </text>
    </comment>
    <comment ref="U192" authorId="0" shapeId="0">
      <text>
        <t>En la lista de Google figura como: Lincoln Center for the Performing Arts
(coincide con lo que habíamos propuesto nosotros)</t>
      </text>
    </comment>
    <comment ref="U194" authorId="0" shapeId="0">
      <text>
        <t>En la lista de Google figura como: Oculus Center
(coincide con lo que habíamos propuesto nosotros)</t>
      </text>
    </comment>
    <comment ref="I197" authorId="0" shapeId="0">
      <text>
        <t>Gratis entrar; ~$8.50 el AirTrain de JFK</t>
      </text>
    </comment>
    <comment ref="I198" authorId="0" shapeId="0">
      <text>
        <t>$10 (flex online $15). Reabierto con redes de seguridad; algunos tramos altos hacia el Hudson siguen cerrados.</t>
      </text>
    </comment>
    <comment ref="U198" authorId="0" shapeId="0">
      <text>
        <t>En la lista de Google figura como: Vessel
(coincide con lo que habíamos propuesto nosotros)</t>
      </text>
    </comment>
    <comment ref="I212" authorId="0" shapeId="0">
      <text>
        <t>estimado, sin verificar contra la fuente</t>
      </text>
    </comment>
    <comment ref="I224" authorId="0" shapeId="0">
      <text>
        <t>a voluntad</t>
      </text>
    </comment>
    <comment ref="I229" authorId="0" shapeId="0">
      <text>
        <t>GRATIS pero requiere preinscripcion online antes de las 17h del dia anterior</t>
      </text>
    </comment>
    <comment ref="U229" authorId="0" shapeId="0">
      <text>
        <t>En la lista de Google figura como: Ford Foundation Public Atrium Garden
(coincide con lo que habíamos propuesto nosotros)</t>
      </text>
    </comment>
    <comment ref="U231" authorId="0" shapeId="0">
      <text>
        <t>En la lista de Google figura como: Grand Central Terminal
(coincide con lo que habíamos propuesto nosotros)</t>
      </text>
    </comment>
    <comment ref="I234" authorId="0" shapeId="0">
      <text>
        <t>GRATIS, lun-vie 8-18h. Fotos si, video no.</t>
      </text>
    </comment>
    <comment ref="I235" authorId="0" shapeId="0">
      <text>
        <t>GRATIS. Tours gratuitos lun-sab 11:00 y 14:00 (edificio); 11:20, 13:30 y 15:00 (Rose Room).</t>
      </text>
    </comment>
    <comment ref="U235" authorId="0" shapeId="0">
      <text>
        <t>En la lista de Google figura como: Biblioteca Pública de Nueva York
(coincide con lo que habíamos propuesto nosotros)</t>
      </text>
    </comment>
    <comment ref="I241" authorId="0" shapeId="0">
      <text>
        <t>estimado, sin verificar contra la fuente</t>
      </text>
    </comment>
    <comment ref="I243" authorId="0" shapeId="0">
      <text>
        <t>$15. Lunes y viernes pay-what-you-wish.</t>
      </text>
    </comment>
    <comment ref="U243" authorId="0" shapeId="0">
      <text>
        <t>En la lista de Google figura como: Museum at Eldridge Street
(coincide con lo que habíamos propuesto nosotros)</t>
      </text>
    </comment>
    <comment ref="I259" authorId="0" shapeId="0">
      <text>
        <t>Entrada libre 7-19h. Trolley tours con costo: sab 29/8 y sab 5/9, 13-15h.</t>
      </text>
    </comment>
    <comment ref="I261" authorId="0" shapeId="0">
      <text>
        <t>estimado, sin verificar contra la fuente</t>
      </text>
    </comment>
    <comment ref="I262" authorId="0" shapeId="0">
      <text>
        <t>$10. GRATIS todos los jueves.</t>
      </text>
    </comment>
    <comment ref="U262" authorId="0" shapeId="0">
      <text>
        <t>En la lista de Google figura como: Wave Hill Public Garden &amp; Cultural Center
(coincide con lo que habíamos propuesto nosotros)</t>
      </text>
    </comment>
    <comment ref="U279" authorId="0" shapeId="0">
      <text>
        <t>En la lista de Google figura como: Washington Square Park
(coincide con lo que habíamos propuesto nosotros)</t>
      </text>
    </comment>
    <comment ref="U280" authorId="0" shapeId="0">
      <text>
        <t>En la lista de Google figura como: High Line
(coincide con lo que habíamos propuesto nosotros)</t>
      </text>
    </comment>
    <comment ref="I281" authorId="0" shapeId="0">
      <text>
        <t>Grounds pass desde ~$80 segun sesion</t>
      </text>
    </comment>
    <comment ref="I282" authorId="0" shapeId="0">
      <text>
        <t>GRATIS, sin reserva</t>
      </text>
    </comment>
    <comment ref="I283" authorId="0" shapeId="0">
      <text>
        <t>GRATIS, sin reserva</t>
      </text>
    </comment>
    <comment ref="I284" authorId="0" shapeId="0">
      <text>
        <t>GRATIS</t>
      </text>
    </comment>
    <comment ref="I285" authorId="0" shapeId="0">
      <text>
        <t>precios no publicados aun - VERIFICAR en wiadcacarnival.org</t>
      </text>
    </comment>
    <comment ref="I288" authorId="0" shapeId="0">
      <text>
        <t>precio no publicado - consultar green-wood.com</t>
      </text>
    </comment>
    <comment ref="I289" authorId="0" shapeId="0">
      <text>
        <t>Promedio real pagado $112. LOTERIA $10 (HamiltonMusical.com, cierra jueves 12h de la semana previa).</t>
      </text>
    </comment>
    <comment ref="I290" authorId="0" shapeId="0">
      <text>
        <t>Promedio real pagado $59. LOTERIA $20.64 (Telecharge, cierra 15h del dia previo). Rush $49.</t>
      </text>
    </comment>
    <comment ref="I291" authorId="0" shapeId="0">
      <text>
        <t>Loteria LuckySeat $49. Funciones de cierre suelen encarecerse.</t>
      </text>
    </comment>
    <comment ref="I292" authorId="0" shapeId="0">
      <text>
        <t>Promedio real $63. Rush $49 en boleteria a las 10h. TKTS ~40% off.</t>
      </text>
    </comment>
    <comment ref="I293" authorId="0" shapeId="0">
      <text>
        <t>Loteria digital $40 (Telecharge, sorteos 10h y 15h)</t>
      </text>
    </comment>
    <comment ref="I294" authorId="0" shapeId="0">
      <text>
        <t>Desde ~$76-100 segun funcion. Alternativas de play esa semana: Harry Potter and the Cursed Child (Lyric), Paranormal Activity (August Wilson), The Imaginary Invalid (Roundabout).</t>
      </text>
    </comment>
    <comment ref="I295" authorId="0" shapeId="0">
      <text>
        <t>Hasta 50% off (tipico 40%) + $8 de fee por ticket. Max 6 por persona.</t>
      </text>
    </comment>
    <comment ref="U295" authorId="0" shapeId="0">
      <text>
        <t>En la lista de Google figura como: TKTS Lincoln Center
(coincide con lo que habíamos propuesto nosotros)</t>
      </text>
    </comment>
    <comment ref="U297" authorId="0" shapeId="0">
      <text>
        <t>En la lista de Google figura como: Ink 48 Hotel
(coincide con lo que habíamos propuesto nosotros)</t>
      </text>
    </comment>
    <comment ref="U298" authorId="0" shapeId="0">
      <text>
        <t>En la lista de Google figura como: Hotel Beacon
(coincide con lo que habíamos propuesto nosotros)</t>
      </text>
    </comment>
    <comment ref="U300"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Culture%20Espresso%2C%2072%20W%2038th%20St%2C%20New%20York" TargetMode="External" Id="rId83" /><Relationship Type="http://schemas.openxmlformats.org/officeDocument/2006/relationships/hyperlink" Target="https://www.google.com/maps/search/?api=1&amp;query=Jack%27s%20Wife%20Freda%2C%20224%20Lafayette%20St%2C%20New%20York" TargetMode="External" Id="rId84" /><Relationship Type="http://schemas.openxmlformats.org/officeDocument/2006/relationships/hyperlink" Target="https://www.google.com/maps/search/?api=1&amp;query=Sarabeth%27s%20Central%20Park%20South%2C%2040%20Central%20Park%20S%2C%20New%20York" TargetMode="External" Id="rId85" /><Relationship Type="http://schemas.openxmlformats.org/officeDocument/2006/relationships/hyperlink" Target="https://www.google.com/maps/search/?api=1&amp;query=Starbucks%20Reserve%20Roastery%2C%2061%209th%20Ave%2C%20New%20York" TargetMode="External" Id="rId86" /><Relationship Type="http://schemas.openxmlformats.org/officeDocument/2006/relationships/hyperlink" Target="https://www.google.com/maps/search/?api=1&amp;query=The%20Grey%20Dog%20-%20Union%20Square%2C%2090%20University%20Pl%2C%20New%20York" TargetMode="External" Id="rId87" /><Relationship Type="http://schemas.openxmlformats.org/officeDocument/2006/relationships/hyperlink" Target="https://www.google.com/maps/search/?api=1&amp;query=Double%20Chicken%20Please%2C%20115%20Allen%20St%2C%20New%20York" TargetMode="External" Id="rId88" /><Relationship Type="http://schemas.openxmlformats.org/officeDocument/2006/relationships/hyperlink" Target="https://www.google.com/maps/search/?api=1&amp;query=Adel%27s%20Famous%20Halal%20Food%2C%20New%20York" TargetMode="External" Id="rId89" /><Relationship Type="http://schemas.openxmlformats.org/officeDocument/2006/relationships/hyperlink" Target="https://www.google.com/maps/search/?api=1&amp;query=Bark%20Barbecue%2C%20New%20York" TargetMode="External" Id="rId90" /><Relationship Type="http://schemas.openxmlformats.org/officeDocument/2006/relationships/hyperlink" Target="https://www.google.com/maps/search/?api=1&amp;query=Casa%20Della%20Mozzarella%2C%20604%20E%20187th%20St%2C%20Bronx%2C%20New%20York" TargetMode="External" Id="rId91" /><Relationship Type="http://schemas.openxmlformats.org/officeDocument/2006/relationships/hyperlink" Target="https://www.google.com/maps/search/?api=1&amp;query=Cosenza%27s%20Fish%20Market%2C%202354%20Arthur%20Ave%2C%20Bronx%2C%20New%20York" TargetMode="External" Id="rId92" /><Relationship Type="http://schemas.openxmlformats.org/officeDocument/2006/relationships/hyperlink" Target="https://www.google.com/maps/search/?api=1&amp;query=Di%20Palo%27s%20Fine%20Foods%2C%20200%20Grand%20St%2C%20New%20York" TargetMode="External" Id="rId93" /><Relationship Type="http://schemas.openxmlformats.org/officeDocument/2006/relationships/hyperlink" Target="https://www.google.com/maps/search/?api=1&amp;query=Gray%27s%20Papaya%2C%202090%20Broadway%2C%20New%20York" TargetMode="External" Id="rId94" /><Relationship Type="http://schemas.openxmlformats.org/officeDocument/2006/relationships/hyperlink" Target="https://www.google.com/maps/search/?api=1&amp;query=Los%20Tacos%20No.%201%2C%2075%209th%20Ave%20%28Chelsea%20Market%29%2C%20New%20York" TargetMode="External" Id="rId95" /><Relationship Type="http://schemas.openxmlformats.org/officeDocument/2006/relationships/hyperlink" Target="https://www.google.com/maps/search/?api=1&amp;query=Murray%27s%20Cheese%2C%20254%20Bleecker%20St%2C%20New%20York" TargetMode="External" Id="rId96" /><Relationship Type="http://schemas.openxmlformats.org/officeDocument/2006/relationships/hyperlink" Target="https://www.google.com/maps/search/?api=1&amp;query=Pommes%20Frites%2C%20128%20MacDougal%20St%2C%20New%20York" TargetMode="External" Id="rId97" /><Relationship Type="http://schemas.openxmlformats.org/officeDocument/2006/relationships/hyperlink" Target="https://www.google.com/maps/search/?api=1&amp;query=Xi%27an%20Famous%20Foods%20%28W%2045th%29%2C%2060%20W%2045th%20St%2C%20New%20York" TargetMode="External" Id="rId98" /><Relationship Type="http://schemas.openxmlformats.org/officeDocument/2006/relationships/hyperlink" Target="https://www.google.com/maps/search/?api=1&amp;query=Barney%20Greengrass%2C%20541%20Amsterdam%20Ave%2C%20New%20York" TargetMode="External" Id="rId99" /><Relationship Type="http://schemas.openxmlformats.org/officeDocument/2006/relationships/hyperlink" Target="https://www.google.com/maps/search/?api=1&amp;query=Frankel%27s%20Delicatessen%2C%20631%20Manhattan%20Ave%2C%20Brooklyn%2C%20New%20York" TargetMode="External" Id="rId100" /><Relationship Type="http://schemas.openxmlformats.org/officeDocument/2006/relationships/hyperlink" Target="https://www.google.com/maps/search/?api=1&amp;query=Katz%27s%20Delicatessen%2C%20205%20E%20Houston%20St%2C%20New%20York" TargetMode="External" Id="rId101" /><Relationship Type="http://schemas.openxmlformats.org/officeDocument/2006/relationships/hyperlink" Target="https://www.google.com/maps/search/?api=1&amp;query=Russ%20%26%20Daughters%2C%20179%20E%20Houston%20St%2C%20New%20York" TargetMode="External" Id="rId102" /><Relationship Type="http://schemas.openxmlformats.org/officeDocument/2006/relationships/hyperlink" Target="https://www.google.com/maps/search/?api=1&amp;query=Russ%20%26%20Daughters%20Cafe%2C%20127%20Orchard%20St%2C%20New%20York" TargetMode="External" Id="rId103" /><Relationship Type="http://schemas.openxmlformats.org/officeDocument/2006/relationships/hyperlink" Target="https://www.google.com/maps/search/?api=1&amp;query=S%26P%20Lunch%2C%20174%205th%20Ave%2C%20New%20York" TargetMode="External" Id="rId104" /><Relationship Type="http://schemas.openxmlformats.org/officeDocument/2006/relationships/hyperlink" Target="https://www.google.com/maps/search/?api=1&amp;query=Sarge%27s%20Delicatessen%20%26%20Diner%2C%20548%203rd%20Ave%2C%20New%20York" TargetMode="External" Id="rId105" /><Relationship Type="http://schemas.openxmlformats.org/officeDocument/2006/relationships/hyperlink" Target="https://www.google.com/maps/search/?api=1&amp;query=Golden%20Diner%2C%20123%20Madison%20St%2C%20New%20York" TargetMode="External" Id="rId106" /><Relationship Type="http://schemas.openxmlformats.org/officeDocument/2006/relationships/hyperlink" Target="https://www.google.com/maps/search/?api=1&amp;query=Junior%27s%20Restaurant%20and%20Bakery%2C%201626%20Broadway%2C%20New%20York" TargetMode="External" Id="rId107" /><Relationship Type="http://schemas.openxmlformats.org/officeDocument/2006/relationships/hyperlink" Target="https://www.google.com/maps/search/?api=1&amp;query=Lexington%20Candy%20Shop%2C%201226%20Lexington%20Ave%2C%20New%20York" TargetMode="External" Id="rId108" /><Relationship Type="http://schemas.openxmlformats.org/officeDocument/2006/relationships/hyperlink" Target="https://www.google.com/maps/search/?api=1&amp;query=Tick%20Tock%20Diner%20NY%2C%20481%208th%20Ave%2C%20New%20York" TargetMode="External" Id="rId109" /><Relationship Type="http://schemas.openxmlformats.org/officeDocument/2006/relationships/hyperlink" Target="https://www.google.com/maps/search/?api=1&amp;query=Corner%20Bistro%2C%20331%20W%204th%20St%2C%20New%20York" TargetMode="External" Id="rId110" /><Relationship Type="http://schemas.openxmlformats.org/officeDocument/2006/relationships/hyperlink" Target="https://www.google.com/maps/search/?api=1&amp;query=Hamburger%20America%2C%20155%20W%20Houston%20St%2C%20New%20York" TargetMode="External" Id="rId111" /><Relationship Type="http://schemas.openxmlformats.org/officeDocument/2006/relationships/hyperlink" Target="https://www.google.com/maps/search/?api=1&amp;query=Shake%20Shack%20%28Columbus%20Circle%20/%20Theater%20District%29%2C%20New%20York" TargetMode="External" Id="rId112" /><Relationship Type="http://schemas.openxmlformats.org/officeDocument/2006/relationships/hyperlink" Target="https://www.google.com/maps/search/?api=1&amp;query=Amorino%2C%20New%20York" TargetMode="External" Id="rId113" /><Relationship Type="http://schemas.openxmlformats.org/officeDocument/2006/relationships/hyperlink" Target="https://www.google.com/maps/search/?api=1&amp;query=Dough%20Doughnuts%2C%20New%20York" TargetMode="External" Id="rId114" /><Relationship Type="http://schemas.openxmlformats.org/officeDocument/2006/relationships/hyperlink" Target="https://www.google.com/maps/search/?api=1&amp;query=Krispy%20Kreme%20Times%20Square%2C%201601%20Broadway%2C%20New%20York" TargetMode="External" Id="rId115" /><Relationship Type="http://schemas.openxmlformats.org/officeDocument/2006/relationships/hyperlink" Target="https://www.google.com/maps/search/?api=1&amp;query=Levain%20Bakery%2C%20351%20Amsterdam%20Ave%2C%20New%20York" TargetMode="External" Id="rId116" /><Relationship Type="http://schemas.openxmlformats.org/officeDocument/2006/relationships/hyperlink" Target="https://www.google.com/maps/search/?api=1&amp;query=Arthur%20Avenue%20Retail%20Market%2C%202344%20Arthur%20Ave%2C%20Bronx%2C%20New%20York" TargetMode="External" Id="rId117" /><Relationship Type="http://schemas.openxmlformats.org/officeDocument/2006/relationships/hyperlink" Target="https://www.google.com/maps/search/?api=1&amp;query=Chelsea%20Market%2C%2075%209th%20Ave%2C%20New%20York" TargetMode="External" Id="rId118" /><Relationship Type="http://schemas.openxmlformats.org/officeDocument/2006/relationships/hyperlink" Target="https://www.google.com/maps/search/?api=1&amp;query=DeKalb%20Market%20Hall%2C%20445%20Albee%20Square%20W%2C%20Brooklyn%2C%20New%20York" TargetMode="External" Id="rId119" /><Relationship Type="http://schemas.openxmlformats.org/officeDocument/2006/relationships/hyperlink" Target="https://www.google.com/maps/search/?api=1&amp;query=Eataly%20Flatiron%2C%20200%205th%20Ave%2C%20New%20York" TargetMode="External" Id="rId120" /><Relationship Type="http://schemas.openxmlformats.org/officeDocument/2006/relationships/hyperlink" Target="https://www.google.com/maps/search/?api=1&amp;query=Essex%20Market%2C%2088%20Essex%20St%2C%20New%20York" TargetMode="External" Id="rId121" /><Relationship Type="http://schemas.openxmlformats.org/officeDocument/2006/relationships/hyperlink" Target="https://www.google.com/maps/search/?api=1&amp;query=Gansevoort%20Market%2C%20353%20W%2014th%20St%2C%20New%20York" TargetMode="External" Id="rId122" /><Relationship Type="http://schemas.openxmlformats.org/officeDocument/2006/relationships/hyperlink" Target="https://www.google.com/maps/search/?api=1&amp;query=Morningside%20Park%20Farmers%20Market%2C%20New%20York" TargetMode="External" Id="rId123" /><Relationship Type="http://schemas.openxmlformats.org/officeDocument/2006/relationships/hyperlink" Target="https://www.google.com/maps/search/?api=1&amp;query=New%20World%20Mall%20Food%20Court%2C%20136-20%20Roosevelt%20Ave%2C%20Flushing%2C%20New%20York" TargetMode="External" Id="rId124" /><Relationship Type="http://schemas.openxmlformats.org/officeDocument/2006/relationships/hyperlink" Target="https://www.google.com/maps/search/?api=1&amp;query=Smorgasburg%20Williamsburg%2C%20Marsha%20P.%20Johnson%20State%20Park%2C%20Kent%20Ave%2C%20Brooklyn%2C%20New%20York" TargetMode="External" Id="rId125" /><Relationship Type="http://schemas.openxmlformats.org/officeDocument/2006/relationships/hyperlink" Target="https://www.google.com/maps/search/?api=1&amp;query=Time%20Out%20Market%2C%2055%20Water%20St%2C%20Brooklyn%2C%20New%20York" TargetMode="External" Id="rId126" /><Relationship Type="http://schemas.openxmlformats.org/officeDocument/2006/relationships/hyperlink" Target="https://www.google.com/maps/search/?api=1&amp;query=Zabar%27s%2C%202245%20Broadway%2C%20New%20York" TargetMode="External" Id="rId127" /><Relationship Type="http://schemas.openxmlformats.org/officeDocument/2006/relationships/hyperlink" Target="https://www.google.com/maps/search/?api=1&amp;query=Amy%27s%20Bread%2C%20672%209th%20Ave%2C%20New%20York" TargetMode="External" Id="rId128" /><Relationship Type="http://schemas.openxmlformats.org/officeDocument/2006/relationships/hyperlink" Target="https://www.google.com/maps/search/?api=1&amp;query=Bo%27s%20Bagels%2C%20235%20W%20116th%20St%2C%20New%20York" TargetMode="External" Id="rId129" /><Relationship Type="http://schemas.openxmlformats.org/officeDocument/2006/relationships/hyperlink" Target="https://www.google.com/maps/search/?api=1&amp;query=Dominique%20Ansel%20Bakery%2C%20189%20Spring%20St%2C%20New%20York" TargetMode="External" Id="rId130" /><Relationship Type="http://schemas.openxmlformats.org/officeDocument/2006/relationships/hyperlink" Target="https://www.google.com/maps/search/?api=1&amp;query=La%20Cabra%20Bakery%2C%20152%202nd%20Ave%2C%20New%20York" TargetMode="External" Id="rId131" /><Relationship Type="http://schemas.openxmlformats.org/officeDocument/2006/relationships/hyperlink" Target="https://www.google.com/maps/search/?api=1&amp;query=Pop%27s%20Bagels%20Nolita%2C%20New%20York" TargetMode="External" Id="rId132" /><Relationship Type="http://schemas.openxmlformats.org/officeDocument/2006/relationships/hyperlink" Target="https://www.google.com/maps/search/?api=1&amp;query=Rudy%27s%20Pastry%20Shop%2C%20905%20Seneca%20Ave%2C%20Ridgewood%2C%20New%20York" TargetMode="External" Id="rId133" /><Relationship Type="http://schemas.openxmlformats.org/officeDocument/2006/relationships/hyperlink" Target="https://www.google.com/maps/search/?api=1&amp;query=Vesuvio%20Bakery%2C%20160%20Prince%20St%2C%20New%20York" TargetMode="External" Id="rId134" /><Relationship Type="http://schemas.openxmlformats.org/officeDocument/2006/relationships/hyperlink" Target="https://www.google.com/maps/search/?api=1&amp;query=Bleecker%20Street%20Pizza%2C%2069%207th%20Ave%20S%2C%20New%20York" TargetMode="External" Id="rId135" /><Relationship Type="http://schemas.openxmlformats.org/officeDocument/2006/relationships/hyperlink" Target="https://www.google.com/maps/search/?api=1&amp;query=Joe%27s%20Pizza%20%28Carmine%20St%29%2C%207%20Carmine%20St%2C%20New%20York" TargetMode="External" Id="rId136" /><Relationship Type="http://schemas.openxmlformats.org/officeDocument/2006/relationships/hyperlink" Target="https://www.google.com/maps/search/?api=1&amp;query=John%27s%20of%20Times%20Square%2C%20260%20W%2044th%20St%2C%20New%20York" TargetMode="External" Id="rId137" /><Relationship Type="http://schemas.openxmlformats.org/officeDocument/2006/relationships/hyperlink" Target="https://www.google.com/maps/search/?api=1&amp;query=Juliana%27s%20Pizza%2C%2019%20Old%20Fulton%20St%2C%20Brooklyn%2C%20New%20York" TargetMode="External" Id="rId138" /><Relationship Type="http://schemas.openxmlformats.org/officeDocument/2006/relationships/hyperlink" Target="https://www.google.com/maps/search/?api=1&amp;query=L%26B%20Spumoni%20Gardens%2C%202725%2086th%20St%2C%20Brooklyn%2C%20New%20York" TargetMode="External" Id="rId139" /><Relationship Type="http://schemas.openxmlformats.org/officeDocument/2006/relationships/hyperlink" Target="https://www.google.com/maps/search/?api=1&amp;query=Lucali%2C%20575%20Henry%20St%2C%20Brooklyn%2C%20New%20York" TargetMode="External" Id="rId140" /><Relationship Type="http://schemas.openxmlformats.org/officeDocument/2006/relationships/hyperlink" Target="https://www.google.com/maps/search/?api=1&amp;query=Mano%27s%20Pizzeria%2C%206202%20Forest%20Ave%2C%20Ridgewood%2C%20New%20York" TargetMode="External" Id="rId141" /><Relationship Type="http://schemas.openxmlformats.org/officeDocument/2006/relationships/hyperlink" Target="https://www.google.com/maps/search/?api=1&amp;query=Totonno%27s%2C%201524%20Neptune%20Ave%2C%20Brooklyn%2C%20New%20York" TargetMode="External" Id="rId142" /><Relationship Type="http://schemas.openxmlformats.org/officeDocument/2006/relationships/hyperlink" Target="https://www.google.com/maps/search/?api=1&amp;query=Beast%20%26%20Butterflies%20Times%20Square%2C%20New%20York" TargetMode="External" Id="rId143" /><Relationship Type="http://schemas.openxmlformats.org/officeDocument/2006/relationships/hyperlink" Target="https://www.google.com/maps/search/?api=1&amp;query=Grand%20Brasserie%2C%2089%20E%2042nd%20St%2C%20New%20York" TargetMode="External" Id="rId144" /><Relationship Type="http://schemas.openxmlformats.org/officeDocument/2006/relationships/hyperlink" Target="https://www.google.com/maps/search/?api=1&amp;query=Sylvia%27s%2C%20328%20Malcolm%20X%20Blvd%2C%20New%20York" TargetMode="External" Id="rId145" /><Relationship Type="http://schemas.openxmlformats.org/officeDocument/2006/relationships/hyperlink" Target="https://www.google.com/maps/search/?api=1&amp;query=Central%20Park%20Boathouse%2C%20E%2072nd%20St%20%26%20Park%20Dr%20N%2C%20New%20York" TargetMode="External" Id="rId146" /><Relationship Type="http://schemas.openxmlformats.org/officeDocument/2006/relationships/hyperlink" Target="https://www.google.com/maps/search/?api=1&amp;query=Manhatta%2C%2028%20Liberty%20St%2C%20piso%2060%2C%20New%20York" TargetMode="External" Id="rId147" /><Relationship Type="http://schemas.openxmlformats.org/officeDocument/2006/relationships/hyperlink" Target="https://www.google.com/maps/search/?api=1&amp;query=Africa%20Kine%2C%202267%20Adam%20Clayton%20Powell%20Jr%20Blvd%2C%20New%20York" TargetMode="External" Id="rId148" /><Relationship Type="http://schemas.openxmlformats.org/officeDocument/2006/relationships/hyperlink" Target="https://www.google.com/maps/search/?api=1&amp;query=Carmine%27s%2044th%20Street%2C%20200%20W%2044th%20St%2C%20New%20York" TargetMode="External" Id="rId149" /><Relationship Type="http://schemas.openxmlformats.org/officeDocument/2006/relationships/hyperlink" Target="https://www.google.com/maps/search/?api=1&amp;query=Deluxe%20Green%20Bo%2C%2066%20Bayard%20St%2C%20New%20York" TargetMode="External" Id="rId150" /><Relationship Type="http://schemas.openxmlformats.org/officeDocument/2006/relationships/hyperlink" Target="https://www.google.com/maps/search/?api=1&amp;query=He%20Nan%20Mian%20Guan%2C%20136-31%2041st%20Ave%2C%20Flushing%2C%20New%20York" TargetMode="External" Id="rId151" /><Relationship Type="http://schemas.openxmlformats.org/officeDocument/2006/relationships/hyperlink" Target="https://www.google.com/maps/search/?api=1&amp;query=Hue%20House%2C%20New%20York" TargetMode="External" Id="rId152" /><Relationship Type="http://schemas.openxmlformats.org/officeDocument/2006/relationships/hyperlink" Target="https://www.google.com/maps/search/?api=1&amp;query=Jalapeno%20King%2C%205th%20Ave%20entre%2022nd%20y%2023rd%20St%2C%20Brooklyn%2C%20New%20York" TargetMode="External" Id="rId153" /><Relationship Type="http://schemas.openxmlformats.org/officeDocument/2006/relationships/hyperlink" Target="https://www.google.com/maps/search/?api=1&amp;query=Karczma%2C%20136%20Greenpoint%20Ave%2C%20Brooklyn%2C%20New%20York" TargetMode="External" Id="rId154" /><Relationship Type="http://schemas.openxmlformats.org/officeDocument/2006/relationships/hyperlink" Target="https://www.google.com/maps/search/?api=1&amp;query=Lhasa%20Fast%20Food%2C%2037-50%2074th%20St%2C%20Jackson%20Heights%2C%20New%20York" TargetMode="External" Id="rId155" /><Relationship Type="http://schemas.openxmlformats.org/officeDocument/2006/relationships/hyperlink" Target="https://www.google.com/maps/search/?api=1&amp;query=Lil%27%20Frankie%27s%2C%2019%20First%20Ave%2C%20New%20York" TargetMode="External" Id="rId156" /><Relationship Type="http://schemas.openxmlformats.org/officeDocument/2006/relationships/hyperlink" Target="https://www.google.com/maps/search/?api=1&amp;query=Malecon%2C%204141%20Broadway%2C%20New%20York" TargetMode="External" Id="rId157" /><Relationship Type="http://schemas.openxmlformats.org/officeDocument/2006/relationships/hyperlink" Target="https://www.google.com/maps/search/?api=1&amp;query=Nepali%20Bhanchha%20Ghar%2C%2074-06%2037th%20Rd%2C%20Jackson%20Heights%2C%20New%20York" TargetMode="External" Id="rId158" /><Relationship Type="http://schemas.openxmlformats.org/officeDocument/2006/relationships/hyperlink" Target="https://www.google.com/maps/search/?api=1&amp;query=New%20Nurlan%20Uyghur%2C%20135-51%2039th%20Ave%2C%20Flushing%20%28subsuelo%29%2C%20New%20York" TargetMode="External" Id="rId159" /><Relationship Type="http://schemas.openxmlformats.org/officeDocument/2006/relationships/hyperlink" Target="https://www.google.com/maps/search/?api=1&amp;query=Nom%20Wah%20Tea%20Parlor%2C%2013%20Doyers%20St%2C%20New%20York" TargetMode="External" Id="rId160" /><Relationship Type="http://schemas.openxmlformats.org/officeDocument/2006/relationships/hyperlink" Target="https://www.google.com/maps/search/?api=1&amp;query=Pierozek%2C%20833%20Manhattan%20Ave%2C%20Brooklyn%2C%20New%20York" TargetMode="External" Id="rId161" /><Relationship Type="http://schemas.openxmlformats.org/officeDocument/2006/relationships/hyperlink" Target="https://www.google.com/maps/search/?api=1&amp;query=Pies%20%27n%27%20Thighs%2C%20166%20S%204th%20St%2C%20New%20York" TargetMode="External" Id="rId162" /><Relationship Type="http://schemas.openxmlformats.org/officeDocument/2006/relationships/hyperlink" Target="https://www.google.com/maps/search/?api=1&amp;query=Sakagura%2C%20211%20E%2043rd%20St%20%28s%C3%B3tano%29%2C%20New%20York" TargetMode="External" Id="rId163" /><Relationship Type="http://schemas.openxmlformats.org/officeDocument/2006/relationships/hyperlink" Target="https://www.google.com/maps/search/?api=1&amp;query=Tacos%20El%20Bronco%2C%204324%204th%20Ave%2C%20Brooklyn%2C%20New%20York" TargetMode="External" Id="rId164" /><Relationship Type="http://schemas.openxmlformats.org/officeDocument/2006/relationships/hyperlink" Target="https://www.google.com/maps/search/?api=1&amp;query=Tanoreen%2C%207523%203rd%20Ave%2C%20Brooklyn%2C%20New%20York" TargetMode="External" Id="rId165" /><Relationship Type="http://schemas.openxmlformats.org/officeDocument/2006/relationships/hyperlink" Target="https://www.google.com/maps/search/?api=1&amp;query=Taverna%20Kyclades%2C%2033-07%20Ditmars%20Blvd%2C%20Astoria%2C%20New%20York" TargetMode="External" Id="rId166" /><Relationship Type="http://schemas.openxmlformats.org/officeDocument/2006/relationships/hyperlink" Target="https://www.google.com/maps/search/?api=1&amp;query=Trattoria%20Tra%20Di%20Noi%2C%20622%20E%20187th%20St%2C%20Bronx%2C%20New%20York" TargetMode="External" Id="rId167" /><Relationship Type="http://schemas.openxmlformats.org/officeDocument/2006/relationships/hyperlink" Target="https://www.google.com/maps/search/?api=1&amp;query=Uncle%20Lou%2C%2073%20Mulberry%20St%2C%20New%20York" TargetMode="External" Id="rId168" /><Relationship Type="http://schemas.openxmlformats.org/officeDocument/2006/relationships/hyperlink" Target="https://www.google.com/maps/search/?api=1&amp;query=Peter%20Luger%20Steak%20House%2C%20178%20Broadway%2C%20Brooklyn%2C%20New%20York" TargetMode="External" Id="rId169" /><Relationship Type="http://schemas.openxmlformats.org/officeDocument/2006/relationships/hyperlink" Target="https://www.google.com/maps/search/?api=1&amp;query=Bar%20Bayeux%2C%201066%20Nostrand%20Ave%2C%20Brooklyn%2C%20New%20York" TargetMode="External" Id="rId170" /><Relationship Type="http://schemas.openxmlformats.org/officeDocument/2006/relationships/hyperlink" Target="https://www.google.com/maps/search/?api=1&amp;query=Bar%20LunAtico%2C%20486%20Halsey%20St%2C%20Brooklyn%2C%20New%20York" TargetMode="External" Id="rId171" /><Relationship Type="http://schemas.openxmlformats.org/officeDocument/2006/relationships/hyperlink" Target="https://www.google.com/maps/search/?api=1&amp;query=Cafe%20Wha%3F%2C%20115%20MacDougal%20St%2C%20New%20York" TargetMode="External" Id="rId172" /><Relationship Type="http://schemas.openxmlformats.org/officeDocument/2006/relationships/hyperlink" Target="https://www.google.com/maps/search/?api=1&amp;query=Rudy%27s%20Bar%20%26%20Grill%2C%20627%209th%20Ave%2C%20New%20York" TargetMode="External" Id="rId173" /><Relationship Type="http://schemas.openxmlformats.org/officeDocument/2006/relationships/hyperlink" Target="https://www.google.com/maps/search/?api=1&amp;query=Bill%27s%20Place%2C%20148%20W%20133rd%20St%2C%20New%20York" TargetMode="External" Id="rId174" /><Relationship Type="http://schemas.openxmlformats.org/officeDocument/2006/relationships/hyperlink" Target="https://www.google.com/maps/search/?api=1&amp;query=Birdland%2C%20315%20W%2044th%20St%2C%20New%20York" TargetMode="External" Id="rId175" /><Relationship Type="http://schemas.openxmlformats.org/officeDocument/2006/relationships/hyperlink" Target="https://www.google.com/maps/search/?api=1&amp;query=Blue%20Note%2C%20131%20W%203rd%20St%2C%20New%20York" TargetMode="External" Id="rId176" /><Relationship Type="http://schemas.openxmlformats.org/officeDocument/2006/relationships/hyperlink" Target="https://www.google.com/maps/search/?api=1&amp;query=Dizzy%27s%20Club%20%28Jazz%20at%20Lincoln%20Center%29%2C%2010%20Columbus%20Circle%2C%20piso%205%2C%20New%20York" TargetMode="External" Id="rId177" /><Relationship Type="http://schemas.openxmlformats.org/officeDocument/2006/relationships/hyperlink" Target="https://www.google.com/maps/search/?api=1&amp;query=Mezzrow%2C%20163%20W%2010th%20St%2C%20New%20York" TargetMode="External" Id="rId178" /><Relationship Type="http://schemas.openxmlformats.org/officeDocument/2006/relationships/hyperlink" Target="https://www.google.com/maps/search/?api=1&amp;query=Ornithology%20Jazz%20Club%2C%206%20Suydam%20St%2C%20Brooklyn%2C%20New%20York" TargetMode="External" Id="rId179" /><Relationship Type="http://schemas.openxmlformats.org/officeDocument/2006/relationships/hyperlink" Target="https://www.google.com/maps/search/?api=1&amp;query=Smalls%20Jazz%20Club%2C%20183%20W%2010th%20St%2C%20New%20York" TargetMode="External" Id="rId180" /><Relationship Type="http://schemas.openxmlformats.org/officeDocument/2006/relationships/hyperlink" Target="https://www.google.com/maps/search/?api=1&amp;query=Village%20Vanguard%2C%20178%207th%20Ave%20South%2C%20New%20York" TargetMode="External" Id="rId181" /><Relationship Type="http://schemas.openxmlformats.org/officeDocument/2006/relationships/hyperlink" Target="https://www.google.com/maps/search/?api=1&amp;query=Barbes%2C%20376%209th%20St%2C%20Brooklyn%2C%20New%20York" TargetMode="External" Id="rId182" /><Relationship Type="http://schemas.openxmlformats.org/officeDocument/2006/relationships/hyperlink" Target="https://www.google.com/maps/search/?api=1&amp;query=Nublu%2C%20151%20Avenue%20C%2C%20piso%202%2C%20New%20York" TargetMode="External" Id="rId183" /><Relationship Type="http://schemas.openxmlformats.org/officeDocument/2006/relationships/hyperlink" Target="https://www.google.com/maps/search/?api=1&amp;query=FDR%20Four%20Freedoms%20Park%2C%201%20FDR%20Four%20Freedoms%20Park%2C%20Roosevelt%20Island%2C%20New%20York" TargetMode="External" Id="rId184" /><Relationship Type="http://schemas.openxmlformats.org/officeDocument/2006/relationships/hyperlink" Target="https://www.google.com/maps/search/?api=1&amp;query=Haughwout%20Building%2C%20488%20Broadway%2C%20New%20York" TargetMode="External" Id="rId185" /><Relationship Type="http://schemas.openxmlformats.org/officeDocument/2006/relationships/hyperlink" Target="https://www.google.com/maps/search/?api=1&amp;query=Hudson%20Yards%2C%2020%20Hudson%20Yards%2C%20New%20York" TargetMode="External" Id="rId186" /><Relationship Type="http://schemas.openxmlformats.org/officeDocument/2006/relationships/hyperlink" Target="https://www.google.com/maps/search/?api=1&amp;query=Lever%20House%2C%20390%20Park%20Ave%2C%20New%20York" TargetMode="External" Id="rId187" /><Relationship Type="http://schemas.openxmlformats.org/officeDocument/2006/relationships/hyperlink" Target="https://www.google.com/maps/search/?api=1&amp;query=Lincoln%20Center%20%28campus%20y%20plaza%29%2C%20Columbus%20Ave%20entre%2062%20y%2066%2C%20New%20York" TargetMode="External" Id="rId188" /><Relationship Type="http://schemas.openxmlformats.org/officeDocument/2006/relationships/hyperlink" Target="https://www.google.com/maps/search/?api=1&amp;query=Little%20Island%2C%20Pier%2055%2C%20Hudson%20River%20Park%2C%20W%2013th%20St%2C%20New%20York" TargetMode="External" Id="rId189" /><Relationship Type="http://schemas.openxmlformats.org/officeDocument/2006/relationships/hyperlink" Target="https://www.google.com/maps/search/?api=1&amp;query=Oculus%20/%20WTC%20Transportation%20Hub%2C%20Church%20St%20%26%20Fulton%20St%2C%20New%20York" TargetMode="External" Id="rId190" /><Relationship Type="http://schemas.openxmlformats.org/officeDocument/2006/relationships/hyperlink" Target="https://www.google.com/maps/search/?api=1&amp;query=Rockefeller%20Center%2C%2045%20Rockefeller%20Plaza%2C%20New%20York" TargetMode="External" Id="rId191" /><Relationship Type="http://schemas.openxmlformats.org/officeDocument/2006/relationships/hyperlink" Target="https://www.google.com/maps/search/?api=1&amp;query=Seagram%20Building%2C%20375%20Park%20Ave%2C%20New%20York" TargetMode="External" Id="rId192" /><Relationship Type="http://schemas.openxmlformats.org/officeDocument/2006/relationships/hyperlink" Target="https://www.google.com/maps/search/?api=1&amp;query=TWA%20Hotel%20%28terminal%20de%20Saarinen%29%2C%20One%20Idlewild%20Dr%2C%20JFK%2C%20New%20York" TargetMode="External" Id="rId193" /><Relationship Type="http://schemas.openxmlformats.org/officeDocument/2006/relationships/hyperlink" Target="https://www.google.com/maps/search/?api=1&amp;query=The%20Vessel%2C%2020%20Hudson%20Yards%2C%20New%20York" TargetMode="External" Id="rId194" /><Relationship Type="http://schemas.openxmlformats.org/officeDocument/2006/relationships/hyperlink" Target="https://www.google.com/maps/search/?api=1&amp;query=6%C2%BD%20Avenue%2C%206%201/2%20Ave%20%26%20W%2053rd%20St%2C%20New%20York" TargetMode="External" Id="rId195" /><Relationship Type="http://schemas.openxmlformats.org/officeDocument/2006/relationships/hyperlink" Target="https://www.google.com/maps/search/?api=1&amp;query=75%C2%BD%20Bedford%20Street%2C%2075%20Bedford%20St%2C%20New%20York" TargetMode="External" Id="rId196" /><Relationship Type="http://schemas.openxmlformats.org/officeDocument/2006/relationships/hyperlink" Target="https://www.google.com/maps/search/?api=1&amp;query=Amster%20Yard%20%28Instituto%20Cervantes%29%2C%20211%20E%2049th%20St%2C%20New%20York" TargetMode="External" Id="rId197" /><Relationship Type="http://schemas.openxmlformats.org/officeDocument/2006/relationships/hyperlink" Target="https://www.google.com/maps/search/?api=1&amp;query=Apollo%20Theater%2C%20253%20W%20125th%20St%2C%20New%20York" TargetMode="External" Id="rId198" /><Relationship Type="http://schemas.openxmlformats.org/officeDocument/2006/relationships/hyperlink" Target="https://www.google.com/maps/search/?api=1&amp;query=Cannon%27s%20Walk%2C%20New%20York" TargetMode="External" Id="rId199" /><Relationship Type="http://schemas.openxmlformats.org/officeDocument/2006/relationships/hyperlink" Target="https://www.google.com/maps/search/?api=1&amp;query=Charging%20Bull%2C%20Broadway%20y%20Morris%20St%2C%20New%20York" TargetMode="External" Id="rId200" /><Relationship Type="http://schemas.openxmlformats.org/officeDocument/2006/relationships/hyperlink" Target="https://www.google.com/maps/search/?api=1&amp;query=Cushman%20Row%2C%20406%20W%2020th%20St%2C%20New%20York" TargetMode="External" Id="rId201" /><Relationship Type="http://schemas.openxmlformats.org/officeDocument/2006/relationships/hyperlink" Target="https://www.google.com/maps/search/?api=1&amp;query=Doyers%20St%2C%20New%20York" TargetMode="External" Id="rId202" /><Relationship Type="http://schemas.openxmlformats.org/officeDocument/2006/relationships/hyperlink" Target="https://www.google.com/maps/search/?api=1&amp;query=Fraunces%20Tavern%2C%2054%20Pearl%20St%2C%20New%20York" TargetMode="External" Id="rId203" /><Relationship Type="http://schemas.openxmlformats.org/officeDocument/2006/relationships/hyperlink" Target="https://www.google.com/maps/search/?api=1&amp;query=Grove%20Court%2C%2010-12%20Grove%20St%2C%20New%20York" TargetMode="External" Id="rId204" /><Relationship Type="http://schemas.openxmlformats.org/officeDocument/2006/relationships/hyperlink" Target="https://www.google.com/maps/search/?api=1&amp;query=Henderson%20Place%2C%20Henderson%20Pl%2C%20E%2086th%20St%2C%20New%20York" TargetMode="External" Id="rId205" /><Relationship Type="http://schemas.openxmlformats.org/officeDocument/2006/relationships/hyperlink" Target="https://www.google.com/maps/search/?api=1&amp;query=Hotel%20Chelsea%2C%20222%20W%2023rd%20St%2C%20New%20York" TargetMode="External" Id="rId206" /><Relationship Type="http://schemas.openxmlformats.org/officeDocument/2006/relationships/hyperlink" Target="https://www.google.com/maps/search/?api=1&amp;query=Irish%20Hunger%20Memorial%2C%20Vesey%20St%20%26%20North%20End%20Ave%2C%20New%20York" TargetMode="External" Id="rId207" /><Relationship Type="http://schemas.openxmlformats.org/officeDocument/2006/relationships/hyperlink" Target="https://www.google.com/maps/search/?api=1&amp;query=Jane%27s%20Carousel%2C%20Brooklyn%20Bridge%20Park%2C%20Old%20Dock%20St%2C%20New%20York" TargetMode="External" Id="rId208" /><Relationship Type="http://schemas.openxmlformats.org/officeDocument/2006/relationships/hyperlink" Target="https://www.google.com/maps/search/?api=1&amp;query=Patchin%20Place%2C%20Patchin%20Place%2C%20W%2010th%20St%2C%20New%20York" TargetMode="External" Id="rId209" /><Relationship Type="http://schemas.openxmlformats.org/officeDocument/2006/relationships/hyperlink" Target="https://www.google.com/maps/search/?api=1&amp;query=Pomander%20Walk%2C%20261%20W%2094th%20St%2C%20New%20York" TargetMode="External" Id="rId210" /><Relationship Type="http://schemas.openxmlformats.org/officeDocument/2006/relationships/hyperlink" Target="https://www.google.com/maps/search/?api=1&amp;query=Prince%20St%2C%20New%20York" TargetMode="External" Id="rId211" /><Relationship Type="http://schemas.openxmlformats.org/officeDocument/2006/relationships/hyperlink" Target="https://www.google.com/maps/search/?api=1&amp;query=Roosevelt%20Island%20Lighthouse%2C%20New%20York" TargetMode="External" Id="rId212" /><Relationship Type="http://schemas.openxmlformats.org/officeDocument/2006/relationships/hyperlink" Target="https://www.google.com/maps/search/?api=1&amp;query=Smallpox%20Memorial%20Hospital%2C%20New%20York" TargetMode="External" Id="rId213" /><Relationship Type="http://schemas.openxmlformats.org/officeDocument/2006/relationships/hyperlink" Target="https://www.google.com/maps/search/?api=1&amp;query=Sniffen%20Court%2C%20150%20E%2036th%20St%2C%20New%20York" TargetMode="External" Id="rId214" /><Relationship Type="http://schemas.openxmlformats.org/officeDocument/2006/relationships/hyperlink" Target="https://www.google.com/maps/search/?api=1&amp;query=Stone%20St%2C%20New%20York" TargetMode="External" Id="rId215" /><Relationship Type="http://schemas.openxmlformats.org/officeDocument/2006/relationships/hyperlink" Target="https://www.google.com/maps/search/?api=1&amp;query=Stonewall%20National%20Monument%2C%2053%20Christopher%20St%2C%20New%20York" TargetMode="External" Id="rId216" /><Relationship Type="http://schemas.openxmlformats.org/officeDocument/2006/relationships/hyperlink" Target="https://www.google.com/maps/search/?api=1&amp;query=Strivers%27%20Row%2C%20W%20138th-139th%20St%20entre%20Adam%20Clayton%20Powell%20y%20Frederick%20Douglass%2C%20New%20York" TargetMode="External" Id="rId217" /><Relationship Type="http://schemas.openxmlformats.org/officeDocument/2006/relationships/hyperlink" Target="https://www.google.com/maps/search/?api=1&amp;query=The%20Girl%20Puzzle%20%28Nellie%20Bly%29%2C%20Lighthouse%20Park%2C%20Roosevelt%20Island%2C%20New%20York" TargetMode="External" Id="rId218" /><Relationship Type="http://schemas.openxmlformats.org/officeDocument/2006/relationships/hyperlink" Target="https://www.google.com/maps/search/?api=1&amp;query=The%20Octagon%2C%20888%20Main%20St%2C%20Roosevelt%20Island%2C%20New%20York" TargetMode="External" Id="rId219" /><Relationship Type="http://schemas.openxmlformats.org/officeDocument/2006/relationships/hyperlink" Target="https://www.google.com/maps/search/?api=1&amp;query=Vander%20Ende-Onderdonk%20House%2C%201820%20Flushing%20Ave%2C%20Ridgewood%2C%20New%20York" TargetMode="External" Id="rId220" /><Relationship Type="http://schemas.openxmlformats.org/officeDocument/2006/relationships/hyperlink" Target="https://www.google.com/maps/search/?api=1&amp;query=Wall%20St%2C%20New%20York" TargetMode="External" Id="rId221" /><Relationship Type="http://schemas.openxmlformats.org/officeDocument/2006/relationships/hyperlink" Target="https://www.google.com/maps/search/?api=1&amp;query=Washington%20Mews%2C%20Washington%20Mews%2C%20entre%205th%20Ave%20y%20University%20Pl%2C%20New%20York" TargetMode="External" Id="rId222" /><Relationship Type="http://schemas.openxmlformats.org/officeDocument/2006/relationships/hyperlink" Target="https://www.google.com/maps/search/?api=1&amp;query=Washington%20St%20%28la%20foto%20de%20DUMBO%29%2C%20Washington%20St%20%26%20Water%20St%2C%20New%20York" TargetMode="External" Id="rId223" /><Relationship Type="http://schemas.openxmlformats.org/officeDocument/2006/relationships/hyperlink" Target="https://www.google.com/maps/search/?api=1&amp;query=Westbeth%20Artists%20Housing%2C%2055%20Bethune%20St%2C%20New%20York" TargetMode="External" Id="rId224" /><Relationship Type="http://schemas.openxmlformats.org/officeDocument/2006/relationships/hyperlink" Target="https://www.google.com/maps/search/?api=1&amp;query=Ford%20Foundation%20Atrium%2C%20320%20E%2043rd%20St%2C%20New%20York" TargetMode="External" Id="rId225" /><Relationship Type="http://schemas.openxmlformats.org/officeDocument/2006/relationships/hyperlink" Target="https://www.google.com/maps/search/?api=1&amp;query=Globo%20del%20Daily%20News%20Building%2C%20220%20E%2042nd%20St%2C%20New%20York" TargetMode="External" Id="rId226" /><Relationship Type="http://schemas.openxmlformats.org/officeDocument/2006/relationships/hyperlink" Target="https://www.google.com/maps/search/?api=1&amp;query=Grand%20Central%20Terminal%2C%2089%20E%2042nd%20St%2C%20New%20York" TargetMode="External" Id="rId227" /><Relationship Type="http://schemas.openxmlformats.org/officeDocument/2006/relationships/hyperlink" Target="https://www.google.com/maps/search/?api=1&amp;query=Lobby%20de%2070%20Pine%20Street%2C%2070%20Pine%20St%2C%20New%20York" TargetMode="External" Id="rId228" /><Relationship Type="http://schemas.openxmlformats.org/officeDocument/2006/relationships/hyperlink" Target="https://www.google.com/maps/search/?api=1&amp;query=Lobby%20del%20Chanin%20Building%2C%20122%20E%2042nd%20St%2C%20New%20York" TargetMode="External" Id="rId229" /><Relationship Type="http://schemas.openxmlformats.org/officeDocument/2006/relationships/hyperlink" Target="https://www.google.com/maps/search/?api=1&amp;query=Lobby%20del%20Chrysler%20Building%2C%20405%20Lexington%20Ave%2C%20New%20York" TargetMode="External" Id="rId230" /><Relationship Type="http://schemas.openxmlformats.org/officeDocument/2006/relationships/hyperlink" Target="https://www.google.com/maps/search/?api=1&amp;query=New%20York%20Public%20Library%20%28Schwarzman%29%2C%20476%205th%20Ave%2C%20New%20York" TargetMode="External" Id="rId231" /><Relationship Type="http://schemas.openxmlformats.org/officeDocument/2006/relationships/hyperlink" Target="https://www.google.com/maps/search/?api=1&amp;query=Park%20Avenue%20Armory%2C%20643%20Park%20Ave%2C%20New%20York" TargetMode="External" Id="rId232" /><Relationship Type="http://schemas.openxmlformats.org/officeDocument/2006/relationships/hyperlink" Target="https://www.google.com/maps/search/?api=1&amp;query=Wild%20Table%20of%20Love%2C%20New%20York" TargetMode="External" Id="rId233" /><Relationship Type="http://schemas.openxmlformats.org/officeDocument/2006/relationships/hyperlink" Target="https://www.google.com/maps/search/?api=1&amp;query=Puente%20de%20Brooklyn%2C%20New%20York" TargetMode="External" Id="rId234" /><Relationship Type="http://schemas.openxmlformats.org/officeDocument/2006/relationships/hyperlink" Target="https://www.google.com/maps/search/?api=1&amp;query=Basilica%20of%20St.%20Patrick%27s%20Old%20Cathedral%2C%20263%20Mulberry%20St%2C%20New%20York" TargetMode="External" Id="rId235" /><Relationship Type="http://schemas.openxmlformats.org/officeDocument/2006/relationships/hyperlink" Target="https://www.google.com/maps/search/?api=1&amp;query=Catedral%20de%20la%20Transfiguraci%C3%B3n%2C%20228%20N%2012th%20St%2C%20Brooklyn%2C%20New%20York" TargetMode="External" Id="rId236" /><Relationship Type="http://schemas.openxmlformats.org/officeDocument/2006/relationships/hyperlink" Target="https://www.google.com/maps/search/?api=1&amp;query=Cathedral%20of%20St.%20John%20the%20Divine%2C%201047%20Amsterdam%20Ave%2C%20New%20York" TargetMode="External" Id="rId237" /><Relationship Type="http://schemas.openxmlformats.org/officeDocument/2006/relationships/hyperlink" Target="https://www.google.com/maps/search/?api=1&amp;query=Mahayana%20Buddhist%20Temple%2C%20133%20Canal%20St%2C%20New%20York" TargetMode="External" Id="rId238" /><Relationship Type="http://schemas.openxmlformats.org/officeDocument/2006/relationships/hyperlink" Target="https://www.google.com/maps/search/?api=1&amp;query=Museum%20at%20Eldridge%20Street%2C%2012%20Eldridge%20St%2C%20New%20York" TargetMode="External" Id="rId239" /><Relationship Type="http://schemas.openxmlformats.org/officeDocument/2006/relationships/hyperlink" Target="https://www.google.com/maps/search/?api=1&amp;query=Plymouth%20Church%2C%2057%20Orange%20St%2C%20Brooklyn%2C%20New%20York" TargetMode="External" Id="rId240" /><Relationship Type="http://schemas.openxmlformats.org/officeDocument/2006/relationships/hyperlink" Target="https://www.google.com/maps/search/?api=1&amp;query=St.%20Bartholomew%27s%20Church%2C%20325%20Park%20Ave%2C%20New%20York" TargetMode="External" Id="rId241" /><Relationship Type="http://schemas.openxmlformats.org/officeDocument/2006/relationships/hyperlink" Target="https://www.google.com/maps/search/?api=1&amp;query=St.%20Patrick%27s%20Cathedral%2C%205th%20Ave%20y%20E%2050th%20St%2C%20New%20York" TargetMode="External" Id="rId242" /><Relationship Type="http://schemas.openxmlformats.org/officeDocument/2006/relationships/hyperlink" Target="https://www.google.com/maps/search/?api=1&amp;query=St.%20Paul%27s%20Chapel%2C%20209%20Broadway%2C%20New%20York" TargetMode="External" Id="rId243" /><Relationship Type="http://schemas.openxmlformats.org/officeDocument/2006/relationships/hyperlink" Target="https://www.google.com/maps/search/?api=1&amp;query=Trinity%20Church%2C%2089%20Broadway%2C%20New%20York" TargetMode="External" Id="rId244" /><Relationship Type="http://schemas.openxmlformats.org/officeDocument/2006/relationships/hyperlink" Target="https://www.google.com/maps/search/?api=1&amp;query=Artists%20%26%20Fleas%20Williamsburg%2C%2070%20N%207th%20St%2C%20New%20York" TargetMode="External" Id="rId245" /><Relationship Type="http://schemas.openxmlformats.org/officeDocument/2006/relationships/hyperlink" Target="https://www.google.com/maps/search/?api=1&amp;query=B%26H%20Photo%20Video%2C%20420%209th%20Ave%2C%20New%20York" TargetMode="External" Id="rId246" /><Relationship Type="http://schemas.openxmlformats.org/officeDocument/2006/relationships/hyperlink" Target="https://www.google.com/maps/search/?api=1&amp;query=Books%20Are%20Magic%2C%20122%20Montague%20St%2C%20Brooklyn%2C%20New%20York" TargetMode="External" Id="rId247" /><Relationship Type="http://schemas.openxmlformats.org/officeDocument/2006/relationships/hyperlink" Target="https://www.google.com/maps/search/?api=1&amp;query=C.O.%20Bigelow%20Chemists%2C%20414%206th%20Ave%2C%20New%20York" TargetMode="External" Id="rId248" /><Relationship Type="http://schemas.openxmlformats.org/officeDocument/2006/relationships/hyperlink" Target="https://www.google.com/maps/search/?api=1&amp;query=Economy%20Candy%2C%20108%20Rivington%20St%2C%20New%20York" TargetMode="External" Id="rId249" /><Relationship Type="http://schemas.openxmlformats.org/officeDocument/2006/relationships/hyperlink" Target="https://www.google.com/maps/search/?api=1&amp;query=Hell%27s%20Kitchen%20Flea%20Market%2C%20W%2039th%20St%20entre%209th%20y%2010th%20Ave%2C%20New%20York" TargetMode="External" Id="rId250" /><Relationship Type="http://schemas.openxmlformats.org/officeDocument/2006/relationships/hyperlink" Target="https://www.google.com/maps/search/?api=1&amp;query=Housing%20Works%20Bookstore%2C%20126%20Crosby%20St%2C%20New%20York" TargetMode="External" Id="rId251" /><Relationship Type="http://schemas.openxmlformats.org/officeDocument/2006/relationships/hyperlink" Target="https://www.google.com/maps/search/?api=1&amp;query=Louis%20Vuitton%2C%201%20E%2057th%20St%2C%20New%20York" TargetMode="External" Id="rId252" /><Relationship Type="http://schemas.openxmlformats.org/officeDocument/2006/relationships/hyperlink" Target="https://www.google.com/maps/search/?api=1&amp;query=M%26M%27S%20World%20New%20York%2C%201600%20Broadway%2C%20New%20York" TargetMode="External" Id="rId253" /><Relationship Type="http://schemas.openxmlformats.org/officeDocument/2006/relationships/hyperlink" Target="https://www.google.com/maps/search/?api=1&amp;query=McNally%20Jackson%20Books%2C%20134%20Prince%20St%2C%20New%20York" TargetMode="External" Id="rId254" /><Relationship Type="http://schemas.openxmlformats.org/officeDocument/2006/relationships/hyperlink" Target="https://www.google.com/maps/search/?api=1&amp;query=Green-Wood%20Cemetery%2C%20500%2025th%20St%2C%20Brooklyn%2C%20New%20York" TargetMode="External" Id="rId255" /><Relationship Type="http://schemas.openxmlformats.org/officeDocument/2006/relationships/hyperlink" Target="https://www.google.com/maps/search/?api=1&amp;query=Inwood%20Hill%20Park%2C%20Inwood%20Hill%20Park%2C%20Manhattan%2C%20New%20York" TargetMode="External" Id="rId256" /><Relationship Type="http://schemas.openxmlformats.org/officeDocument/2006/relationships/hyperlink" Target="https://www.google.com/maps/search/?api=1&amp;query=New%20York%20Botanical%20Garden%2C%202900%20Southern%20Blvd%2C%20Bronx%2C%20New%20York" TargetMode="External" Id="rId257" /><Relationship Type="http://schemas.openxmlformats.org/officeDocument/2006/relationships/hyperlink" Target="https://www.google.com/maps/search/?api=1&amp;query=Wave%20Hill%2C%204900%20Independence%20Ave%2C%20Bronx%2C%20New%20York" TargetMode="External" Id="rId258" /><Relationship Type="http://schemas.openxmlformats.org/officeDocument/2006/relationships/hyperlink" Target="https://www.google.com/maps/search/?api=1&amp;query=Elizabeth%20Street%20Garden%2C%20Elizabeth%20St%20entre%20Prince%20y%20Spring%2C%20New%20York" TargetMode="External" Id="rId259" /><Relationship Type="http://schemas.openxmlformats.org/officeDocument/2006/relationships/hyperlink" Target="https://www.google.com/maps/search/?api=1&amp;query=Socrates%20Sculpture%20Park%2C%2032-01%20Vernon%20Blvd%2C%20LIC%2C%20New%20York" TargetMode="External" Id="rId260" /><Relationship Type="http://schemas.openxmlformats.org/officeDocument/2006/relationships/hyperlink" Target="https://www.google.com/maps/search/?api=1&amp;query=Astoria%20Park%2C%2019th%20St%20%26%2023rd%20Ave%2C%20Astoria%2C%20New%20York" TargetMode="External" Id="rId261" /><Relationship Type="http://schemas.openxmlformats.org/officeDocument/2006/relationships/hyperlink" Target="https://www.google.com/maps/search/?api=1&amp;query=Battery%20Park%2C%20New%20York" TargetMode="External" Id="rId262" /><Relationship Type="http://schemas.openxmlformats.org/officeDocument/2006/relationships/hyperlink" Target="https://www.google.com/maps/search/?api=1&amp;query=Brooklyn%20Bridge%20Park%2C%20334%20Furman%20St%2C%20Brooklyn%2C%20New%20York" TargetMode="External" Id="rId263" /><Relationship Type="http://schemas.openxmlformats.org/officeDocument/2006/relationships/hyperlink" Target="https://www.google.com/maps/search/?api=1&amp;query=Bryant%20Park%2C%20Bryant%20Park%2C%20New%20York%2C%20New%20York" TargetMode="External" Id="rId264" /><Relationship Type="http://schemas.openxmlformats.org/officeDocument/2006/relationships/hyperlink" Target="https://www.google.com/maps/search/?api=1&amp;query=Carl%20Schurz%20Park%2C%20East%20End%20Ave%20y%20E%2086th%20St%2C%20New%20York" TargetMode="External" Id="rId265" /><Relationship Type="http://schemas.openxmlformats.org/officeDocument/2006/relationships/hyperlink" Target="https://www.google.com/maps/search/?api=1&amp;query=Central%20Park%2C%20Central%20Park%2C%20New%20York%2C%20New%20York" TargetMode="External" Id="rId266" /><Relationship Type="http://schemas.openxmlformats.org/officeDocument/2006/relationships/hyperlink" Target="https://www.google.com/maps/search/?api=1&amp;query=Clinton%20Community%20Garden%2C%20434%20W%2048th%20St%2C%20New%20York" TargetMode="External" Id="rId267" /><Relationship Type="http://schemas.openxmlformats.org/officeDocument/2006/relationships/hyperlink" Target="https://www.google.com/maps/search/?api=1&amp;query=Columbus%20Park%2C%20Columbus%20Park%2C%20Baxter%20St%2C%20New%20York" TargetMode="External" Id="rId268" /><Relationship Type="http://schemas.openxmlformats.org/officeDocument/2006/relationships/hyperlink" Target="https://www.google.com/maps/search/?api=1&amp;query=Greenacre%20Park%2C%20217%20E%2051st%20St%2C%20New%20York" TargetMode="External" Id="rId269" /><Relationship Type="http://schemas.openxmlformats.org/officeDocument/2006/relationships/hyperlink" Target="https://www.google.com/maps/search/?api=1&amp;query=Hudson%20River%20Park%20Pier%2084%2C%20W%2044th%20St%20y%2012th%20Ave%2C%20New%20York" TargetMode="External" Id="rId270" /><Relationship Type="http://schemas.openxmlformats.org/officeDocument/2006/relationships/hyperlink" Target="https://www.google.com/maps/search/?api=1&amp;query=Paley%20Park%2C%203%20E%2053rd%20St%2C%20New%20York" TargetMode="External" Id="rId271" /><Relationship Type="http://schemas.openxmlformats.org/officeDocument/2006/relationships/hyperlink" Target="https://www.google.com/maps/search/?api=1&amp;query=Prospect%20Park%2C%20New%20York" TargetMode="External" Id="rId272" /><Relationship Type="http://schemas.openxmlformats.org/officeDocument/2006/relationships/hyperlink" Target="https://www.google.com/maps/search/?api=1&amp;query=Straus%20Park%2C%20Broadway%20%26%20W%20106th%20St%2C%20New%20York" TargetMode="External" Id="rId273" /><Relationship Type="http://schemas.openxmlformats.org/officeDocument/2006/relationships/hyperlink" Target="https://www.google.com/maps/search/?api=1&amp;query=Tudor%20City%20Greens%2C%20Tudor%20City%20Pl%2C%20New%20York" TargetMode="External" Id="rId274" /><Relationship Type="http://schemas.openxmlformats.org/officeDocument/2006/relationships/hyperlink" Target="https://www.google.com/maps/search/?api=1&amp;query=Washington%20Square%20Park%2C%20Washington%20Square%20Park%2C%20New%20York" TargetMode="External" Id="rId275" /><Relationship Type="http://schemas.openxmlformats.org/officeDocument/2006/relationships/hyperlink" Target="https://www.google.com/maps/search/?api=1&amp;query=The%20High%20Line%2C%20High%20Line%2C%20Gansevoort%20St%20a%20W%2034th%20St%2C%20New%20York" TargetMode="External" Id="rId276" /><Relationship Type="http://schemas.openxmlformats.org/officeDocument/2006/relationships/hyperlink" Target="https://www.google.com/maps/search/?api=1&amp;query=US%20Open%20%28primeras%20rondas%29%2C%20USTA%20Billie%20Jean%20King%20NTC%2C%20Flushing%2C%20New%20York" TargetMode="External" Id="rId277" /><Relationship Type="http://schemas.openxmlformats.org/officeDocument/2006/relationships/hyperlink" Target="https://www.google.com/maps/search/?api=1&amp;query=Charlie%20Parker%20Jazz%20Festival%20-%20East%20Village%2C%20Tompkins%20Square%20Park%2C%20New%20York" TargetMode="External" Id="rId278" /><Relationship Type="http://schemas.openxmlformats.org/officeDocument/2006/relationships/hyperlink" Target="https://www.google.com/maps/search/?api=1&amp;query=Charlie%20Parker%20Jazz%20Festival%20-%20Harlem%2C%20Marcus%20Garvey%20Park%2C%20Harlem%2C%20New%20York" TargetMode="External" Id="rId279" /><Relationship Type="http://schemas.openxmlformats.org/officeDocument/2006/relationships/hyperlink" Target="https://www.google.com/maps/search/?api=1&amp;query=SummerStage%3A%20Christian%20McBride%20%28gratis%29%2C%20Rumsey%20Playfield%2C%20Central%20Park%2C%20New%20York" TargetMode="External" Id="rId280" /><Relationship Type="http://schemas.openxmlformats.org/officeDocument/2006/relationships/hyperlink" Target="https://www.google.com/maps/search/?api=1&amp;query=NY%20Caribbean%20Carnival%20Week%20%28Panorama%29%2C%20Brooklyn%20Museum%2C%20200%20Eastern%20Pkwy%2C%20New%20York" TargetMode="External" Id="rId281" /><Relationship Type="http://schemas.openxmlformats.org/officeDocument/2006/relationships/hyperlink" Target="https://www.google.com/maps/search/?api=1&amp;query=Paint%20%27N%20Pour%2C%20New%20York" TargetMode="External" Id="rId282" /><Relationship Type="http://schemas.openxmlformats.org/officeDocument/2006/relationships/hyperlink" Target="https://www.google.com/maps/search/?api=1&amp;query=Time%20To%20Paint%20-%20Painting%20Studio%2C%20New%20York" TargetMode="External" Id="rId283" /><Relationship Type="http://schemas.openxmlformats.org/officeDocument/2006/relationships/hyperlink" Target="https://www.google.com/maps/search/?api=1&amp;query=Green-Wood%20Discover%20Trolley%20Tour%2C%20500%2025th%20St%2C%20Brooklyn%2C%20New%20York" TargetMode="External" Id="rId284" /><Relationship Type="http://schemas.openxmlformats.org/officeDocument/2006/relationships/hyperlink" Target="https://www.google.com/maps/search/?api=1&amp;query=Hamilton%2C%20Richard%20Rodgers%20Theatre%2C%20226%20W%2046th%20St%2C%20New%20York" TargetMode="External" Id="rId285" /><Relationship Type="http://schemas.openxmlformats.org/officeDocument/2006/relationships/hyperlink" Target="https://www.google.com/maps/search/?api=1&amp;query=Maybe%20Happy%20Ending%2C%20Belasco%20Theatre%2C%20111%20W%2044th%20St%2C%20New%20York" TargetMode="External" Id="rId286" /><Relationship Type="http://schemas.openxmlformats.org/officeDocument/2006/relationships/hyperlink" Target="https://www.google.com/maps/search/?api=1&amp;query=Moulin%20Rouge%21%20%28ULTIMAS%20FUNCIONES%29%2C%20Al%20Hirschfeld%20Theatre%2C%20302%20W%2045th%20St%2C%20New%20York" TargetMode="External" Id="rId287" /><Relationship Type="http://schemas.openxmlformats.org/officeDocument/2006/relationships/hyperlink" Target="https://www.google.com/maps/search/?api=1&amp;query=Operation%20Mincemeat%2C%20John%20Golden%20Theatre%2C%20252%20W%2045th%20St%2C%20New%20York" TargetMode="External" Id="rId288" /><Relationship Type="http://schemas.openxmlformats.org/officeDocument/2006/relationships/hyperlink" Target="https://www.google.com/maps/search/?api=1&amp;query=Little%20Shop%20of%20Horrors%20%28Off-Broadway%29%2C%20Westside%20Theatre%2C%20407%20W%2043rd%20St%2C%20New%20York" TargetMode="External" Id="rId289" /><Relationship Type="http://schemas.openxmlformats.org/officeDocument/2006/relationships/hyperlink" Target="https://www.google.com/maps/search/?api=1&amp;query=Stranger%20Things%3A%20The%20First%20Shadow%20%28play%29%2C%20Marquis%20Theatre%2C%20210%20W%2046th%20St%2C%20New%20York" TargetMode="External" Id="rId290" /><Relationship Type="http://schemas.openxmlformats.org/officeDocument/2006/relationships/hyperlink" Target="https://www.google.com/maps/search/?api=1&amp;query=TKTS%20Lincoln%20Center%2C%2061%20W%2062nd%20St%2C%20New%20York" TargetMode="External" Id="rId291" /><Relationship Type="http://schemas.openxmlformats.org/officeDocument/2006/relationships/hyperlink" Target="https://www.google.com/maps/search/?api=1&amp;query=NYC%20Ferry%20DUMBO%20%E2%86%92%20Wall%20St%2C%20New%20York" TargetMode="External" Id="rId292" /><Relationship Type="http://schemas.openxmlformats.org/officeDocument/2006/relationships/hyperlink" Target="https://www.google.com/maps/search/?api=1&amp;query=Hotel%20Ink48%20%2829-31%20ago%29%2C%20653%2011th%20Ave%2C%20New%20York" TargetMode="External" Id="rId293" /><Relationship Type="http://schemas.openxmlformats.org/officeDocument/2006/relationships/hyperlink" Target="https://www.google.com/maps/search/?api=1&amp;query=Hotel%20The%20Beacon%20%283-6%20sep%29%2C%202130%20Broadway%2C%20New%20York" TargetMode="External" Id="rId294" /><Relationship Type="http://schemas.openxmlformats.org/officeDocument/2006/relationships/hyperlink" Target="https://www.google.com/maps/search/?api=1&amp;query=JGSTAY%20SoHo%20%28JP%3A%2031%20ago-2%20sep%29%2C%20120%20Lafayette%20St%2C%20NY%2010013%2C%20New%20York" TargetMode="External" Id="rId295"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9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0"/>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7" t="inlineStr">
        <is>
          <t>Día 9 · dom 6/9</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6" t="inlineStr">
        <is>
          <t>—</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Culture Espresso</t>
        </is>
      </c>
      <c r="B87" s="10" t="inlineStr">
        <is>
          <t>Café y brunch</t>
        </is>
      </c>
      <c r="C87" s="11" t="inlineStr">
        <is>
          <t>Comida</t>
        </is>
      </c>
      <c r="D87" s="11" t="inlineStr">
        <is>
          <t>Midtown</t>
        </is>
      </c>
      <c r="E87" s="11" t="inlineStr">
        <is>
          <t>Manhattan</t>
        </is>
      </c>
      <c r="F87" s="12" t="n">
        <v>1</v>
      </c>
      <c r="G87" s="12" t="n">
        <v>1</v>
      </c>
      <c r="H87" s="13">
        <f>IF(AND(F87=2,G87=2),"AMBOS",IF(AND(F87=2,G87&lt;2),"solo JP",IF(AND(F87&lt;2,G87=2),"solo Thais","-")))</f>
        <v/>
      </c>
      <c r="I87" s="14" t="n">
        <v>8</v>
      </c>
      <c r="J87" s="15" t="n">
        <v>0.4</v>
      </c>
      <c r="K87" s="13" t="inlineStr">
        <is>
          <t>no</t>
        </is>
      </c>
      <c r="L87" s="16" t="inlineStr">
        <is>
          <t>—</t>
        </is>
      </c>
      <c r="M87" s="11" t="inlineStr">
        <is>
          <t>—</t>
        </is>
      </c>
      <c r="N87" s="16" t="inlineStr">
        <is>
          <t>—</t>
        </is>
      </c>
      <c r="O87" s="16" t="inlineStr">
        <is>
          <t>—</t>
        </is>
      </c>
      <c r="P87" s="16" t="inlineStr">
        <is>
          <t>34 St-Herald Sq (B,D,F,M,N,Q,R,W)</t>
        </is>
      </c>
      <c r="Q87" s="16" t="inlineStr">
        <is>
          <t>Café pequeño famoso por su cookie de chocolate, que compite en serio con Levain.</t>
        </is>
      </c>
      <c r="R87" s="16" t="inlineStr">
        <is>
          <t>72 W 38th St</t>
        </is>
      </c>
      <c r="S87" s="16" t="inlineStr">
        <is>
          <t>—</t>
        </is>
      </c>
      <c r="T87" s="18" t="inlineStr">
        <is>
          <t>Abrir ↗</t>
        </is>
      </c>
      <c r="U87" s="19" t="inlineStr">
        <is>
          <t>lista google</t>
        </is>
      </c>
      <c r="V87" s="20" t="inlineStr"/>
    </row>
    <row r="88" ht="46" customHeight="1">
      <c r="A88" s="9" t="inlineStr">
        <is>
          <t>Jack's Wife Freda</t>
        </is>
      </c>
      <c r="B88" s="10" t="inlineStr">
        <is>
          <t>Café y brunch</t>
        </is>
      </c>
      <c r="C88" s="11" t="inlineStr">
        <is>
          <t>Comida</t>
        </is>
      </c>
      <c r="D88" s="11" t="inlineStr">
        <is>
          <t>SoHo</t>
        </is>
      </c>
      <c r="E88" s="11" t="inlineStr">
        <is>
          <t>Manhattan</t>
        </is>
      </c>
      <c r="F88" s="12" t="n">
        <v>1</v>
      </c>
      <c r="G88" s="12" t="n">
        <v>1</v>
      </c>
      <c r="H88" s="13">
        <f>IF(AND(F88=2,G88=2),"AMBOS",IF(AND(F88=2,G88&lt;2),"solo JP",IF(AND(F88&lt;2,G88=2),"solo Thais","-")))</f>
        <v/>
      </c>
      <c r="I88" s="14" t="n">
        <v>30</v>
      </c>
      <c r="J88" s="15" t="n">
        <v>1</v>
      </c>
      <c r="K88" s="13" t="inlineStr">
        <is>
          <t>SÍ</t>
        </is>
      </c>
      <c r="L88" s="16" t="inlineStr">
        <is>
          <t>—</t>
        </is>
      </c>
      <c r="M88" s="11" t="inlineStr">
        <is>
          <t>—</t>
        </is>
      </c>
      <c r="N88" s="16" t="inlineStr">
        <is>
          <t>—</t>
        </is>
      </c>
      <c r="O88" s="16" t="inlineStr">
        <is>
          <t>—</t>
        </is>
      </c>
      <c r="P88" s="16" t="inlineStr">
        <is>
          <t>Spring St (6)</t>
        </is>
      </c>
      <c r="Q88" s="16" t="inlineStr">
        <is>
          <t>Brunch sudafricano-israelí, chico y siempre lleno. A dos cuadras del JGStay.</t>
        </is>
      </c>
      <c r="R88" s="16" t="inlineStr">
        <is>
          <t>224 Lafayette St</t>
        </is>
      </c>
      <c r="S88" s="16" t="inlineStr">
        <is>
          <t>—</t>
        </is>
      </c>
      <c r="T88" s="18" t="inlineStr">
        <is>
          <t>Abrir ↗</t>
        </is>
      </c>
      <c r="U88" s="19" t="inlineStr">
        <is>
          <t>lista google</t>
        </is>
      </c>
      <c r="V88" s="20" t="inlineStr"/>
    </row>
    <row r="89" ht="46" customHeight="1">
      <c r="A89" s="9" t="inlineStr">
        <is>
          <t>Sarabeth's Central Park South</t>
        </is>
      </c>
      <c r="B89" s="10" t="inlineStr">
        <is>
          <t>Café y brunch</t>
        </is>
      </c>
      <c r="C89" s="11" t="inlineStr">
        <is>
          <t>Comida</t>
        </is>
      </c>
      <c r="D89" s="11" t="inlineStr">
        <is>
          <t>Midtown</t>
        </is>
      </c>
      <c r="E89" s="11" t="inlineStr">
        <is>
          <t>Manhattan</t>
        </is>
      </c>
      <c r="F89" s="12" t="n">
        <v>1</v>
      </c>
      <c r="G89" s="12" t="n">
        <v>1</v>
      </c>
      <c r="H89" s="13">
        <f>IF(AND(F89=2,G89=2),"AMBOS",IF(AND(F89=2,G89&lt;2),"solo JP",IF(AND(F89&lt;2,G89=2),"solo Thais","-")))</f>
        <v/>
      </c>
      <c r="I89" s="14" t="n">
        <v>35</v>
      </c>
      <c r="J89" s="15" t="n">
        <v>1</v>
      </c>
      <c r="K89" s="13" t="inlineStr">
        <is>
          <t>SÍ</t>
        </is>
      </c>
      <c r="L89" s="16" t="inlineStr">
        <is>
          <t>—</t>
        </is>
      </c>
      <c r="M89" s="11" t="inlineStr">
        <is>
          <t>—</t>
        </is>
      </c>
      <c r="N89" s="16" t="inlineStr">
        <is>
          <t>—</t>
        </is>
      </c>
      <c r="O89" s="16" t="inlineStr">
        <is>
          <t>—</t>
        </is>
      </c>
      <c r="P89" s="16" t="inlineStr">
        <is>
          <t>59 St-Columbus Circle (1,A,B,C,D)</t>
        </is>
      </c>
      <c r="Q89" s="16" t="inlineStr">
        <is>
          <t>El brunch clásico del Upper East/Central Park South. Mermeladas propias, cola los domingos.</t>
        </is>
      </c>
      <c r="R89" s="16" t="inlineStr">
        <is>
          <t>40 Central Park S</t>
        </is>
      </c>
      <c r="S89" s="16" t="inlineStr">
        <is>
          <t>—</t>
        </is>
      </c>
      <c r="T89" s="18" t="inlineStr">
        <is>
          <t>Abrir ↗</t>
        </is>
      </c>
      <c r="U89" s="19" t="inlineStr">
        <is>
          <t>lista google</t>
        </is>
      </c>
      <c r="V89" s="20" t="inlineStr"/>
    </row>
    <row r="90" ht="46" customHeight="1">
      <c r="A90" s="9" t="inlineStr">
        <is>
          <t>Starbucks Reserve Roastery</t>
        </is>
      </c>
      <c r="B90" s="10" t="inlineStr">
        <is>
          <t>Café y brunch</t>
        </is>
      </c>
      <c r="C90" s="11" t="inlineStr">
        <is>
          <t>Comida</t>
        </is>
      </c>
      <c r="D90" s="11" t="inlineStr">
        <is>
          <t>Chelsea</t>
        </is>
      </c>
      <c r="E90" s="11" t="inlineStr">
        <is>
          <t>Manhattan</t>
        </is>
      </c>
      <c r="F90" s="12" t="n">
        <v>1</v>
      </c>
      <c r="G90" s="12" t="n">
        <v>1</v>
      </c>
      <c r="H90" s="13">
        <f>IF(AND(F90=2,G90=2),"AMBOS",IF(AND(F90=2,G90&lt;2),"solo JP",IF(AND(F90&lt;2,G90=2),"solo Thais","-")))</f>
        <v/>
      </c>
      <c r="I90" s="14" t="n">
        <v>15</v>
      </c>
      <c r="J90" s="15" t="n">
        <v>0.75</v>
      </c>
      <c r="K90" s="13" t="inlineStr">
        <is>
          <t>SÍ</t>
        </is>
      </c>
      <c r="L90" s="16" t="inlineStr">
        <is>
          <t>—</t>
        </is>
      </c>
      <c r="M90" s="11" t="inlineStr">
        <is>
          <t>—</t>
        </is>
      </c>
      <c r="N90" s="16" t="inlineStr">
        <is>
          <t>—</t>
        </is>
      </c>
      <c r="O90" s="16" t="inlineStr">
        <is>
          <t>—</t>
        </is>
      </c>
      <c r="P90" s="16" t="inlineStr">
        <is>
          <t>14 St (A,C,E)</t>
        </is>
      </c>
      <c r="Q90" s="16" t="inlineStr">
        <is>
          <t>La tostadora gigante a la vista: más fábrica-espectáculo que café. Entrar es gratis.</t>
        </is>
      </c>
      <c r="R90" s="16" t="inlineStr">
        <is>
          <t>61 9th Ave</t>
        </is>
      </c>
      <c r="S90" s="16" t="inlineStr">
        <is>
          <t>—</t>
        </is>
      </c>
      <c r="T90" s="18" t="inlineStr">
        <is>
          <t>Abrir ↗</t>
        </is>
      </c>
      <c r="U90" s="19" t="inlineStr">
        <is>
          <t>lista google</t>
        </is>
      </c>
      <c r="V90" s="20" t="inlineStr"/>
    </row>
    <row r="91" ht="46" customHeight="1">
      <c r="A91" s="9" t="inlineStr">
        <is>
          <t>The Grey Dog - Union Square</t>
        </is>
      </c>
      <c r="B91" s="10" t="inlineStr">
        <is>
          <t>Café y brunch</t>
        </is>
      </c>
      <c r="C91" s="11" t="inlineStr">
        <is>
          <t>Comida</t>
        </is>
      </c>
      <c r="D91" s="11" t="inlineStr">
        <is>
          <t>Union Square</t>
        </is>
      </c>
      <c r="E91" s="11" t="inlineStr">
        <is>
          <t>Manhattan</t>
        </is>
      </c>
      <c r="F91" s="12" t="n">
        <v>1</v>
      </c>
      <c r="G91" s="12" t="n">
        <v>1</v>
      </c>
      <c r="H91" s="13">
        <f>IF(AND(F91=2,G91=2),"AMBOS",IF(AND(F91=2,G91&lt;2),"solo JP",IF(AND(F91&lt;2,G91=2),"solo Thais","-")))</f>
        <v/>
      </c>
      <c r="I91" s="14" t="n">
        <v>25</v>
      </c>
      <c r="J91" s="15" t="n">
        <v>0.75</v>
      </c>
      <c r="K91" s="13" t="inlineStr">
        <is>
          <t>no</t>
        </is>
      </c>
      <c r="L91" s="16" t="inlineStr">
        <is>
          <t>—</t>
        </is>
      </c>
      <c r="M91" s="11" t="inlineStr">
        <is>
          <t>—</t>
        </is>
      </c>
      <c r="N91" s="16" t="inlineStr">
        <is>
          <t>—</t>
        </is>
      </c>
      <c r="O91" s="16" t="inlineStr">
        <is>
          <t>—</t>
        </is>
      </c>
      <c r="P91" s="16" t="inlineStr">
        <is>
          <t>14 St-Union Sq (4,5,6,L,N,Q,R,W)</t>
        </is>
      </c>
      <c r="Q91" s="16" t="inlineStr">
        <is>
          <t>Café-restaurante de barrio, desayuno todo el día, el antídoto al brunch de cola.</t>
        </is>
      </c>
      <c r="R91" s="16" t="inlineStr">
        <is>
          <t>90 University Pl</t>
        </is>
      </c>
      <c r="S91" s="16" t="inlineStr">
        <is>
          <t>—</t>
        </is>
      </c>
      <c r="T91" s="18" t="inlineStr">
        <is>
          <t>Abrir ↗</t>
        </is>
      </c>
      <c r="U91" s="19" t="inlineStr">
        <is>
          <t>lista google</t>
        </is>
      </c>
      <c r="V91" s="20" t="inlineStr"/>
    </row>
    <row r="92" ht="46" customHeight="1">
      <c r="A92" s="9" t="inlineStr">
        <is>
          <t>Double Chicken Please</t>
        </is>
      </c>
      <c r="B92" s="10" t="inlineStr">
        <is>
          <t>Coctelería</t>
        </is>
      </c>
      <c r="C92" s="11" t="inlineStr">
        <is>
          <t>Comida</t>
        </is>
      </c>
      <c r="D92" s="11" t="inlineStr">
        <is>
          <t>Lower East Side</t>
        </is>
      </c>
      <c r="E92" s="11" t="inlineStr">
        <is>
          <t>Manhattan</t>
        </is>
      </c>
      <c r="F92" s="12" t="n">
        <v>1</v>
      </c>
      <c r="G92" s="12" t="n">
        <v>1</v>
      </c>
      <c r="H92" s="13">
        <f>IF(AND(F92=2,G92=2),"AMBOS",IF(AND(F92=2,G92&lt;2),"solo JP",IF(AND(F92&lt;2,G92=2),"solo Thais","-")))</f>
        <v/>
      </c>
      <c r="I92" s="14" t="n">
        <v>40</v>
      </c>
      <c r="J92" s="15" t="n">
        <v>1.5</v>
      </c>
      <c r="K92" s="13" t="inlineStr">
        <is>
          <t>SÍ</t>
        </is>
      </c>
      <c r="L92" s="16" t="inlineStr">
        <is>
          <t>—</t>
        </is>
      </c>
      <c r="M92" s="11" t="inlineStr">
        <is>
          <t>—</t>
        </is>
      </c>
      <c r="N92" s="16" t="inlineStr">
        <is>
          <t>—</t>
        </is>
      </c>
      <c r="O92" s="16" t="inlineStr">
        <is>
          <t>—</t>
        </is>
      </c>
      <c r="P92" s="16" t="inlineStr">
        <is>
          <t>Delancey St-Essex St (F,J,M,Z)</t>
        </is>
      </c>
      <c r="Q92" s="16" t="inlineStr">
        <is>
          <t>Entra en las listas de mejores bares del mundo: cócteles que replican platos (el 'Cold Pizza' es real).</t>
        </is>
      </c>
      <c r="R92" s="16" t="inlineStr">
        <is>
          <t>115 Allen St</t>
        </is>
      </c>
      <c r="S92" s="16" t="inlineStr">
        <is>
          <t>—</t>
        </is>
      </c>
      <c r="T92" s="18" t="inlineStr">
        <is>
          <t>Abrir ↗</t>
        </is>
      </c>
      <c r="U92" s="19" t="inlineStr">
        <is>
          <t>lista google</t>
        </is>
      </c>
      <c r="V92" s="20" t="inlineStr"/>
    </row>
    <row r="93" ht="46" customHeight="1">
      <c r="A93" s="9" t="inlineStr">
        <is>
          <t>Adel's Famous Halal Food</t>
        </is>
      </c>
      <c r="B93" s="10" t="inlineStr">
        <is>
          <t>Comida al paso</t>
        </is>
      </c>
      <c r="C93" s="11" t="inlineStr">
        <is>
          <t>Comida</t>
        </is>
      </c>
      <c r="D93" s="11" t="inlineStr">
        <is>
          <t>Astoria</t>
        </is>
      </c>
      <c r="E93" s="11" t="inlineStr">
        <is>
          <t>Queens</t>
        </is>
      </c>
      <c r="F93" s="12" t="n">
        <v>1</v>
      </c>
      <c r="G93" s="12" t="n">
        <v>1</v>
      </c>
      <c r="H93" s="13">
        <f>IF(AND(F93=2,G93=2),"AMBOS",IF(AND(F93=2,G93&lt;2),"solo JP",IF(AND(F93&lt;2,G93=2),"solo Thais","-")))</f>
        <v/>
      </c>
      <c r="I93" s="14" t="n">
        <v>12</v>
      </c>
      <c r="J93" s="15" t="n">
        <v>0.5</v>
      </c>
      <c r="K93" s="13" t="inlineStr">
        <is>
          <t>no</t>
        </is>
      </c>
      <c r="L93" s="16" t="inlineStr">
        <is>
          <t>—</t>
        </is>
      </c>
      <c r="M93" s="11" t="inlineStr">
        <is>
          <t>—</t>
        </is>
      </c>
      <c r="N93" s="16" t="inlineStr">
        <is>
          <t>—</t>
        </is>
      </c>
      <c r="O93" s="16" t="inlineStr">
        <is>
          <t>—</t>
        </is>
      </c>
      <c r="P93" s="16" t="inlineStr">
        <is>
          <t>Broadway (N,W)</t>
        </is>
      </c>
      <c r="Q93" s="16" t="inlineStr">
        <is>
          <t>Carrito halal de culto: arroz amarillo, pollo y la salsa blanca, a precio de carrito.</t>
        </is>
      </c>
      <c r="R93" s="16" t="inlineStr"/>
      <c r="S93" s="16" t="inlineStr">
        <is>
          <t>—</t>
        </is>
      </c>
      <c r="T93" s="18" t="inlineStr">
        <is>
          <t>Abrir ↗</t>
        </is>
      </c>
      <c r="U93" s="19" t="inlineStr">
        <is>
          <t>lista google</t>
        </is>
      </c>
      <c r="V93" s="20" t="inlineStr"/>
    </row>
    <row r="94" ht="46" customHeight="1">
      <c r="A94" s="9" t="inlineStr">
        <is>
          <t>Bark Barbecue</t>
        </is>
      </c>
      <c r="B94" s="10" t="inlineStr">
        <is>
          <t>Comida al paso</t>
        </is>
      </c>
      <c r="C94" s="11" t="inlineStr">
        <is>
          <t>Comida</t>
        </is>
      </c>
      <c r="D94" s="11" t="inlineStr">
        <is>
          <t>Queens</t>
        </is>
      </c>
      <c r="E94" s="11" t="inlineStr">
        <is>
          <t>Queens</t>
        </is>
      </c>
      <c r="F94" s="12" t="n">
        <v>1</v>
      </c>
      <c r="G94" s="12" t="n">
        <v>1</v>
      </c>
      <c r="H94" s="13">
        <f>IF(AND(F94=2,G94=2),"AMBOS",IF(AND(F94=2,G94&lt;2),"solo JP",IF(AND(F94&lt;2,G94=2),"solo Thais","-")))</f>
        <v/>
      </c>
      <c r="I94" s="14" t="n">
        <v>25</v>
      </c>
      <c r="J94" s="15" t="n">
        <v>1</v>
      </c>
      <c r="K94" s="13" t="inlineStr">
        <is>
          <t>no</t>
        </is>
      </c>
      <c r="L94" s="16" t="inlineStr">
        <is>
          <t>—</t>
        </is>
      </c>
      <c r="M94" s="11" t="inlineStr">
        <is>
          <t>—</t>
        </is>
      </c>
      <c r="N94" s="16" t="inlineStr">
        <is>
          <t>—</t>
        </is>
      </c>
      <c r="O94" s="16" t="inlineStr">
        <is>
          <t>—</t>
        </is>
      </c>
      <c r="P94" s="16" t="inlineStr">
        <is>
          <t>-</t>
        </is>
      </c>
      <c r="Q94" s="16" t="inlineStr">
        <is>
          <t>Barbacoa texana con acento mexicano, de las mejor rankeadas de la ciudad.</t>
        </is>
      </c>
      <c r="R94" s="16" t="inlineStr"/>
      <c r="S94" s="16" t="inlineStr">
        <is>
          <t>—</t>
        </is>
      </c>
      <c r="T94" s="18" t="inlineStr">
        <is>
          <t>Abrir ↗</t>
        </is>
      </c>
      <c r="U94" s="19" t="inlineStr">
        <is>
          <t>lista google</t>
        </is>
      </c>
      <c r="V94" s="20" t="inlineStr"/>
    </row>
    <row r="95" ht="46" customHeight="1">
      <c r="A95" s="9" t="inlineStr">
        <is>
          <t>Casa Della Mozzarella</t>
        </is>
      </c>
      <c r="B95" s="10" t="inlineStr">
        <is>
          <t>Comida al paso</t>
        </is>
      </c>
      <c r="C95" s="11" t="inlineStr">
        <is>
          <t>Comida</t>
        </is>
      </c>
      <c r="D95" s="11" t="inlineStr">
        <is>
          <t>Belmont</t>
        </is>
      </c>
      <c r="E95" s="11" t="inlineStr">
        <is>
          <t>Bronx</t>
        </is>
      </c>
      <c r="F95" s="12" t="n">
        <v>2</v>
      </c>
      <c r="G95" s="12" t="n">
        <v>2</v>
      </c>
      <c r="H95" s="13">
        <f>IF(AND(F95=2,G95=2),"AMBOS",IF(AND(F95=2,G95&lt;2),"solo JP",IF(AND(F95&lt;2,G95=2),"solo Thais","-")))</f>
        <v/>
      </c>
      <c r="I95" s="14" t="n">
        <v>14</v>
      </c>
      <c r="J95" s="15" t="n">
        <v>0.5</v>
      </c>
      <c r="K95" s="13" t="inlineStr">
        <is>
          <t>no</t>
        </is>
      </c>
      <c r="L95" s="16" t="inlineStr">
        <is>
          <t>—</t>
        </is>
      </c>
      <c r="M95" s="11" t="inlineStr">
        <is>
          <t>—</t>
        </is>
      </c>
      <c r="N95" s="16" t="inlineStr">
        <is>
          <t>—</t>
        </is>
      </c>
      <c r="O95" s="16" t="inlineStr">
        <is>
          <t>—</t>
        </is>
      </c>
      <c r="P95" s="16" t="inlineStr">
        <is>
          <t>Fordham Rd (B,D,4)</t>
        </is>
      </c>
      <c r="Q95" s="16" t="inlineStr">
        <is>
          <t>Sandwich de mozzarella hecha esa manana con prosciutto y pimientos secos en pan de sesamo. Uno de los mejores sandwiches de la ciudad, y cuesta lo que una cerveza en Manhattan.</t>
        </is>
      </c>
      <c r="R95" s="16" t="inlineStr">
        <is>
          <t>604 E 187th St, Bronx</t>
        </is>
      </c>
      <c r="S95" s="16" t="inlineStr">
        <is>
          <t>—</t>
        </is>
      </c>
      <c r="T95" s="18" t="inlineStr">
        <is>
          <t>Abrir ↗</t>
        </is>
      </c>
      <c r="U95" s="19" t="inlineStr">
        <is>
          <t>lista google</t>
        </is>
      </c>
      <c r="V95" s="20" t="inlineStr"/>
    </row>
    <row r="96" ht="46" customHeight="1">
      <c r="A96" s="9" t="inlineStr">
        <is>
          <t>Cosenza's Fish Market</t>
        </is>
      </c>
      <c r="B96" s="10" t="inlineStr">
        <is>
          <t>Comida al paso</t>
        </is>
      </c>
      <c r="C96" s="11" t="inlineStr">
        <is>
          <t>Comida</t>
        </is>
      </c>
      <c r="D96" s="11" t="inlineStr">
        <is>
          <t>Belmont</t>
        </is>
      </c>
      <c r="E96" s="11" t="inlineStr">
        <is>
          <t>Bronx</t>
        </is>
      </c>
      <c r="F96" s="12" t="n">
        <v>0</v>
      </c>
      <c r="G96" s="12" t="n">
        <v>0</v>
      </c>
      <c r="H96" s="13">
        <f>IF(AND(F96=2,G96=2),"AMBOS",IF(AND(F96=2,G96&lt;2),"solo JP",IF(AND(F96&lt;2,G96=2),"solo Thais","-")))</f>
        <v/>
      </c>
      <c r="I96" s="14" t="n">
        <v>15</v>
      </c>
      <c r="J96" s="15" t="n">
        <v>0.5</v>
      </c>
      <c r="K96" s="13" t="inlineStr">
        <is>
          <t>no</t>
        </is>
      </c>
      <c r="L96" s="16" t="inlineStr">
        <is>
          <t>—</t>
        </is>
      </c>
      <c r="M96" s="11" t="inlineStr">
        <is>
          <t>—</t>
        </is>
      </c>
      <c r="N96" s="16" t="inlineStr">
        <is>
          <t>—</t>
        </is>
      </c>
      <c r="O96" s="16" t="inlineStr">
        <is>
          <t>—</t>
        </is>
      </c>
      <c r="P96" s="16" t="inlineStr">
        <is>
          <t>Fordham Rd (B,D,4)</t>
        </is>
      </c>
      <c r="Q96" s="16" t="inlineStr">
        <is>
          <t>Barra de ostras montada en la vereda, con los condimentos afuera. Se come parado en la calle. Es la mejor media hora de Arthur Avenue.</t>
        </is>
      </c>
      <c r="R96" s="16" t="inlineStr">
        <is>
          <t>2354 Arthur Ave, Bronx</t>
        </is>
      </c>
      <c r="S96" s="16" t="inlineStr">
        <is>
          <t>—</t>
        </is>
      </c>
      <c r="T96" s="18" t="inlineStr">
        <is>
          <t>Abrir ↗</t>
        </is>
      </c>
      <c r="U96" s="21" t="inlineStr">
        <is>
          <t>otros</t>
        </is>
      </c>
      <c r="V96" s="20" t="inlineStr"/>
    </row>
    <row r="97" ht="46" customHeight="1">
      <c r="A97" s="9" t="inlineStr">
        <is>
          <t>Di Palo's Fine Foods</t>
        </is>
      </c>
      <c r="B97" s="10" t="inlineStr">
        <is>
          <t>Comida al paso</t>
        </is>
      </c>
      <c r="C97" s="11" t="inlineStr">
        <is>
          <t>Comida</t>
        </is>
      </c>
      <c r="D97" s="11" t="inlineStr">
        <is>
          <t>Little Italy</t>
        </is>
      </c>
      <c r="E97" s="11" t="inlineStr">
        <is>
          <t>Manhattan</t>
        </is>
      </c>
      <c r="F97" s="12" t="n">
        <v>1</v>
      </c>
      <c r="G97" s="12" t="n">
        <v>1</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Canal St (J,N,Q,R,W,6)</t>
        </is>
      </c>
      <c r="Q97" s="16" t="inlineStr">
        <is>
          <t>Cuatro generaciones cortando mozzarella desde 1925. Es la Little Italy que queda cuando se van los turistas.</t>
        </is>
      </c>
      <c r="R97" s="16" t="inlineStr">
        <is>
          <t>200 Grand St</t>
        </is>
      </c>
      <c r="S97" s="16" t="inlineStr">
        <is>
          <t>—</t>
        </is>
      </c>
      <c r="T97" s="18" t="inlineStr">
        <is>
          <t>Abrir ↗</t>
        </is>
      </c>
      <c r="U97" s="21" t="inlineStr">
        <is>
          <t>otros</t>
        </is>
      </c>
      <c r="V97" s="20" t="inlineStr"/>
    </row>
    <row r="98" ht="46" customHeight="1">
      <c r="A98" s="9" t="inlineStr">
        <is>
          <t>Gray's Papaya</t>
        </is>
      </c>
      <c r="B98" s="10" t="inlineStr">
        <is>
          <t>Comida al paso</t>
        </is>
      </c>
      <c r="C98" s="11" t="inlineStr">
        <is>
          <t>Comida</t>
        </is>
      </c>
      <c r="D98" s="11" t="inlineStr">
        <is>
          <t>Upper West Side</t>
        </is>
      </c>
      <c r="E98" s="11" t="inlineStr">
        <is>
          <t>Manhattan</t>
        </is>
      </c>
      <c r="F98" s="12" t="n">
        <v>1</v>
      </c>
      <c r="G98" s="12" t="n">
        <v>1</v>
      </c>
      <c r="H98" s="13">
        <f>IF(AND(F98=2,G98=2),"AMBOS",IF(AND(F98=2,G98&lt;2),"solo JP",IF(AND(F98&lt;2,G98=2),"solo Thais","-")))</f>
        <v/>
      </c>
      <c r="I98" s="14" t="n">
        <v>6</v>
      </c>
      <c r="J98" s="15" t="n">
        <v>0.2</v>
      </c>
      <c r="K98" s="13" t="inlineStr">
        <is>
          <t>no</t>
        </is>
      </c>
      <c r="L98" s="16" t="inlineStr">
        <is>
          <t>—</t>
        </is>
      </c>
      <c r="M98" s="11" t="inlineStr">
        <is>
          <t>—</t>
        </is>
      </c>
      <c r="N98" s="16" t="inlineStr">
        <is>
          <t>—</t>
        </is>
      </c>
      <c r="O98" s="16" t="inlineStr">
        <is>
          <t>—</t>
        </is>
      </c>
      <c r="P98" s="16" t="inlineStr">
        <is>
          <t>72 St (1,2,3)</t>
        </is>
      </c>
      <c r="Q98" s="16" t="inlineStr">
        <is>
          <t>Pancho y jugo de papaya de parado, luz de neon, abierto toda la noche desde 1973.</t>
        </is>
      </c>
      <c r="R98" s="16" t="inlineStr">
        <is>
          <t>2090 Broadway</t>
        </is>
      </c>
      <c r="S98" s="16" t="inlineStr">
        <is>
          <t>—</t>
        </is>
      </c>
      <c r="T98" s="18" t="inlineStr">
        <is>
          <t>Abrir ↗</t>
        </is>
      </c>
      <c r="U98" s="21" t="inlineStr">
        <is>
          <t>otros</t>
        </is>
      </c>
      <c r="V98" s="20" t="inlineStr"/>
    </row>
    <row r="99" ht="46" customHeight="1">
      <c r="A99" s="9" t="inlineStr">
        <is>
          <t>Los Tacos No. 1</t>
        </is>
      </c>
      <c r="B99" s="10" t="inlineStr">
        <is>
          <t>Comida al paso</t>
        </is>
      </c>
      <c r="C99" s="11" t="inlineStr">
        <is>
          <t>Comida</t>
        </is>
      </c>
      <c r="D99" s="11" t="inlineStr">
        <is>
          <t>Chelsea</t>
        </is>
      </c>
      <c r="E99" s="11" t="inlineStr">
        <is>
          <t>Manhattan</t>
        </is>
      </c>
      <c r="F99" s="12" t="n">
        <v>2</v>
      </c>
      <c r="G99" s="12" t="n">
        <v>1</v>
      </c>
      <c r="H99" s="13">
        <f>IF(AND(F99=2,G99=2),"AMBOS",IF(AND(F99=2,G99&lt;2),"solo JP",IF(AND(F99&lt;2,G99=2),"solo Thais","-")))</f>
        <v/>
      </c>
      <c r="I99" s="14" t="n">
        <v>15</v>
      </c>
      <c r="J99" s="15" t="n">
        <v>0.5</v>
      </c>
      <c r="K99" s="13" t="inlineStr">
        <is>
          <t>SÍ</t>
        </is>
      </c>
      <c r="L99" s="16" t="inlineStr">
        <is>
          <t>—</t>
        </is>
      </c>
      <c r="M99" s="11" t="inlineStr">
        <is>
          <t>—</t>
        </is>
      </c>
      <c r="N99" s="16" t="inlineStr">
        <is>
          <t>—</t>
        </is>
      </c>
      <c r="O99" s="16" t="inlineStr">
        <is>
          <t>—</t>
        </is>
      </c>
      <c r="P99" s="16" t="inlineStr">
        <is>
          <t>14 St-8 Av (A,C,E,L)</t>
        </is>
      </c>
      <c r="Q99" s="16" t="inlineStr">
        <is>
          <t>Lo mejor de Chelsea Market y de las pocas cosas por las que vale entrar. Adobada y nopal, tortilla hecha ahi. Se come parado.</t>
        </is>
      </c>
      <c r="R99" s="16" t="inlineStr">
        <is>
          <t>75 9th Ave (Chelsea Market)</t>
        </is>
      </c>
      <c r="S99" s="16" t="inlineStr">
        <is>
          <t>—</t>
        </is>
      </c>
      <c r="T99" s="18" t="inlineStr">
        <is>
          <t>Abrir ↗</t>
        </is>
      </c>
      <c r="U99" s="21" t="inlineStr">
        <is>
          <t>otros</t>
        </is>
      </c>
      <c r="V99" s="20" t="inlineStr"/>
    </row>
    <row r="100" ht="46" customHeight="1">
      <c r="A100" s="9" t="inlineStr">
        <is>
          <t>Murray's Cheese</t>
        </is>
      </c>
      <c r="B100" s="10" t="inlineStr">
        <is>
          <t>Comida al paso</t>
        </is>
      </c>
      <c r="C100" s="11" t="inlineStr">
        <is>
          <t>Comida</t>
        </is>
      </c>
      <c r="D100" s="11" t="inlineStr">
        <is>
          <t>West Village</t>
        </is>
      </c>
      <c r="E100" s="11" t="inlineStr">
        <is>
          <t>Manhattan</t>
        </is>
      </c>
      <c r="F100" s="12" t="n">
        <v>1</v>
      </c>
      <c r="G100" s="12" t="n">
        <v>1</v>
      </c>
      <c r="H100" s="13">
        <f>IF(AND(F100=2,G100=2),"AMBOS",IF(AND(F100=2,G100&lt;2),"solo JP",IF(AND(F100&lt;2,G100=2),"solo Thais","-")))</f>
        <v/>
      </c>
      <c r="I100" s="14" t="n">
        <v>15</v>
      </c>
      <c r="J100" s="15" t="n">
        <v>0.4</v>
      </c>
      <c r="K100" s="13" t="inlineStr">
        <is>
          <t>no</t>
        </is>
      </c>
      <c r="L100" s="16" t="inlineStr">
        <is>
          <t>—</t>
        </is>
      </c>
      <c r="M100" s="11" t="inlineStr">
        <is>
          <t>—</t>
        </is>
      </c>
      <c r="N100" s="16" t="inlineStr">
        <is>
          <t>—</t>
        </is>
      </c>
      <c r="O100" s="16" t="inlineStr">
        <is>
          <t>—</t>
        </is>
      </c>
      <c r="P100" s="16" t="inlineStr">
        <is>
          <t>Christopher St (1)</t>
        </is>
      </c>
      <c r="Q100" s="16" t="inlineStr">
        <is>
          <t>Queseria desde 1940, la mas vieja de la ciudad. Te hacen probar antes de comprar.</t>
        </is>
      </c>
      <c r="R100" s="16" t="inlineStr">
        <is>
          <t>254 Bleecker St</t>
        </is>
      </c>
      <c r="S100" s="16" t="inlineStr">
        <is>
          <t>—</t>
        </is>
      </c>
      <c r="T100" s="18" t="inlineStr">
        <is>
          <t>Abrir ↗</t>
        </is>
      </c>
      <c r="U100" s="21" t="inlineStr">
        <is>
          <t>otros</t>
        </is>
      </c>
      <c r="V100" s="20" t="inlineStr"/>
    </row>
    <row r="101" ht="46" customHeight="1">
      <c r="A101" s="9" t="inlineStr">
        <is>
          <t>Pommes Frites</t>
        </is>
      </c>
      <c r="B101" s="10" t="inlineStr">
        <is>
          <t>Comida al paso</t>
        </is>
      </c>
      <c r="C101" s="11" t="inlineStr">
        <is>
          <t>Comida</t>
        </is>
      </c>
      <c r="D101" s="11" t="inlineStr">
        <is>
          <t>Greenwich Village</t>
        </is>
      </c>
      <c r="E101" s="11" t="inlineStr">
        <is>
          <t>Manhattan</t>
        </is>
      </c>
      <c r="F101" s="12" t="n">
        <v>1</v>
      </c>
      <c r="G101" s="12" t="n">
        <v>1</v>
      </c>
      <c r="H101" s="13">
        <f>IF(AND(F101=2,G101=2),"AMBOS",IF(AND(F101=2,G101&lt;2),"solo JP",IF(AND(F101&lt;2,G101=2),"solo Thais","-")))</f>
        <v/>
      </c>
      <c r="I101" s="14" t="n">
        <v>11</v>
      </c>
      <c r="J101" s="15" t="n">
        <v>0.3</v>
      </c>
      <c r="K101" s="13" t="inlineStr">
        <is>
          <t>no</t>
        </is>
      </c>
      <c r="L101" s="16" t="inlineStr">
        <is>
          <t>—</t>
        </is>
      </c>
      <c r="M101" s="11" t="inlineStr">
        <is>
          <t>—</t>
        </is>
      </c>
      <c r="N101" s="16" t="inlineStr">
        <is>
          <t>—</t>
        </is>
      </c>
      <c r="O101" s="16" t="inlineStr">
        <is>
          <t>—</t>
        </is>
      </c>
      <c r="P101" s="16" t="inlineStr">
        <is>
          <t>W 4 St (A,C,E,B,D,F,M)</t>
        </is>
      </c>
      <c r="Q101" s="16" t="inlineStr">
        <is>
          <t>papas belgas doble fritura en cono de papel, con una lista larga de salsas (la de trufa y la de mango-chutney-mayo son las clásicas). No es una comida, es lo que se come a las 2 de la mañana.</t>
        </is>
      </c>
      <c r="R101" s="16" t="inlineStr">
        <is>
          <t>128 MacDougal St</t>
        </is>
      </c>
      <c r="S101" s="16" t="inlineStr">
        <is>
          <t>—</t>
        </is>
      </c>
      <c r="T101" s="18" t="inlineStr">
        <is>
          <t>Abrir ↗</t>
        </is>
      </c>
      <c r="U101" s="21" t="inlineStr">
        <is>
          <t>otros</t>
        </is>
      </c>
      <c r="V101" s="20" t="inlineStr"/>
    </row>
    <row r="102" ht="46" customHeight="1">
      <c r="A102" s="9" t="inlineStr">
        <is>
          <t>Xi'an Famous Foods (W 45th)</t>
        </is>
      </c>
      <c r="B102" s="10" t="inlineStr">
        <is>
          <t>Comida al paso</t>
        </is>
      </c>
      <c r="C102" s="11" t="inlineStr">
        <is>
          <t>Comida</t>
        </is>
      </c>
      <c r="D102" s="11" t="inlineStr">
        <is>
          <t>Midtown</t>
        </is>
      </c>
      <c r="E102" s="11" t="inlineStr">
        <is>
          <t>Manhattan</t>
        </is>
      </c>
      <c r="F102" s="12" t="n">
        <v>1</v>
      </c>
      <c r="G102" s="12" t="n">
        <v>1</v>
      </c>
      <c r="H102" s="13">
        <f>IF(AND(F102=2,G102=2),"AMBOS",IF(AND(F102=2,G102&lt;2),"solo JP",IF(AND(F102&lt;2,G102=2),"solo Thais","-")))</f>
        <v/>
      </c>
      <c r="I102" s="14" t="n">
        <v>18</v>
      </c>
      <c r="J102" s="15" t="n">
        <v>0.5</v>
      </c>
      <c r="K102" s="13" t="inlineStr">
        <is>
          <t>no</t>
        </is>
      </c>
      <c r="L102" s="16" t="inlineStr">
        <is>
          <t>—</t>
        </is>
      </c>
      <c r="M102" s="11" t="inlineStr">
        <is>
          <t>—</t>
        </is>
      </c>
      <c r="N102" s="16" t="inlineStr">
        <is>
          <t>—</t>
        </is>
      </c>
      <c r="O102" s="16" t="inlineStr">
        <is>
          <t>—</t>
        </is>
      </c>
      <c r="P102" s="16" t="inlineStr">
        <is>
          <t>47-50 Sts-Rockefeller Ctr (B,D,F,M)</t>
        </is>
      </c>
      <c r="Q102" s="16" t="inlineStr">
        <is>
          <t>los *spicy cumin lamb hand-ripped noodles* (N1), fideos estirados a mano con cordero y comino. La versión para comer parado es el *spicy cumin lamb burger* (B2).</t>
        </is>
      </c>
      <c r="R102" s="16" t="inlineStr">
        <is>
          <t>60 W 45th St</t>
        </is>
      </c>
      <c r="S102" s="16" t="inlineStr">
        <is>
          <t>—</t>
        </is>
      </c>
      <c r="T102" s="18" t="inlineStr">
        <is>
          <t>Abrir ↗</t>
        </is>
      </c>
      <c r="U102" s="21" t="inlineStr">
        <is>
          <t>otros</t>
        </is>
      </c>
      <c r="V102" s="20" t="inlineStr"/>
    </row>
    <row r="103" ht="46" customHeight="1">
      <c r="A103" s="9" t="inlineStr">
        <is>
          <t>Barney Greengrass</t>
        </is>
      </c>
      <c r="B103" s="10" t="inlineStr">
        <is>
          <t>Deli y pastrami</t>
        </is>
      </c>
      <c r="C103" s="11" t="inlineStr">
        <is>
          <t>Comida</t>
        </is>
      </c>
      <c r="D103" s="11" t="inlineStr">
        <is>
          <t>Upper West Side</t>
        </is>
      </c>
      <c r="E103" s="11" t="inlineStr">
        <is>
          <t>Manhattan</t>
        </is>
      </c>
      <c r="F103" s="12" t="n">
        <v>1</v>
      </c>
      <c r="G103" s="12" t="n">
        <v>1</v>
      </c>
      <c r="H103" s="13">
        <f>IF(AND(F103=2,G103=2),"AMBOS",IF(AND(F103=2,G103&lt;2),"solo JP",IF(AND(F103&lt;2,G103=2),"solo Thais","-")))</f>
        <v/>
      </c>
      <c r="I103" s="14" t="n">
        <v>25</v>
      </c>
      <c r="J103" s="15" t="n">
        <v>1</v>
      </c>
      <c r="K103" s="13" t="inlineStr">
        <is>
          <t>no</t>
        </is>
      </c>
      <c r="L103" s="16" t="inlineStr">
        <is>
          <t>—</t>
        </is>
      </c>
      <c r="M103" s="11" t="inlineStr">
        <is>
          <t>—</t>
        </is>
      </c>
      <c r="N103" s="16" t="inlineStr">
        <is>
          <t>—</t>
        </is>
      </c>
      <c r="O103" s="16" t="inlineStr">
        <is>
          <t>—</t>
        </is>
      </c>
      <c r="P103" s="16" t="inlineStr">
        <is>
          <t>86 St (1)</t>
        </is>
      </c>
      <c r="Q103" s="16" t="inlineStr">
        <is>
          <t>'El rey del esturion' desde 1908, con el mismo linoleo. Huevos con salmon y cebolla en una mesa de formica.</t>
        </is>
      </c>
      <c r="R103" s="16" t="inlineStr">
        <is>
          <t>541 Amsterdam Ave</t>
        </is>
      </c>
      <c r="S103" s="16" t="inlineStr">
        <is>
          <t>—</t>
        </is>
      </c>
      <c r="T103" s="18" t="inlineStr">
        <is>
          <t>Abrir ↗</t>
        </is>
      </c>
      <c r="U103" s="21" t="inlineStr">
        <is>
          <t>otros</t>
        </is>
      </c>
      <c r="V103" s="20" t="inlineStr"/>
    </row>
    <row r="104" ht="46" customHeight="1">
      <c r="A104" s="9" t="inlineStr">
        <is>
          <t>Frankel's Delicatessen</t>
        </is>
      </c>
      <c r="B104" s="10" t="inlineStr">
        <is>
          <t>Deli y pastrami</t>
        </is>
      </c>
      <c r="C104" s="11" t="inlineStr">
        <is>
          <t>Comida</t>
        </is>
      </c>
      <c r="D104" s="11" t="inlineStr">
        <is>
          <t>Greenpoint</t>
        </is>
      </c>
      <c r="E104" s="11" t="inlineStr">
        <is>
          <t>Brooklyn</t>
        </is>
      </c>
      <c r="F104" s="12" t="n">
        <v>2</v>
      </c>
      <c r="G104" s="12" t="n">
        <v>2</v>
      </c>
      <c r="H104" s="13">
        <f>IF(AND(F104=2,G104=2),"AMBOS",IF(AND(F104=2,G104&lt;2),"solo JP",IF(AND(F104&lt;2,G104=2),"solo Thais","-")))</f>
        <v/>
      </c>
      <c r="I104" s="14" t="n">
        <v>20</v>
      </c>
      <c r="J104" s="15" t="n">
        <v>1</v>
      </c>
      <c r="K104" s="13" t="inlineStr">
        <is>
          <t>no</t>
        </is>
      </c>
      <c r="L104" s="16" t="inlineStr">
        <is>
          <t>—</t>
        </is>
      </c>
      <c r="M104" s="11" t="inlineStr">
        <is>
          <t>—</t>
        </is>
      </c>
      <c r="N104" s="16" t="inlineStr">
        <is>
          <t>—</t>
        </is>
      </c>
      <c r="O104" s="16" t="inlineStr">
        <is>
          <t>—</t>
        </is>
      </c>
      <c r="P104" s="16" t="inlineStr">
        <is>
          <t>Nassau Av (G)</t>
        </is>
      </c>
      <c r="Q104" s="16" t="inlineStr">
        <is>
          <t>El pastrami-huevo-queso sobre challah entro en la lista del NYT de sandwiches que definen NYC. Deli judio version Brooklyn contemporaneo.</t>
        </is>
      </c>
      <c r="R104" s="16" t="inlineStr">
        <is>
          <t>631 Manhattan Ave, Brooklyn</t>
        </is>
      </c>
      <c r="S104" s="16" t="inlineStr">
        <is>
          <t>—</t>
        </is>
      </c>
      <c r="T104" s="18" t="inlineStr">
        <is>
          <t>Abrir ↗</t>
        </is>
      </c>
      <c r="U104" s="19" t="inlineStr">
        <is>
          <t>lista google</t>
        </is>
      </c>
      <c r="V104" s="20" t="inlineStr"/>
    </row>
    <row r="105" ht="46" customHeight="1">
      <c r="A105" s="9" t="inlineStr">
        <is>
          <t>Katz's Delicatessen</t>
        </is>
      </c>
      <c r="B105" s="10" t="inlineStr">
        <is>
          <t>Deli y pastrami</t>
        </is>
      </c>
      <c r="C105" s="11" t="inlineStr">
        <is>
          <t>Comida</t>
        </is>
      </c>
      <c r="D105" s="11" t="inlineStr">
        <is>
          <t>Lower East Side</t>
        </is>
      </c>
      <c r="E105" s="11" t="inlineStr">
        <is>
          <t>Manhattan</t>
        </is>
      </c>
      <c r="F105" s="12" t="n">
        <v>2</v>
      </c>
      <c r="G105" s="12" t="n">
        <v>2</v>
      </c>
      <c r="H105" s="13">
        <f>IF(AND(F105=2,G105=2),"AMBOS",IF(AND(F105=2,G105&lt;2),"solo JP",IF(AND(F105&lt;2,G105=2),"solo Thais","-")))</f>
        <v/>
      </c>
      <c r="I105" s="14" t="n">
        <v>32</v>
      </c>
      <c r="J105" s="15" t="n">
        <v>1.25</v>
      </c>
      <c r="K105" s="13" t="inlineStr">
        <is>
          <t>SÍ</t>
        </is>
      </c>
      <c r="L105" s="16" t="inlineStr">
        <is>
          <t>—</t>
        </is>
      </c>
      <c r="M105" s="11" t="inlineStr">
        <is>
          <t>—</t>
        </is>
      </c>
      <c r="N105" s="16" t="inlineStr">
        <is>
          <t>—</t>
        </is>
      </c>
      <c r="O105" s="16" t="inlineStr">
        <is>
          <t>—</t>
        </is>
      </c>
      <c r="P105" s="16" t="inlineStr">
        <is>
          <t>2 Av (F)</t>
        </is>
      </c>
      <c r="Q105" s="16" t="inlineStr">
        <is>
          <t>1888. El pastrami cura 30 dias y se corta a cuchillo. TRUCO: sentarse en el mostrador, dar propina al cortador, e ir un martes a las 15h en vez de un sabado al mediodia. Guardar el ticket o se paga multa.</t>
        </is>
      </c>
      <c r="R105" s="16" t="inlineStr">
        <is>
          <t>205 E Houston St</t>
        </is>
      </c>
      <c r="S105" s="17" t="inlineStr">
        <is>
          <t>Día 2 · dom 30/8</t>
        </is>
      </c>
      <c r="T105" s="18" t="inlineStr">
        <is>
          <t>Abrir ↗</t>
        </is>
      </c>
      <c r="U105" s="19" t="inlineStr">
        <is>
          <t>lista google</t>
        </is>
      </c>
      <c r="V105" s="20" t="inlineStr"/>
    </row>
    <row r="106" ht="46" customHeight="1">
      <c r="A106" s="9" t="inlineStr">
        <is>
          <t>Russ &amp; Daughters</t>
        </is>
      </c>
      <c r="B106" s="10" t="inlineStr">
        <is>
          <t>Deli y pastrami</t>
        </is>
      </c>
      <c r="C106" s="11" t="inlineStr">
        <is>
          <t>Comida</t>
        </is>
      </c>
      <c r="D106" s="11" t="inlineStr">
        <is>
          <t>Lower East Side</t>
        </is>
      </c>
      <c r="E106" s="11" t="inlineStr">
        <is>
          <t>Manhattan</t>
        </is>
      </c>
      <c r="F106" s="12" t="n">
        <v>2</v>
      </c>
      <c r="G106" s="12" t="n">
        <v>2</v>
      </c>
      <c r="H106" s="13">
        <f>IF(AND(F106=2,G106=2),"AMBOS",IF(AND(F106=2,G106&lt;2),"solo JP",IF(AND(F106&lt;2,G106=2),"solo Thais","-")))</f>
        <v/>
      </c>
      <c r="I106" s="14" t="n">
        <v>22</v>
      </c>
      <c r="J106" s="15" t="n">
        <v>0.75</v>
      </c>
      <c r="K106" s="13" t="inlineStr">
        <is>
          <t>SÍ</t>
        </is>
      </c>
      <c r="L106" s="16" t="inlineStr">
        <is>
          <t>lunes a viernes: 08:00–16:00 · sábado a domingo: 08:00–17:00</t>
        </is>
      </c>
      <c r="M106" s="11" t="inlineStr">
        <is>
          <t>—</t>
        </is>
      </c>
      <c r="N106" s="16" t="inlineStr">
        <is>
          <t>—</t>
        </is>
      </c>
      <c r="O106" s="16" t="inlineStr">
        <is>
          <t>—</t>
        </is>
      </c>
      <c r="P106" s="16" t="inlineStr">
        <is>
          <t>2 Av (F)</t>
        </is>
      </c>
      <c r="Q106" s="16" t="inlineStr">
        <is>
          <t>Appetizing store de 1914, cuarta generacion de la misma familia. Salmon curado cortado a mano sobre bagel. El mostrador es mejor experiencia que el cafe de al lado.</t>
        </is>
      </c>
      <c r="R106" s="16" t="inlineStr">
        <is>
          <t>179 E Houston St</t>
        </is>
      </c>
      <c r="S106" s="17" t="inlineStr">
        <is>
          <t>Día 2 · dom 30/8</t>
        </is>
      </c>
      <c r="T106" s="18" t="inlineStr">
        <is>
          <t>Abrir ↗</t>
        </is>
      </c>
      <c r="U106" s="19" t="inlineStr">
        <is>
          <t>lista google</t>
        </is>
      </c>
      <c r="V106" s="20" t="inlineStr"/>
    </row>
    <row r="107" ht="46" customHeight="1">
      <c r="A107" s="9" t="inlineStr">
        <is>
          <t>Russ &amp; Daughters Cafe</t>
        </is>
      </c>
      <c r="B107" s="10" t="inlineStr">
        <is>
          <t>Deli y pastrami</t>
        </is>
      </c>
      <c r="C107" s="11" t="inlineStr">
        <is>
          <t>Comida</t>
        </is>
      </c>
      <c r="D107" s="11" t="inlineStr">
        <is>
          <t>Lower East Side</t>
        </is>
      </c>
      <c r="E107" s="11" t="inlineStr">
        <is>
          <t>Manhattan</t>
        </is>
      </c>
      <c r="F107" s="12" t="n">
        <v>1</v>
      </c>
      <c r="G107" s="12" t="n">
        <v>1</v>
      </c>
      <c r="H107" s="13">
        <f>IF(AND(F107=2,G107=2),"AMBOS",IF(AND(F107=2,G107&lt;2),"solo JP",IF(AND(F107&lt;2,G107=2),"solo Thais","-")))</f>
        <v/>
      </c>
      <c r="I107" s="14" t="n">
        <v>40</v>
      </c>
      <c r="J107" s="15" t="n">
        <v>1.25</v>
      </c>
      <c r="K107" s="13" t="inlineStr">
        <is>
          <t>SÍ</t>
        </is>
      </c>
      <c r="L107" s="16" t="inlineStr">
        <is>
          <t>—</t>
        </is>
      </c>
      <c r="M107" s="11" t="inlineStr">
        <is>
          <t>—</t>
        </is>
      </c>
      <c r="N107" s="16" t="inlineStr">
        <is>
          <t>—</t>
        </is>
      </c>
      <c r="O107" s="16" t="inlineStr">
        <is>
          <t>—</t>
        </is>
      </c>
      <c r="P107" s="16" t="inlineStr">
        <is>
          <t>Delancey St-Essex St (F,J,M,Z)</t>
        </is>
      </c>
      <c r="Q107" s="16" t="inlineStr">
        <is>
          <t>La versión SENTADA del appetizing de 1914: mismo salmón, con mesa y platos. Distinto del local de Houston.</t>
        </is>
      </c>
      <c r="R107" s="16" t="inlineStr">
        <is>
          <t>127 Orchard St</t>
        </is>
      </c>
      <c r="S107" s="16" t="inlineStr">
        <is>
          <t>—</t>
        </is>
      </c>
      <c r="T107" s="18" t="inlineStr">
        <is>
          <t>Abrir ↗</t>
        </is>
      </c>
      <c r="U107" s="19" t="inlineStr">
        <is>
          <t>lista google</t>
        </is>
      </c>
      <c r="V107" s="20" t="inlineStr"/>
    </row>
    <row r="108" ht="46" customHeight="1">
      <c r="A108" s="9" t="inlineStr">
        <is>
          <t>S&amp;P Lunch</t>
        </is>
      </c>
      <c r="B108" s="10" t="inlineStr">
        <is>
          <t>Deli y pastrami</t>
        </is>
      </c>
      <c r="C108" s="11" t="inlineStr">
        <is>
          <t>Comida</t>
        </is>
      </c>
      <c r="D108" s="11" t="inlineStr">
        <is>
          <t>Flatiron</t>
        </is>
      </c>
      <c r="E108" s="11" t="inlineStr">
        <is>
          <t>Manhattan</t>
        </is>
      </c>
      <c r="F108" s="12" t="n">
        <v>2</v>
      </c>
      <c r="G108" s="12" t="n">
        <v>2</v>
      </c>
      <c r="H108" s="13">
        <f>IF(AND(F108=2,G108=2),"AMBOS",IF(AND(F108=2,G108&lt;2),"solo JP",IF(AND(F108&lt;2,G108=2),"solo Thais","-")))</f>
        <v/>
      </c>
      <c r="I108" s="14" t="n">
        <v>22</v>
      </c>
      <c r="J108" s="15" t="n">
        <v>1</v>
      </c>
      <c r="K108" s="13" t="inlineStr">
        <is>
          <t>no</t>
        </is>
      </c>
      <c r="L108" s="16" t="inlineStr">
        <is>
          <t>—</t>
        </is>
      </c>
      <c r="M108" s="11" t="inlineStr">
        <is>
          <t>—</t>
        </is>
      </c>
      <c r="N108" s="16" t="inlineStr">
        <is>
          <t>—</t>
        </is>
      </c>
      <c r="O108" s="16" t="inlineStr">
        <is>
          <t>—</t>
        </is>
      </c>
      <c r="P108" s="16" t="inlineStr">
        <is>
          <t>23 St (R,W,6)</t>
        </is>
      </c>
      <c r="Q108" s="16" t="inlineStr">
        <is>
          <t>Ocupa el local del Eisenberg's (1929), con pastrami cortado a mano. Es la alternativa a Katz's sin la cola ni el circo.</t>
        </is>
      </c>
      <c r="R108" s="16" t="inlineStr">
        <is>
          <t>174 5th Ave</t>
        </is>
      </c>
      <c r="S108" s="16" t="inlineStr">
        <is>
          <t>—</t>
        </is>
      </c>
      <c r="T108" s="18" t="inlineStr">
        <is>
          <t>Abrir ↗</t>
        </is>
      </c>
      <c r="U108" s="19" t="inlineStr">
        <is>
          <t>lista google</t>
        </is>
      </c>
      <c r="V108" s="20" t="inlineStr"/>
    </row>
    <row r="109" ht="46" customHeight="1">
      <c r="A109" s="9" t="inlineStr">
        <is>
          <t>Sarge's Delicatessen &amp; Diner</t>
        </is>
      </c>
      <c r="B109" s="10" t="inlineStr">
        <is>
          <t>Deli y pastrami</t>
        </is>
      </c>
      <c r="C109" s="11" t="inlineStr">
        <is>
          <t>Comida</t>
        </is>
      </c>
      <c r="D109" s="11" t="inlineStr">
        <is>
          <t>Murray Hill</t>
        </is>
      </c>
      <c r="E109" s="11" t="inlineStr">
        <is>
          <t>Manhattan</t>
        </is>
      </c>
      <c r="F109" s="12" t="n">
        <v>1</v>
      </c>
      <c r="G109" s="12" t="n">
        <v>1</v>
      </c>
      <c r="H109" s="13">
        <f>IF(AND(F109=2,G109=2),"AMBOS",IF(AND(F109=2,G109&lt;2),"solo JP",IF(AND(F109&lt;2,G109=2),"solo Thais","-")))</f>
        <v/>
      </c>
      <c r="I109" s="14" t="n">
        <v>30</v>
      </c>
      <c r="J109" s="15" t="n">
        <v>1</v>
      </c>
      <c r="K109" s="13" t="inlineStr">
        <is>
          <t>no</t>
        </is>
      </c>
      <c r="L109" s="16" t="inlineStr">
        <is>
          <t>—</t>
        </is>
      </c>
      <c r="M109" s="11" t="inlineStr">
        <is>
          <t>—</t>
        </is>
      </c>
      <c r="N109" s="16" t="inlineStr">
        <is>
          <t>—</t>
        </is>
      </c>
      <c r="O109" s="16" t="inlineStr">
        <is>
          <t>—</t>
        </is>
      </c>
      <c r="P109" s="16" t="inlineStr">
        <is>
          <t>33 St (6)</t>
        </is>
      </c>
      <c r="Q109" s="16" t="inlineStr">
        <is>
          <t>Deli judío de 1964 abierto 24 horas: el pastrami sin la cola de Katz's.</t>
        </is>
      </c>
      <c r="R109" s="16" t="inlineStr">
        <is>
          <t>548 3rd Ave</t>
        </is>
      </c>
      <c r="S109" s="16" t="inlineStr">
        <is>
          <t>—</t>
        </is>
      </c>
      <c r="T109" s="18" t="inlineStr">
        <is>
          <t>Abrir ↗</t>
        </is>
      </c>
      <c r="U109" s="19" t="inlineStr">
        <is>
          <t>lista google</t>
        </is>
      </c>
      <c r="V109" s="20" t="inlineStr"/>
    </row>
    <row r="110" ht="46" customHeight="1">
      <c r="A110" s="9" t="inlineStr">
        <is>
          <t>Golden Diner</t>
        </is>
      </c>
      <c r="B110" s="10" t="inlineStr">
        <is>
          <t>Diner clásico</t>
        </is>
      </c>
      <c r="C110" s="11" t="inlineStr">
        <is>
          <t>Comida</t>
        </is>
      </c>
      <c r="D110" s="11" t="inlineStr">
        <is>
          <t>Two Bridges</t>
        </is>
      </c>
      <c r="E110" s="11" t="inlineStr">
        <is>
          <t>Manhattan</t>
        </is>
      </c>
      <c r="F110" s="12" t="n">
        <v>1</v>
      </c>
      <c r="G110" s="12" t="n">
        <v>1</v>
      </c>
      <c r="H110" s="13">
        <f>IF(AND(F110=2,G110=2),"AMBOS",IF(AND(F110=2,G110&lt;2),"solo JP",IF(AND(F110&lt;2,G110=2),"solo Thais","-")))</f>
        <v/>
      </c>
      <c r="I110" s="14" t="n">
        <v>25</v>
      </c>
      <c r="J110" s="15" t="n">
        <v>0.75</v>
      </c>
      <c r="K110" s="13" t="inlineStr">
        <is>
          <t>no</t>
        </is>
      </c>
      <c r="L110" s="16" t="inlineStr">
        <is>
          <t>—</t>
        </is>
      </c>
      <c r="M110" s="11" t="inlineStr">
        <is>
          <t>—</t>
        </is>
      </c>
      <c r="N110" s="16" t="inlineStr">
        <is>
          <t>—</t>
        </is>
      </c>
      <c r="O110" s="16" t="inlineStr">
        <is>
          <t>—</t>
        </is>
      </c>
      <c r="P110" s="16" t="inlineStr">
        <is>
          <t>East Broadway (F)</t>
        </is>
      </c>
      <c r="Q110" s="16" t="inlineStr">
        <is>
          <t>Diner americano cruzado con cocina asiática, debajo del puente de Manhattan. Sin pose.</t>
        </is>
      </c>
      <c r="R110" s="16" t="inlineStr">
        <is>
          <t>123 Madison St</t>
        </is>
      </c>
      <c r="S110" s="16" t="inlineStr">
        <is>
          <t>—</t>
        </is>
      </c>
      <c r="T110" s="18" t="inlineStr">
        <is>
          <t>Abrir ↗</t>
        </is>
      </c>
      <c r="U110" s="19" t="inlineStr">
        <is>
          <t>lista google</t>
        </is>
      </c>
      <c r="V110" s="20" t="inlineStr"/>
    </row>
    <row r="111" ht="46" customHeight="1">
      <c r="A111" s="9" t="inlineStr">
        <is>
          <t>Junior's Restaurant and Bakery</t>
        </is>
      </c>
      <c r="B111" s="10" t="inlineStr">
        <is>
          <t>Diner clásico</t>
        </is>
      </c>
      <c r="C111" s="11" t="inlineStr">
        <is>
          <t>Comida</t>
        </is>
      </c>
      <c r="D111" s="11" t="inlineStr">
        <is>
          <t>Theater District</t>
        </is>
      </c>
      <c r="E111" s="11" t="inlineStr">
        <is>
          <t>Manhattan</t>
        </is>
      </c>
      <c r="F111" s="12" t="n">
        <v>1</v>
      </c>
      <c r="G111" s="12" t="n">
        <v>1</v>
      </c>
      <c r="H111" s="13">
        <f>IF(AND(F111=2,G111=2),"AMBOS",IF(AND(F111=2,G111&lt;2),"solo JP",IF(AND(F111&lt;2,G111=2),"solo Thais","-")))</f>
        <v/>
      </c>
      <c r="I111" s="14" t="n">
        <v>30</v>
      </c>
      <c r="J111" s="15" t="n">
        <v>1</v>
      </c>
      <c r="K111" s="13" t="inlineStr">
        <is>
          <t>SÍ</t>
        </is>
      </c>
      <c r="L111" s="16" t="inlineStr">
        <is>
          <t>—</t>
        </is>
      </c>
      <c r="M111" s="11" t="inlineStr">
        <is>
          <t>—</t>
        </is>
      </c>
      <c r="N111" s="16" t="inlineStr">
        <is>
          <t>—</t>
        </is>
      </c>
      <c r="O111" s="16" t="inlineStr">
        <is>
          <t>—</t>
        </is>
      </c>
      <c r="P111" s="16" t="inlineStr">
        <is>
          <t>49 St (N,R,W)</t>
        </is>
      </c>
      <c r="Q111" s="16" t="inlineStr">
        <is>
          <t>El cheesecake de Brooklyn, en su sucursal de Times Square. Porciones absurdas.</t>
        </is>
      </c>
      <c r="R111" s="16" t="inlineStr">
        <is>
          <t>1626 Broadway</t>
        </is>
      </c>
      <c r="S111" s="16" t="inlineStr">
        <is>
          <t>—</t>
        </is>
      </c>
      <c r="T111" s="18" t="inlineStr">
        <is>
          <t>Abrir ↗</t>
        </is>
      </c>
      <c r="U111" s="19" t="inlineStr">
        <is>
          <t>lista google</t>
        </is>
      </c>
      <c r="V111" s="20" t="inlineStr"/>
    </row>
    <row r="112" ht="46" customHeight="1">
      <c r="A112" s="9" t="inlineStr">
        <is>
          <t>Lexington Candy Shop</t>
        </is>
      </c>
      <c r="B112" s="10" t="inlineStr">
        <is>
          <t>Diner clásico</t>
        </is>
      </c>
      <c r="C112" s="11" t="inlineStr">
        <is>
          <t>Comida</t>
        </is>
      </c>
      <c r="D112" s="11" t="inlineStr">
        <is>
          <t>Upper East Side</t>
        </is>
      </c>
      <c r="E112" s="11" t="inlineStr">
        <is>
          <t>Manhattan</t>
        </is>
      </c>
      <c r="F112" s="12" t="n">
        <v>1</v>
      </c>
      <c r="G112" s="12" t="n">
        <v>1</v>
      </c>
      <c r="H112" s="13">
        <f>IF(AND(F112=2,G112=2),"AMBOS",IF(AND(F112=2,G112&lt;2),"solo JP",IF(AND(F112&lt;2,G112=2),"solo Thais","-")))</f>
        <v/>
      </c>
      <c r="I112" s="14" t="n">
        <v>18</v>
      </c>
      <c r="J112" s="15" t="n">
        <v>0.8</v>
      </c>
      <c r="K112" s="13" t="inlineStr">
        <is>
          <t>no</t>
        </is>
      </c>
      <c r="L112" s="16" t="inlineStr">
        <is>
          <t>—</t>
        </is>
      </c>
      <c r="M112" s="11" t="inlineStr">
        <is>
          <t>—</t>
        </is>
      </c>
      <c r="N112" s="16" t="inlineStr">
        <is>
          <t>—</t>
        </is>
      </c>
      <c r="O112" s="16" t="inlineStr">
        <is>
          <t>—</t>
        </is>
      </c>
      <c r="P112" s="16" t="inlineStr">
        <is>
          <t>86 St (4,5,6)</t>
        </is>
      </c>
      <c r="Q112" s="16" t="inlineStr">
        <is>
          <t>Luncheonette de 1925 sin un solo cambio: malteadas hechas a mano y Coca-Cola mezclada en el mostrador.</t>
        </is>
      </c>
      <c r="R112" s="16" t="inlineStr">
        <is>
          <t>1226 Lexington Ave</t>
        </is>
      </c>
      <c r="S112" s="16" t="inlineStr">
        <is>
          <t>—</t>
        </is>
      </c>
      <c r="T112" s="18" t="inlineStr">
        <is>
          <t>Abrir ↗</t>
        </is>
      </c>
      <c r="U112" s="21" t="inlineStr">
        <is>
          <t>otros</t>
        </is>
      </c>
      <c r="V112" s="20" t="inlineStr"/>
    </row>
    <row r="113" ht="46" customHeight="1">
      <c r="A113" s="9" t="inlineStr">
        <is>
          <t>Tick Tock Diner NY</t>
        </is>
      </c>
      <c r="B113" s="10" t="inlineStr">
        <is>
          <t>Diner clásico</t>
        </is>
      </c>
      <c r="C113" s="11" t="inlineStr">
        <is>
          <t>Comida</t>
        </is>
      </c>
      <c r="D113" s="11" t="inlineStr">
        <is>
          <t>Midtown West</t>
        </is>
      </c>
      <c r="E113" s="11" t="inlineStr">
        <is>
          <t>Manhattan</t>
        </is>
      </c>
      <c r="F113" s="12" t="n">
        <v>1</v>
      </c>
      <c r="G113" s="12" t="n">
        <v>1</v>
      </c>
      <c r="H113" s="13">
        <f>IF(AND(F113=2,G113=2),"AMBOS",IF(AND(F113=2,G113&lt;2),"solo JP",IF(AND(F113&lt;2,G113=2),"solo Thais","-")))</f>
        <v/>
      </c>
      <c r="I113" s="14" t="n">
        <v>25</v>
      </c>
      <c r="J113" s="15" t="n">
        <v>0.75</v>
      </c>
      <c r="K113" s="13" t="inlineStr">
        <is>
          <t>no</t>
        </is>
      </c>
      <c r="L113" s="16" t="inlineStr">
        <is>
          <t>—</t>
        </is>
      </c>
      <c r="M113" s="11" t="inlineStr">
        <is>
          <t>—</t>
        </is>
      </c>
      <c r="N113" s="16" t="inlineStr">
        <is>
          <t>—</t>
        </is>
      </c>
      <c r="O113" s="16" t="inlineStr">
        <is>
          <t>—</t>
        </is>
      </c>
      <c r="P113" s="16" t="inlineStr">
        <is>
          <t>34 St-Penn Station (1,2,3,A,C,E)</t>
        </is>
      </c>
      <c r="Q113" s="16" t="inlineStr">
        <is>
          <t>Diner art déco cromado frente a Penn Station. Útil de verdad los días de tren.</t>
        </is>
      </c>
      <c r="R113" s="16" t="inlineStr">
        <is>
          <t>481 8th Ave</t>
        </is>
      </c>
      <c r="S113" s="16" t="inlineStr">
        <is>
          <t>—</t>
        </is>
      </c>
      <c r="T113" s="18" t="inlineStr">
        <is>
          <t>Abrir ↗</t>
        </is>
      </c>
      <c r="U113" s="19" t="inlineStr">
        <is>
          <t>lista google</t>
        </is>
      </c>
      <c r="V113" s="20" t="inlineStr"/>
    </row>
    <row r="114" ht="46" customHeight="1">
      <c r="A114" s="9" t="inlineStr">
        <is>
          <t>Corner Bistro</t>
        </is>
      </c>
      <c r="B114" s="10" t="inlineStr">
        <is>
          <t>Hamburguesería</t>
        </is>
      </c>
      <c r="C114" s="11" t="inlineStr">
        <is>
          <t>Comida</t>
        </is>
      </c>
      <c r="D114" s="11" t="inlineStr">
        <is>
          <t>West Village</t>
        </is>
      </c>
      <c r="E114" s="11" t="inlineStr">
        <is>
          <t>Manhattan</t>
        </is>
      </c>
      <c r="F114" s="12" t="n">
        <v>1</v>
      </c>
      <c r="G114" s="12" t="n">
        <v>1</v>
      </c>
      <c r="H114" s="13">
        <f>IF(AND(F114=2,G114=2),"AMBOS",IF(AND(F114=2,G114&lt;2),"solo JP",IF(AND(F114&lt;2,G114=2),"solo Thais","-")))</f>
        <v/>
      </c>
      <c r="I114" s="14" t="n">
        <v>12</v>
      </c>
      <c r="J114" s="15" t="n">
        <v>1</v>
      </c>
      <c r="K114" s="13" t="inlineStr">
        <is>
          <t>no</t>
        </is>
      </c>
      <c r="L114" s="16" t="inlineStr">
        <is>
          <t>—</t>
        </is>
      </c>
      <c r="M114" s="11" t="inlineStr">
        <is>
          <t>—</t>
        </is>
      </c>
      <c r="N114" s="16" t="inlineStr">
        <is>
          <t>—</t>
        </is>
      </c>
      <c r="O114" s="16" t="inlineStr">
        <is>
          <t>—</t>
        </is>
      </c>
      <c r="P114" s="16" t="inlineStr">
        <is>
          <t>14 St (A,C,E)</t>
        </is>
      </c>
      <c r="Q114" s="16" t="inlineStr">
        <is>
          <t>Hamburguesa en plato de papel, cerveza barata y boxes de madera desde 1961. Nada de artesanal.</t>
        </is>
      </c>
      <c r="R114" s="16" t="inlineStr">
        <is>
          <t>331 W 4th St</t>
        </is>
      </c>
      <c r="S114" s="16" t="inlineStr">
        <is>
          <t>—</t>
        </is>
      </c>
      <c r="T114" s="18" t="inlineStr">
        <is>
          <t>Abrir ↗</t>
        </is>
      </c>
      <c r="U114" s="21" t="inlineStr">
        <is>
          <t>otros</t>
        </is>
      </c>
      <c r="V114" s="20" t="inlineStr"/>
    </row>
    <row r="115" ht="46" customHeight="1">
      <c r="A115" s="9" t="inlineStr">
        <is>
          <t>Hamburger America</t>
        </is>
      </c>
      <c r="B115" s="10" t="inlineStr">
        <is>
          <t>Hamburguesería</t>
        </is>
      </c>
      <c r="C115" s="11" t="inlineStr">
        <is>
          <t>Comida</t>
        </is>
      </c>
      <c r="D115" s="11" t="inlineStr">
        <is>
          <t>SoHo / West Village</t>
        </is>
      </c>
      <c r="E115" s="11" t="inlineStr">
        <is>
          <t>Manhattan</t>
        </is>
      </c>
      <c r="F115" s="12" t="n">
        <v>2</v>
      </c>
      <c r="G115" s="12" t="n">
        <v>1</v>
      </c>
      <c r="H115" s="13">
        <f>IF(AND(F115=2,G115=2),"AMBOS",IF(AND(F115=2,G115&lt;2),"solo JP",IF(AND(F115&lt;2,G115=2),"solo Thais","-")))</f>
        <v/>
      </c>
      <c r="I115" s="14" t="n">
        <v>20</v>
      </c>
      <c r="J115" s="15" t="n">
        <v>0.75</v>
      </c>
      <c r="K115" s="13" t="inlineStr">
        <is>
          <t>SÍ</t>
        </is>
      </c>
      <c r="L115" s="16" t="inlineStr">
        <is>
          <t>lunes a jueves: 11:00–22:00 · viernes a sábado: 11:00–23:00 · domingo: 11:00–22:00</t>
        </is>
      </c>
      <c r="M115" s="11" t="inlineStr">
        <is>
          <t>—</t>
        </is>
      </c>
      <c r="N115" s="16" t="inlineStr">
        <is>
          <t>—</t>
        </is>
      </c>
      <c r="O115" s="16" t="inlineStr">
        <is>
          <t>no acepta reservas - ir y hacer la fila</t>
        </is>
      </c>
      <c r="P115" s="16" t="inlineStr">
        <is>
          <t>Houston St (1), W 4 St (A,C,E,B,D,F,M)</t>
        </is>
      </c>
      <c r="Q115" s="16" t="inlineStr">
        <is>
          <t>El counter de George Motz, EL historiador de la hamburguesa americana: smashburger con cebolla al estilo Oklahoma y griddle a la vista. Es la hamburguesa clasica llevada a doctrina — MUST de JP.</t>
        </is>
      </c>
      <c r="R115" s="16" t="inlineStr">
        <is>
          <t>155 W Houston St</t>
        </is>
      </c>
      <c r="S115" s="17" t="inlineStr">
        <is>
          <t>Día 4 · mar 1/9</t>
        </is>
      </c>
      <c r="T115" s="18" t="inlineStr">
        <is>
          <t>Abrir ↗</t>
        </is>
      </c>
      <c r="U115" s="19" t="inlineStr">
        <is>
          <t>lista google</t>
        </is>
      </c>
      <c r="V115" s="20" t="inlineStr">
        <is>
          <t>SÍ</t>
        </is>
      </c>
    </row>
    <row r="116" ht="46" customHeight="1">
      <c r="A116" s="9" t="inlineStr">
        <is>
          <t>Shake Shack (Columbus Circle / Theater District)</t>
        </is>
      </c>
      <c r="B116" s="10" t="inlineStr">
        <is>
          <t>Hamburguesería</t>
        </is>
      </c>
      <c r="C116" s="11" t="inlineStr">
        <is>
          <t>Comida</t>
        </is>
      </c>
      <c r="D116" s="11" t="inlineStr">
        <is>
          <t>Midtown</t>
        </is>
      </c>
      <c r="E116" s="11" t="inlineStr">
        <is>
          <t>Manhattan</t>
        </is>
      </c>
      <c r="F116" s="12" t="n">
        <v>1</v>
      </c>
      <c r="G116" s="12" t="n">
        <v>1</v>
      </c>
      <c r="H116" s="13">
        <f>IF(AND(F116=2,G116=2),"AMBOS",IF(AND(F116=2,G116&lt;2),"solo JP",IF(AND(F116&lt;2,G116=2),"solo Thais","-")))</f>
        <v/>
      </c>
      <c r="I116" s="14" t="n">
        <v>15</v>
      </c>
      <c r="J116" s="15" t="n">
        <v>0.5</v>
      </c>
      <c r="K116" s="13" t="inlineStr">
        <is>
          <t>SÍ</t>
        </is>
      </c>
      <c r="L116" s="16" t="inlineStr">
        <is>
          <t>—</t>
        </is>
      </c>
      <c r="M116" s="11" t="inlineStr">
        <is>
          <t>—</t>
        </is>
      </c>
      <c r="N116" s="16" t="inlineStr">
        <is>
          <t>—</t>
        </is>
      </c>
      <c r="O116" s="16" t="inlineStr">
        <is>
          <t>—</t>
        </is>
      </c>
      <c r="P116" s="16" t="inlineStr">
        <is>
          <t>59 St-Columbus Circle (1,A,B,C,D)</t>
        </is>
      </c>
      <c r="Q116" s="16" t="inlineStr">
        <is>
          <t>El burger de Madison Square Park convertido en cadena. En la lista estaban tres sucursales: esta es la más cómoda.</t>
        </is>
      </c>
      <c r="R116" s="16" t="inlineStr"/>
      <c r="S116" s="16" t="inlineStr">
        <is>
          <t>—</t>
        </is>
      </c>
      <c r="T116" s="18" t="inlineStr">
        <is>
          <t>Abrir ↗</t>
        </is>
      </c>
      <c r="U116" s="19" t="inlineStr">
        <is>
          <t>lista google</t>
        </is>
      </c>
      <c r="V116" s="20" t="inlineStr"/>
    </row>
    <row r="117" ht="46" customHeight="1">
      <c r="A117" s="9" t="inlineStr">
        <is>
          <t>Amorino</t>
        </is>
      </c>
      <c r="B117" s="10" t="inlineStr">
        <is>
          <t>Heladería y dulces</t>
        </is>
      </c>
      <c r="C117" s="11" t="inlineStr">
        <is>
          <t>Comida</t>
        </is>
      </c>
      <c r="D117" s="11" t="inlineStr">
        <is>
          <t>Manhattan</t>
        </is>
      </c>
      <c r="E117" s="11" t="inlineStr">
        <is>
          <t>Manhattan</t>
        </is>
      </c>
      <c r="F117" s="12" t="n">
        <v>1</v>
      </c>
      <c r="G117" s="12" t="n">
        <v>1</v>
      </c>
      <c r="H117" s="13">
        <f>IF(AND(F117=2,G117=2),"AMBOS",IF(AND(F117=2,G117&lt;2),"solo JP",IF(AND(F117&lt;2,G117=2),"solo Thais","-")))</f>
        <v/>
      </c>
      <c r="I117" s="14" t="n">
        <v>10</v>
      </c>
      <c r="J117" s="15" t="n">
        <v>0.3</v>
      </c>
      <c r="K117" s="13" t="inlineStr">
        <is>
          <t>SÍ</t>
        </is>
      </c>
      <c r="L117" s="16" t="inlineStr">
        <is>
          <t>—</t>
        </is>
      </c>
      <c r="M117" s="11" t="inlineStr">
        <is>
          <t>—</t>
        </is>
      </c>
      <c r="N117" s="16" t="inlineStr">
        <is>
          <t>—</t>
        </is>
      </c>
      <c r="O117" s="16" t="inlineStr">
        <is>
          <t>—</t>
        </is>
      </c>
      <c r="P117" s="16" t="inlineStr">
        <is>
          <t>-</t>
        </is>
      </c>
      <c r="Q117" s="16" t="inlineStr">
        <is>
          <t>Gelato servido en forma de flor. Más foto que helado, pero el helado es bueno.</t>
        </is>
      </c>
      <c r="R117" s="16" t="inlineStr"/>
      <c r="S117" s="16" t="inlineStr">
        <is>
          <t>—</t>
        </is>
      </c>
      <c r="T117" s="18" t="inlineStr">
        <is>
          <t>Abrir ↗</t>
        </is>
      </c>
      <c r="U117" s="19" t="inlineStr">
        <is>
          <t>lista google</t>
        </is>
      </c>
      <c r="V117" s="20" t="inlineStr"/>
    </row>
    <row r="118" ht="46" customHeight="1">
      <c r="A118" s="9" t="inlineStr">
        <is>
          <t>Dough Doughnuts</t>
        </is>
      </c>
      <c r="B118" s="10" t="inlineStr">
        <is>
          <t>Heladería y dulces</t>
        </is>
      </c>
      <c r="C118" s="11" t="inlineStr">
        <is>
          <t>Comida</t>
        </is>
      </c>
      <c r="D118" s="11" t="inlineStr">
        <is>
          <t>Midtown</t>
        </is>
      </c>
      <c r="E118" s="11" t="inlineStr">
        <is>
          <t>Manhattan</t>
        </is>
      </c>
      <c r="F118" s="12" t="n">
        <v>1</v>
      </c>
      <c r="G118" s="12" t="n">
        <v>1</v>
      </c>
      <c r="H118" s="13">
        <f>IF(AND(F118=2,G118=2),"AMBOS",IF(AND(F118=2,G118&lt;2),"solo JP",IF(AND(F118&lt;2,G118=2),"solo Thais","-")))</f>
        <v/>
      </c>
      <c r="I118" s="14" t="n">
        <v>8</v>
      </c>
      <c r="J118" s="15" t="n">
        <v>0.3</v>
      </c>
      <c r="K118" s="13" t="inlineStr">
        <is>
          <t>no</t>
        </is>
      </c>
      <c r="L118" s="16" t="inlineStr">
        <is>
          <t>—</t>
        </is>
      </c>
      <c r="M118" s="11" t="inlineStr">
        <is>
          <t>—</t>
        </is>
      </c>
      <c r="N118" s="16" t="inlineStr">
        <is>
          <t>—</t>
        </is>
      </c>
      <c r="O118" s="16" t="inlineStr">
        <is>
          <t>—</t>
        </is>
      </c>
      <c r="P118" s="16" t="inlineStr">
        <is>
          <t>47-50 Sts-Rockefeller Ctr (B,D,F,M)</t>
        </is>
      </c>
      <c r="Q118" s="16" t="inlineStr">
        <is>
          <t>Donas grandes y glaseadas (hibisco, dulce de leche). Buen desvío de cinco minutos.</t>
        </is>
      </c>
      <c r="R118" s="16" t="inlineStr"/>
      <c r="S118" s="16" t="inlineStr">
        <is>
          <t>—</t>
        </is>
      </c>
      <c r="T118" s="18" t="inlineStr">
        <is>
          <t>Abrir ↗</t>
        </is>
      </c>
      <c r="U118" s="19" t="inlineStr">
        <is>
          <t>lista google</t>
        </is>
      </c>
      <c r="V118" s="20" t="inlineStr"/>
    </row>
    <row r="119" ht="46" customHeight="1">
      <c r="A119" s="9" t="inlineStr">
        <is>
          <t>Krispy Kreme Times Square</t>
        </is>
      </c>
      <c r="B119" s="10" t="inlineStr">
        <is>
          <t>Heladería y dulces</t>
        </is>
      </c>
      <c r="C119" s="11" t="inlineStr">
        <is>
          <t>Comida</t>
        </is>
      </c>
      <c r="D119" s="11" t="inlineStr">
        <is>
          <t>Times Square</t>
        </is>
      </c>
      <c r="E119" s="11" t="inlineStr">
        <is>
          <t>Manhattan</t>
        </is>
      </c>
      <c r="F119" s="12" t="n">
        <v>1</v>
      </c>
      <c r="G119" s="12" t="n">
        <v>1</v>
      </c>
      <c r="H119" s="13">
        <f>IF(AND(F119=2,G119=2),"AMBOS",IF(AND(F119=2,G119&lt;2),"solo JP",IF(AND(F119&lt;2,G119=2),"solo Thais","-")))</f>
        <v/>
      </c>
      <c r="I119" s="14" t="n">
        <v>8</v>
      </c>
      <c r="J119" s="15" t="n">
        <v>0.4</v>
      </c>
      <c r="K119" s="13" t="inlineStr">
        <is>
          <t>SÍ</t>
        </is>
      </c>
      <c r="L119" s="16" t="inlineStr">
        <is>
          <t>—</t>
        </is>
      </c>
      <c r="M119" s="11" t="inlineStr">
        <is>
          <t>—</t>
        </is>
      </c>
      <c r="N119" s="16" t="inlineStr">
        <is>
          <t>—</t>
        </is>
      </c>
      <c r="O119" s="16" t="inlineStr">
        <is>
          <t>—</t>
        </is>
      </c>
      <c r="P119" s="16" t="inlineStr">
        <is>
          <t>42 St-Times Sq</t>
        </is>
      </c>
      <c r="Q119" s="16" t="inlineStr">
        <is>
          <t>El flagship con la línea de glaseado a la vista y el cartel gigante. Espectáculo, no gastronomía.</t>
        </is>
      </c>
      <c r="R119" s="16" t="inlineStr">
        <is>
          <t>1601 Broadway</t>
        </is>
      </c>
      <c r="S119" s="16" t="inlineStr">
        <is>
          <t>—</t>
        </is>
      </c>
      <c r="T119" s="18" t="inlineStr">
        <is>
          <t>Abrir ↗</t>
        </is>
      </c>
      <c r="U119" s="19" t="inlineStr">
        <is>
          <t>lista google</t>
        </is>
      </c>
      <c r="V119" s="20" t="inlineStr"/>
    </row>
    <row r="120" ht="46" customHeight="1">
      <c r="A120" s="9" t="inlineStr">
        <is>
          <t>Levain Bakery</t>
        </is>
      </c>
      <c r="B120" s="10" t="inlineStr">
        <is>
          <t>Heladería y dulces</t>
        </is>
      </c>
      <c r="C120" s="11" t="inlineStr">
        <is>
          <t>Comida</t>
        </is>
      </c>
      <c r="D120" s="11" t="inlineStr">
        <is>
          <t>Upper West Side</t>
        </is>
      </c>
      <c r="E120" s="11" t="inlineStr">
        <is>
          <t>Manhattan</t>
        </is>
      </c>
      <c r="F120" s="12" t="n">
        <v>1</v>
      </c>
      <c r="G120" s="12" t="n">
        <v>1</v>
      </c>
      <c r="H120" s="13">
        <f>IF(AND(F120=2,G120=2),"AMBOS",IF(AND(F120=2,G120&lt;2),"solo JP",IF(AND(F120&lt;2,G120=2),"solo Thais","-")))</f>
        <v/>
      </c>
      <c r="I120" s="14" t="n">
        <v>6</v>
      </c>
      <c r="J120" s="15" t="n">
        <v>0.3</v>
      </c>
      <c r="K120" s="13" t="inlineStr">
        <is>
          <t>no</t>
        </is>
      </c>
      <c r="L120" s="16" t="inlineStr">
        <is>
          <t>—</t>
        </is>
      </c>
      <c r="M120" s="11" t="inlineStr">
        <is>
          <t>—</t>
        </is>
      </c>
      <c r="N120" s="16" t="inlineStr">
        <is>
          <t>—</t>
        </is>
      </c>
      <c r="O120" s="16" t="inlineStr">
        <is>
          <t>—</t>
        </is>
      </c>
      <c r="P120" s="16" t="inlineStr">
        <is>
          <t>79 St (1)</t>
        </is>
      </c>
      <c r="Q120" s="16" t="inlineStr">
        <is>
          <t>La cookie de 170 gramos que hizo cola durante veinte anos. Cruda por dentro a proposito.</t>
        </is>
      </c>
      <c r="R120" s="16" t="inlineStr">
        <is>
          <t>351 Amsterdam Ave</t>
        </is>
      </c>
      <c r="S120" s="16" t="inlineStr">
        <is>
          <t>—</t>
        </is>
      </c>
      <c r="T120" s="18" t="inlineStr">
        <is>
          <t>Abrir ↗</t>
        </is>
      </c>
      <c r="U120" s="21" t="inlineStr">
        <is>
          <t>otros</t>
        </is>
      </c>
      <c r="V120" s="20" t="inlineStr"/>
    </row>
    <row r="121" ht="46" customHeight="1">
      <c r="A121" s="9" t="inlineStr">
        <is>
          <t>Arthur Avenue Retail Market</t>
        </is>
      </c>
      <c r="B121" s="10" t="inlineStr">
        <is>
          <t>Mercado y food hall</t>
        </is>
      </c>
      <c r="C121" s="11" t="inlineStr">
        <is>
          <t>Comida</t>
        </is>
      </c>
      <c r="D121" s="11" t="inlineStr">
        <is>
          <t>Belmont</t>
        </is>
      </c>
      <c r="E121" s="11" t="inlineStr">
        <is>
          <t>Bronx</t>
        </is>
      </c>
      <c r="F121" s="12" t="n">
        <v>1</v>
      </c>
      <c r="G121" s="12" t="n">
        <v>1</v>
      </c>
      <c r="H121" s="13">
        <f>IF(AND(F121=2,G121=2),"AMBOS",IF(AND(F121=2,G121&lt;2),"solo JP",IF(AND(F121&lt;2,G121=2),"solo Thais","-")))</f>
        <v/>
      </c>
      <c r="I121" s="14" t="n">
        <v>20</v>
      </c>
      <c r="J121" s="15" t="n">
        <v>1.5</v>
      </c>
      <c r="K121" s="13" t="inlineStr">
        <is>
          <t>no</t>
        </is>
      </c>
      <c r="L121" s="16" t="inlineStr">
        <is>
          <t>—</t>
        </is>
      </c>
      <c r="M121" s="11" t="inlineStr">
        <is>
          <t>—</t>
        </is>
      </c>
      <c r="N121" s="16" t="inlineStr">
        <is>
          <t>—</t>
        </is>
      </c>
      <c r="O121" s="16" t="inlineStr">
        <is>
          <t>—</t>
        </is>
      </c>
      <c r="P121" s="16" t="inlineStr">
        <is>
          <t>Fordham Rd (B,D,4)</t>
        </is>
      </c>
      <c r="Q121" s="16" t="inlineStr">
        <is>
          <t>Mercado techado de 1940 que LaGuardia construyo para sacar los carritos de la calle. Mike's Deli adentro: eggplant parm y arancini.</t>
        </is>
      </c>
      <c r="R121" s="16" t="inlineStr">
        <is>
          <t>2344 Arthur Ave, Bronx</t>
        </is>
      </c>
      <c r="S121" s="16" t="inlineStr">
        <is>
          <t>—</t>
        </is>
      </c>
      <c r="T121" s="18" t="inlineStr">
        <is>
          <t>Abrir ↗</t>
        </is>
      </c>
      <c r="U121" s="19" t="inlineStr">
        <is>
          <t>lista google</t>
        </is>
      </c>
      <c r="V121" s="20" t="inlineStr"/>
    </row>
    <row r="122" ht="46" customHeight="1">
      <c r="A122" s="9" t="inlineStr">
        <is>
          <t>Chelsea Market</t>
        </is>
      </c>
      <c r="B122" s="10" t="inlineStr">
        <is>
          <t>Mercado y food hall</t>
        </is>
      </c>
      <c r="C122" s="11" t="inlineStr">
        <is>
          <t>Comida</t>
        </is>
      </c>
      <c r="D122" s="11" t="inlineStr">
        <is>
          <t>Chelsea</t>
        </is>
      </c>
      <c r="E122" s="11" t="inlineStr">
        <is>
          <t>Manhattan</t>
        </is>
      </c>
      <c r="F122" s="12" t="n">
        <v>2</v>
      </c>
      <c r="G122" s="12" t="n">
        <v>2</v>
      </c>
      <c r="H122" s="13">
        <f>IF(AND(F122=2,G122=2),"AMBOS",IF(AND(F122=2,G122&lt;2),"solo JP",IF(AND(F122&lt;2,G122=2),"solo Thais","-")))</f>
        <v/>
      </c>
      <c r="I122" s="14" t="n">
        <v>22</v>
      </c>
      <c r="J122" s="15" t="n">
        <v>1.25</v>
      </c>
      <c r="K122" s="13" t="inlineStr">
        <is>
          <t>SÍ</t>
        </is>
      </c>
      <c r="L122" s="16" t="inlineStr">
        <is>
          <t>—</t>
        </is>
      </c>
      <c r="M122" s="11" t="inlineStr">
        <is>
          <t>—</t>
        </is>
      </c>
      <c r="N122" s="16" t="inlineStr">
        <is>
          <t>—</t>
        </is>
      </c>
      <c r="O122" s="16" t="inlineStr">
        <is>
          <t>—</t>
        </is>
      </c>
      <c r="P122" s="16" t="inlineStr">
        <is>
          <t>14 St-8 Av (A,C,E,L)</t>
        </is>
      </c>
      <c r="Q122" s="16" t="inlineStr">
        <is>
          <t>Vale, pero SOLO fuera de hora pico: el almuerzo de fin de semana es insoportable. Ir martes o miercoles 9-10h o 14:30-16h. Los Tacos No.1 y Very Fresh Noodles si valen.</t>
        </is>
      </c>
      <c r="R122" s="16" t="inlineStr">
        <is>
          <t>75 9th Ave</t>
        </is>
      </c>
      <c r="S122" s="17" t="inlineStr">
        <is>
          <t>Día 7 · vie 4/9</t>
        </is>
      </c>
      <c r="T122" s="18" t="inlineStr">
        <is>
          <t>Abrir ↗</t>
        </is>
      </c>
      <c r="U122" s="19" t="inlineStr">
        <is>
          <t>lista google</t>
        </is>
      </c>
      <c r="V122" s="20" t="inlineStr">
        <is>
          <t>SÍ</t>
        </is>
      </c>
    </row>
    <row r="123" ht="46" customHeight="1">
      <c r="A123" s="9" t="inlineStr">
        <is>
          <t>DeKalb Market Hall</t>
        </is>
      </c>
      <c r="B123" s="10" t="inlineStr">
        <is>
          <t>Mercado y food hall</t>
        </is>
      </c>
      <c r="C123" s="11" t="inlineStr">
        <is>
          <t>Comida</t>
        </is>
      </c>
      <c r="D123" s="11" t="inlineStr">
        <is>
          <t>Downtown Brooklyn</t>
        </is>
      </c>
      <c r="E123" s="11" t="inlineStr">
        <is>
          <t>Brooklyn</t>
        </is>
      </c>
      <c r="F123" s="12" t="n">
        <v>1</v>
      </c>
      <c r="G123" s="12" t="n">
        <v>1</v>
      </c>
      <c r="H123" s="13">
        <f>IF(AND(F123=2,G123=2),"AMBOS",IF(AND(F123=2,G123&lt;2),"solo JP",IF(AND(F123&lt;2,G123=2),"solo Thais","-")))</f>
        <v/>
      </c>
      <c r="I123" s="14" t="n">
        <v>20</v>
      </c>
      <c r="J123" s="15" t="n">
        <v>1</v>
      </c>
      <c r="K123" s="13" t="inlineStr">
        <is>
          <t>no</t>
        </is>
      </c>
      <c r="L123" s="16" t="inlineStr">
        <is>
          <t>—</t>
        </is>
      </c>
      <c r="M123" s="11" t="inlineStr">
        <is>
          <t>—</t>
        </is>
      </c>
      <c r="N123" s="16" t="inlineStr">
        <is>
          <t>—</t>
        </is>
      </c>
      <c r="O123" s="16" t="inlineStr">
        <is>
          <t>—</t>
        </is>
      </c>
      <c r="P123" s="16" t="inlineStr">
        <is>
          <t>DeKalb Av (B,Q,R), Jay St-MetroTech</t>
        </is>
      </c>
      <c r="Q123" s="16" t="inlineStr">
        <is>
          <t>El food hall mas honesto de Brooklyn. Tiene una sucursal de Katz's adentro, sin la cola de Houston Street.</t>
        </is>
      </c>
      <c r="R123" s="16" t="inlineStr">
        <is>
          <t>445 Albee Square W, Brooklyn</t>
        </is>
      </c>
      <c r="S123" s="16" t="inlineStr">
        <is>
          <t>—</t>
        </is>
      </c>
      <c r="T123" s="18" t="inlineStr">
        <is>
          <t>Abrir ↗</t>
        </is>
      </c>
      <c r="U123" s="19" t="inlineStr">
        <is>
          <t>lista google</t>
        </is>
      </c>
      <c r="V123" s="20" t="inlineStr"/>
    </row>
    <row r="124" ht="46" customHeight="1">
      <c r="A124" s="9" t="inlineStr">
        <is>
          <t>Eataly Flatiron</t>
        </is>
      </c>
      <c r="B124" s="10" t="inlineStr">
        <is>
          <t>Mercado y food hall</t>
        </is>
      </c>
      <c r="C124" s="11" t="inlineStr">
        <is>
          <t>Comida</t>
        </is>
      </c>
      <c r="D124" s="11" t="inlineStr">
        <is>
          <t>Flatiron</t>
        </is>
      </c>
      <c r="E124" s="11" t="inlineStr">
        <is>
          <t>Manhattan</t>
        </is>
      </c>
      <c r="F124" s="12" t="n">
        <v>1</v>
      </c>
      <c r="G124" s="12" t="n">
        <v>1</v>
      </c>
      <c r="H124" s="13">
        <f>IF(AND(F124=2,G124=2),"AMBOS",IF(AND(F124=2,G124&lt;2),"solo JP",IF(AND(F124&lt;2,G124=2),"solo Thais","-")))</f>
        <v/>
      </c>
      <c r="I124" s="14" t="n">
        <v>30</v>
      </c>
      <c r="J124" s="15" t="n">
        <v>1.25</v>
      </c>
      <c r="K124" s="13" t="inlineStr">
        <is>
          <t>SÍ</t>
        </is>
      </c>
      <c r="L124" s="16" t="inlineStr">
        <is>
          <t>—</t>
        </is>
      </c>
      <c r="M124" s="11" t="inlineStr">
        <is>
          <t>—</t>
        </is>
      </c>
      <c r="N124" s="16" t="inlineStr">
        <is>
          <t>—</t>
        </is>
      </c>
      <c r="O124" s="16" t="inlineStr">
        <is>
          <t>—</t>
        </is>
      </c>
      <c r="P124" s="16" t="inlineStr">
        <is>
          <t>23 St (R,W,F,M)</t>
        </is>
      </c>
      <c r="Q124" s="16" t="inlineStr">
        <is>
          <t>Mercado italiano gigante: pasta fresca, mostradores de quesos y varias barras para comer parado.</t>
        </is>
      </c>
      <c r="R124" s="16" t="inlineStr">
        <is>
          <t>200 5th Ave</t>
        </is>
      </c>
      <c r="S124" s="16" t="inlineStr">
        <is>
          <t>—</t>
        </is>
      </c>
      <c r="T124" s="18" t="inlineStr">
        <is>
          <t>Abrir ↗</t>
        </is>
      </c>
      <c r="U124" s="19" t="inlineStr">
        <is>
          <t>lista google</t>
        </is>
      </c>
      <c r="V124" s="20" t="inlineStr"/>
    </row>
    <row r="125" ht="46" customHeight="1">
      <c r="A125" s="9" t="inlineStr">
        <is>
          <t>Essex Market</t>
        </is>
      </c>
      <c r="B125" s="10" t="inlineStr">
        <is>
          <t>Mercado y food hall</t>
        </is>
      </c>
      <c r="C125" s="11" t="inlineStr">
        <is>
          <t>Comida</t>
        </is>
      </c>
      <c r="D125" s="11" t="inlineStr">
        <is>
          <t>Lower East Side</t>
        </is>
      </c>
      <c r="E125" s="11" t="inlineStr">
        <is>
          <t>Manhattan</t>
        </is>
      </c>
      <c r="F125" s="12" t="n">
        <v>2</v>
      </c>
      <c r="G125" s="12" t="n">
        <v>2</v>
      </c>
      <c r="H125" s="13">
        <f>IF(AND(F125=2,G125=2),"AMBOS",IF(AND(F125=2,G125&lt;2),"solo JP",IF(AND(F125&lt;2,G125=2),"solo Thais","-")))</f>
        <v/>
      </c>
      <c r="I125" s="14" t="n">
        <v>20</v>
      </c>
      <c r="J125" s="15" t="n">
        <v>1</v>
      </c>
      <c r="K125" s="13" t="inlineStr">
        <is>
          <t>no</t>
        </is>
      </c>
      <c r="L125" s="16" t="inlineStr">
        <is>
          <t>lunes a miércoles: 08:00–20:00 · jueves a sábado: 08:00–21:00 · domingo: 10:00–18:00</t>
        </is>
      </c>
      <c r="M125" s="11" t="inlineStr">
        <is>
          <t>—</t>
        </is>
      </c>
      <c r="N125" s="16" t="inlineStr">
        <is>
          <t>—</t>
        </is>
      </c>
      <c r="O125" s="16" t="inlineStr">
        <is>
          <t>—</t>
        </is>
      </c>
      <c r="P125" s="16" t="inlineStr">
        <is>
          <t>Essex St (J,M,Z), Delancey St (F)</t>
        </is>
      </c>
      <c r="Q125" s="16" t="inlineStr">
        <is>
          <t>Mercado municipal desde 1940 en edificio nuevo. Sigue teniendo carniceros, pescaderos y verduleros de verdad, no solo puestos de comida para turistas.</t>
        </is>
      </c>
      <c r="R125" s="16" t="inlineStr">
        <is>
          <t>88 Essex St</t>
        </is>
      </c>
      <c r="S125" s="17" t="inlineStr">
        <is>
          <t>Día 2 · dom 30/8</t>
        </is>
      </c>
      <c r="T125" s="18" t="inlineStr">
        <is>
          <t>Abrir ↗</t>
        </is>
      </c>
      <c r="U125" s="19" t="inlineStr">
        <is>
          <t>lista google</t>
        </is>
      </c>
      <c r="V125" s="20" t="inlineStr">
        <is>
          <t>SÍ</t>
        </is>
      </c>
    </row>
    <row r="126" ht="46" customHeight="1">
      <c r="A126" s="9" t="inlineStr">
        <is>
          <t>Gansevoort Market</t>
        </is>
      </c>
      <c r="B126" s="10" t="inlineStr">
        <is>
          <t>Mercado y food hall</t>
        </is>
      </c>
      <c r="C126" s="11" t="inlineStr">
        <is>
          <t>Comida</t>
        </is>
      </c>
      <c r="D126" s="11" t="inlineStr">
        <is>
          <t>Meatpacking</t>
        </is>
      </c>
      <c r="E126" s="11" t="inlineStr">
        <is>
          <t>Manhattan</t>
        </is>
      </c>
      <c r="F126" s="12" t="n">
        <v>1</v>
      </c>
      <c r="G126" s="12" t="n">
        <v>1</v>
      </c>
      <c r="H126" s="13">
        <f>IF(AND(F126=2,G126=2),"AMBOS",IF(AND(F126=2,G126&lt;2),"solo JP",IF(AND(F126&lt;2,G126=2),"solo Thais","-")))</f>
        <v/>
      </c>
      <c r="I126" s="14" t="n">
        <v>15</v>
      </c>
      <c r="J126" s="15" t="n">
        <v>0.8</v>
      </c>
      <c r="K126" s="13" t="inlineStr">
        <is>
          <t>no</t>
        </is>
      </c>
      <c r="L126" s="16" t="inlineStr">
        <is>
          <t>—</t>
        </is>
      </c>
      <c r="M126" s="11" t="inlineStr">
        <is>
          <t>—</t>
        </is>
      </c>
      <c r="N126" s="16" t="inlineStr">
        <is>
          <t>—</t>
        </is>
      </c>
      <c r="O126" s="16" t="inlineStr">
        <is>
          <t>—</t>
        </is>
      </c>
      <c r="P126" s="16" t="inlineStr">
        <is>
          <t>14 St (A,C,E), 8 Av (L)</t>
        </is>
      </c>
      <c r="Q126" s="16" t="inlineStr">
        <is>
          <t>Food hall en un galpon del Meatpacking, mucho menos turistico que Chelsea Market y a cuatro cuadras del High Line.</t>
        </is>
      </c>
      <c r="R126" s="16" t="inlineStr">
        <is>
          <t>353 W 14th St</t>
        </is>
      </c>
      <c r="S126" s="16" t="inlineStr">
        <is>
          <t>—</t>
        </is>
      </c>
      <c r="T126" s="18" t="inlineStr">
        <is>
          <t>Abrir ↗</t>
        </is>
      </c>
      <c r="U126" s="21" t="inlineStr">
        <is>
          <t>otros</t>
        </is>
      </c>
      <c r="V126" s="20" t="inlineStr"/>
    </row>
    <row r="127" ht="46" customHeight="1">
      <c r="A127" s="9" t="inlineStr">
        <is>
          <t>Morningside Park Farmers Market</t>
        </is>
      </c>
      <c r="B127" s="10" t="inlineStr">
        <is>
          <t>Mercado y food hall</t>
        </is>
      </c>
      <c r="C127" s="11" t="inlineStr">
        <is>
          <t>Comida</t>
        </is>
      </c>
      <c r="D127" s="11" t="inlineStr">
        <is>
          <t>Morningside Heights</t>
        </is>
      </c>
      <c r="E127" s="11" t="inlineStr">
        <is>
          <t>Manhattan</t>
        </is>
      </c>
      <c r="F127" s="12" t="n">
        <v>1</v>
      </c>
      <c r="G127" s="12" t="n">
        <v>1</v>
      </c>
      <c r="H127" s="13">
        <f>IF(AND(F127=2,G127=2),"AMBOS",IF(AND(F127=2,G127&lt;2),"solo JP",IF(AND(F127&lt;2,G127=2),"solo Thais","-")))</f>
        <v/>
      </c>
      <c r="I127" s="14" t="n">
        <v>0</v>
      </c>
      <c r="J127" s="15" t="n">
        <v>0.5</v>
      </c>
      <c r="K127" s="13" t="inlineStr">
        <is>
          <t>no</t>
        </is>
      </c>
      <c r="L127" s="16" t="inlineStr">
        <is>
          <t>—</t>
        </is>
      </c>
      <c r="M127" s="11" t="inlineStr">
        <is>
          <t>—</t>
        </is>
      </c>
      <c r="N127" s="16" t="inlineStr">
        <is>
          <t>—</t>
        </is>
      </c>
      <c r="O127" s="16" t="inlineStr">
        <is>
          <t>—</t>
        </is>
      </c>
      <c r="P127" s="16" t="inlineStr">
        <is>
          <t>116 St-Columbia University (1)</t>
        </is>
      </c>
      <c r="Q127" s="16" t="inlineStr">
        <is>
          <t>Feria de productores del barrio de Columbia. Solo algunos días: verificar antes de ir.</t>
        </is>
      </c>
      <c r="R127" s="16" t="inlineStr"/>
      <c r="S127" s="16" t="inlineStr">
        <is>
          <t>—</t>
        </is>
      </c>
      <c r="T127" s="18" t="inlineStr">
        <is>
          <t>Abrir ↗</t>
        </is>
      </c>
      <c r="U127" s="19" t="inlineStr">
        <is>
          <t>lista google</t>
        </is>
      </c>
      <c r="V127" s="20" t="inlineStr"/>
    </row>
    <row r="128" ht="46" customHeight="1">
      <c r="A128" s="9" t="inlineStr">
        <is>
          <t>New World Mall Food Court</t>
        </is>
      </c>
      <c r="B128" s="10" t="inlineStr">
        <is>
          <t>Mercado y food hall</t>
        </is>
      </c>
      <c r="C128" s="11" t="inlineStr">
        <is>
          <t>Comida</t>
        </is>
      </c>
      <c r="D128" s="11" t="inlineStr">
        <is>
          <t>Flushing</t>
        </is>
      </c>
      <c r="E128" s="11" t="inlineStr">
        <is>
          <t>Queens</t>
        </is>
      </c>
      <c r="F128" s="12" t="n">
        <v>0</v>
      </c>
      <c r="G128" s="12" t="n">
        <v>0</v>
      </c>
      <c r="H128" s="13">
        <f>IF(AND(F128=2,G128=2),"AMBOS",IF(AND(F128=2,G128&lt;2),"solo JP",IF(AND(F128&lt;2,G128=2),"solo Thais","-")))</f>
        <v/>
      </c>
      <c r="I128" s="14" t="n">
        <v>15</v>
      </c>
      <c r="J128" s="15" t="n">
        <v>1.5</v>
      </c>
      <c r="K128" s="13" t="inlineStr">
        <is>
          <t>no</t>
        </is>
      </c>
      <c r="L128" s="16" t="inlineStr">
        <is>
          <t>—</t>
        </is>
      </c>
      <c r="M128" s="11" t="inlineStr">
        <is>
          <t>—</t>
        </is>
      </c>
      <c r="N128" s="16" t="inlineStr">
        <is>
          <t>—</t>
        </is>
      </c>
      <c r="O128" s="16" t="inlineStr">
        <is>
          <t>—</t>
        </is>
      </c>
      <c r="P128" s="16" t="inlineStr">
        <is>
          <t>Main St (7)</t>
        </is>
      </c>
      <c r="Q128" s="16" t="inlineStr">
        <is>
          <t>Food court subterraneo con decenas de puestos regionales chinos. Cero concesiones al paladar occidental: ahi esta la gracia.</t>
        </is>
      </c>
      <c r="R128" s="16" t="inlineStr">
        <is>
          <t>136-20 Roosevelt Ave, Flushing</t>
        </is>
      </c>
      <c r="S128" s="16" t="inlineStr">
        <is>
          <t>—</t>
        </is>
      </c>
      <c r="T128" s="18" t="inlineStr">
        <is>
          <t>Abrir ↗</t>
        </is>
      </c>
      <c r="U128" s="21" t="inlineStr">
        <is>
          <t>otros</t>
        </is>
      </c>
      <c r="V128" s="20" t="inlineStr"/>
    </row>
    <row r="129" ht="46" customHeight="1">
      <c r="A129" s="9" t="inlineStr">
        <is>
          <t>Smorgasburg Williamsburg</t>
        </is>
      </c>
      <c r="B129" s="10" t="inlineStr">
        <is>
          <t>Mercado y food hall</t>
        </is>
      </c>
      <c r="C129" s="11" t="inlineStr">
        <is>
          <t>Comida</t>
        </is>
      </c>
      <c r="D129" s="11" t="inlineStr">
        <is>
          <t>Williamsburg</t>
        </is>
      </c>
      <c r="E129" s="11" t="inlineStr">
        <is>
          <t>Brooklyn</t>
        </is>
      </c>
      <c r="F129" s="12" t="n">
        <v>1</v>
      </c>
      <c r="G129" s="12" t="n">
        <v>1</v>
      </c>
      <c r="H129" s="13">
        <f>IF(AND(F129=2,G129=2),"AMBOS",IF(AND(F129=2,G129&lt;2),"solo JP",IF(AND(F129&lt;2,G129=2),"solo Thais","-")))</f>
        <v/>
      </c>
      <c r="I129" s="14" t="n">
        <v>22</v>
      </c>
      <c r="J129" s="15" t="n">
        <v>1.5</v>
      </c>
      <c r="K129" s="13" t="inlineStr">
        <is>
          <t>no</t>
        </is>
      </c>
      <c r="L129" s="16" t="inlineStr">
        <is>
          <t>—</t>
        </is>
      </c>
      <c r="M129" s="11" t="inlineStr">
        <is>
          <t>—</t>
        </is>
      </c>
      <c r="N129" s="16" t="inlineStr">
        <is>
          <t>—</t>
        </is>
      </c>
      <c r="O129" s="16" t="inlineStr">
        <is>
          <t>—</t>
        </is>
      </c>
      <c r="P129" s="16" t="inlineStr">
        <is>
          <t>Bedford Av (L)</t>
        </is>
      </c>
      <c r="Q129" s="16" t="inlineStr">
        <is>
          <t>74 puestos esta temporada, 22 nuevos. Sirve para picar liviano y llegar con hambre a Peter Luger: porciones chicas de muchos puestos en vez de un plato.</t>
        </is>
      </c>
      <c r="R129" s="16" t="inlineStr">
        <is>
          <t>Marsha P. Johnson State Park, Kent Ave, Brooklyn</t>
        </is>
      </c>
      <c r="S129" s="16" t="inlineStr">
        <is>
          <t>—</t>
        </is>
      </c>
      <c r="T129" s="18" t="inlineStr">
        <is>
          <t>Abrir ↗</t>
        </is>
      </c>
      <c r="U129" s="21" t="inlineStr">
        <is>
          <t>otros</t>
        </is>
      </c>
      <c r="V129" s="20" t="inlineStr"/>
    </row>
    <row r="130" ht="46" customHeight="1">
      <c r="A130" s="9" t="inlineStr">
        <is>
          <t>Time Out Market</t>
        </is>
      </c>
      <c r="B130" s="10" t="inlineStr">
        <is>
          <t>Mercado y food hall</t>
        </is>
      </c>
      <c r="C130" s="11" t="inlineStr">
        <is>
          <t>Comida</t>
        </is>
      </c>
      <c r="D130" s="11" t="inlineStr">
        <is>
          <t>DUMBO</t>
        </is>
      </c>
      <c r="E130" s="11" t="inlineStr">
        <is>
          <t>Brooklyn</t>
        </is>
      </c>
      <c r="F130" s="12" t="n">
        <v>1</v>
      </c>
      <c r="G130" s="12" t="n">
        <v>1</v>
      </c>
      <c r="H130" s="13">
        <f>IF(AND(F130=2,G130=2),"AMBOS",IF(AND(F130=2,G130&lt;2),"solo JP",IF(AND(F130&lt;2,G130=2),"solo Thais","-")))</f>
        <v/>
      </c>
      <c r="I130" s="14" t="n">
        <v>25</v>
      </c>
      <c r="J130" s="15" t="n">
        <v>1.25</v>
      </c>
      <c r="K130" s="13" t="inlineStr">
        <is>
          <t>SÍ</t>
        </is>
      </c>
      <c r="L130" s="16" t="inlineStr">
        <is>
          <t>—</t>
        </is>
      </c>
      <c r="M130" s="11" t="inlineStr">
        <is>
          <t>—</t>
        </is>
      </c>
      <c r="N130" s="16" t="inlineStr">
        <is>
          <t>—</t>
        </is>
      </c>
      <c r="O130" s="16" t="inlineStr">
        <is>
          <t>—</t>
        </is>
      </c>
      <c r="P130" s="16" t="inlineStr">
        <is>
          <t>York St (F), High St (A,C)</t>
        </is>
      </c>
      <c r="Q130" s="16" t="inlineStr">
        <is>
          <t>Food hall curado con terraza que da al Brooklyn Bridge. Es turistico y esta bien: la terraza al atardecer justifica la parada.</t>
        </is>
      </c>
      <c r="R130" s="16" t="inlineStr">
        <is>
          <t>55 Water St, Brooklyn</t>
        </is>
      </c>
      <c r="S130" s="16" t="inlineStr">
        <is>
          <t>—</t>
        </is>
      </c>
      <c r="T130" s="18" t="inlineStr">
        <is>
          <t>Abrir ↗</t>
        </is>
      </c>
      <c r="U130" s="19" t="inlineStr">
        <is>
          <t>lista google</t>
        </is>
      </c>
      <c r="V130" s="20" t="inlineStr"/>
    </row>
    <row r="131" ht="46" customHeight="1">
      <c r="A131" s="9" t="inlineStr">
        <is>
          <t>Zabar's</t>
        </is>
      </c>
      <c r="B131" s="10" t="inlineStr">
        <is>
          <t>Mercado y food hall</t>
        </is>
      </c>
      <c r="C131" s="11" t="inlineStr">
        <is>
          <t>Comida</t>
        </is>
      </c>
      <c r="D131" s="11" t="inlineStr">
        <is>
          <t>Upper West Side</t>
        </is>
      </c>
      <c r="E131" s="11" t="inlineStr">
        <is>
          <t>Manhattan</t>
        </is>
      </c>
      <c r="F131" s="12" t="n">
        <v>1</v>
      </c>
      <c r="G131" s="12" t="n">
        <v>1</v>
      </c>
      <c r="H131" s="13">
        <f>IF(AND(F131=2,G131=2),"AMBOS",IF(AND(F131=2,G131&lt;2),"solo JP",IF(AND(F131&lt;2,G131=2),"solo Thais","-")))</f>
        <v/>
      </c>
      <c r="I131" s="14" t="n">
        <v>15</v>
      </c>
      <c r="J131" s="15" t="n">
        <v>0.75</v>
      </c>
      <c r="K131" s="13" t="inlineStr">
        <is>
          <t>no</t>
        </is>
      </c>
      <c r="L131" s="16" t="inlineStr">
        <is>
          <t>—</t>
        </is>
      </c>
      <c r="M131" s="11" t="inlineStr">
        <is>
          <t>—</t>
        </is>
      </c>
      <c r="N131" s="16" t="inlineStr">
        <is>
          <t>—</t>
        </is>
      </c>
      <c r="O131" s="16" t="inlineStr">
        <is>
          <t>—</t>
        </is>
      </c>
      <c r="P131" s="16" t="inlineStr">
        <is>
          <t>79 St (1)</t>
        </is>
      </c>
      <c r="Q131" s="16" t="inlineStr">
        <is>
          <t>La institución del Upper West Side desde 1934: quesos, ahumados y un café arriba. A pasos de The Beacon.</t>
        </is>
      </c>
      <c r="R131" s="16" t="inlineStr">
        <is>
          <t>2245 Broadway</t>
        </is>
      </c>
      <c r="S131" s="16" t="inlineStr">
        <is>
          <t>—</t>
        </is>
      </c>
      <c r="T131" s="18" t="inlineStr">
        <is>
          <t>Abrir ↗</t>
        </is>
      </c>
      <c r="U131" s="19" t="inlineStr">
        <is>
          <t>lista google</t>
        </is>
      </c>
      <c r="V131" s="20" t="inlineStr"/>
    </row>
    <row r="132" ht="46" customHeight="1">
      <c r="A132" s="9" t="inlineStr">
        <is>
          <t>Amy's Bread</t>
        </is>
      </c>
      <c r="B132" s="10" t="inlineStr">
        <is>
          <t>Panadería y bagels</t>
        </is>
      </c>
      <c r="C132" s="11" t="inlineStr">
        <is>
          <t>Comida</t>
        </is>
      </c>
      <c r="D132" s="11" t="inlineStr">
        <is>
          <t>Hell's Kitchen</t>
        </is>
      </c>
      <c r="E132" s="11" t="inlineStr">
        <is>
          <t>Manhattan</t>
        </is>
      </c>
      <c r="F132" s="12" t="n">
        <v>1</v>
      </c>
      <c r="G132" s="12" t="n">
        <v>1</v>
      </c>
      <c r="H132" s="13">
        <f>IF(AND(F132=2,G132=2),"AMBOS",IF(AND(F132=2,G132&lt;2),"solo JP",IF(AND(F132&lt;2,G132=2),"solo Thais","-")))</f>
        <v/>
      </c>
      <c r="I132" s="14" t="n">
        <v>8</v>
      </c>
      <c r="J132" s="15" t="n">
        <v>0.3</v>
      </c>
      <c r="K132" s="13" t="inlineStr">
        <is>
          <t>no</t>
        </is>
      </c>
      <c r="L132" s="16" t="inlineStr">
        <is>
          <t>—</t>
        </is>
      </c>
      <c r="M132" s="11" t="inlineStr">
        <is>
          <t>—</t>
        </is>
      </c>
      <c r="N132" s="16" t="inlineStr">
        <is>
          <t>—</t>
        </is>
      </c>
      <c r="O132" s="16" t="inlineStr">
        <is>
          <t>—</t>
        </is>
      </c>
      <c r="P132" s="16" t="inlineStr">
        <is>
          <t>50 St (C,E)</t>
        </is>
      </c>
      <c r="Q132" s="16" t="inlineStr">
        <is>
          <t>Panaderia de barrio desde 1992, antes de que el pan artesanal fuera moda. A cuadras del Ink48.</t>
        </is>
      </c>
      <c r="R132" s="16" t="inlineStr">
        <is>
          <t>672 9th Ave</t>
        </is>
      </c>
      <c r="S132" s="16" t="inlineStr">
        <is>
          <t>—</t>
        </is>
      </c>
      <c r="T132" s="18" t="inlineStr">
        <is>
          <t>Abrir ↗</t>
        </is>
      </c>
      <c r="U132" s="21" t="inlineStr">
        <is>
          <t>otros</t>
        </is>
      </c>
      <c r="V132" s="20" t="inlineStr"/>
    </row>
    <row r="133" ht="46" customHeight="1">
      <c r="A133" s="9" t="inlineStr">
        <is>
          <t>Bo's Bagels</t>
        </is>
      </c>
      <c r="B133" s="10" t="inlineStr">
        <is>
          <t>Panadería y bagels</t>
        </is>
      </c>
      <c r="C133" s="11" t="inlineStr">
        <is>
          <t>Comida</t>
        </is>
      </c>
      <c r="D133" s="11" t="inlineStr">
        <is>
          <t>Harlem</t>
        </is>
      </c>
      <c r="E133" s="11" t="inlineStr">
        <is>
          <t>Manhattan</t>
        </is>
      </c>
      <c r="F133" s="12" t="n">
        <v>2</v>
      </c>
      <c r="G133" s="12" t="n">
        <v>2</v>
      </c>
      <c r="H133" s="13">
        <f>IF(AND(F133=2,G133=2),"AMBOS",IF(AND(F133=2,G133&lt;2),"solo JP",IF(AND(F133&lt;2,G133=2),"solo Thais","-")))</f>
        <v/>
      </c>
      <c r="I133" s="14" t="n">
        <v>8</v>
      </c>
      <c r="J133" s="15" t="n">
        <v>0.5</v>
      </c>
      <c r="K133" s="13" t="inlineStr">
        <is>
          <t>no</t>
        </is>
      </c>
      <c r="L133" s="16" t="inlineStr">
        <is>
          <t>—</t>
        </is>
      </c>
      <c r="M133" s="11" t="inlineStr">
        <is>
          <t>—</t>
        </is>
      </c>
      <c r="N133" s="16" t="inlineStr">
        <is>
          <t>—</t>
        </is>
      </c>
      <c r="O133" s="16" t="inlineStr">
        <is>
          <t>—</t>
        </is>
      </c>
      <c r="P133" s="16" t="inlineStr">
        <is>
          <t>116 St (B,C)</t>
        </is>
      </c>
      <c r="Q133" s="16" t="inlineStr">
        <is>
          <t>El unico bagel shop dedicado de Harlem: mas chicos y densos que el estandar, con za'atar y pumpernickel-arandano.</t>
        </is>
      </c>
      <c r="R133" s="16" t="inlineStr">
        <is>
          <t>235 W 116th St</t>
        </is>
      </c>
      <c r="S133" s="17" t="inlineStr">
        <is>
          <t>Día 1 · sáb 29/8</t>
        </is>
      </c>
      <c r="T133" s="18" t="inlineStr">
        <is>
          <t>Abrir ↗</t>
        </is>
      </c>
      <c r="U133" s="19" t="inlineStr">
        <is>
          <t>lista google</t>
        </is>
      </c>
      <c r="V133" s="20" t="inlineStr">
        <is>
          <t>SÍ</t>
        </is>
      </c>
    </row>
    <row r="134" ht="46" customHeight="1">
      <c r="A134" s="9" t="inlineStr">
        <is>
          <t>Dominique Ansel Bakery</t>
        </is>
      </c>
      <c r="B134" s="10" t="inlineStr">
        <is>
          <t>Panadería y bagels</t>
        </is>
      </c>
      <c r="C134" s="11" t="inlineStr">
        <is>
          <t>Comida</t>
        </is>
      </c>
      <c r="D134" s="11" t="inlineStr">
        <is>
          <t>SoHo</t>
        </is>
      </c>
      <c r="E134" s="11" t="inlineStr">
        <is>
          <t>Manhattan</t>
        </is>
      </c>
      <c r="F134" s="12" t="n">
        <v>1</v>
      </c>
      <c r="G134" s="12" t="n">
        <v>1</v>
      </c>
      <c r="H134" s="13">
        <f>IF(AND(F134=2,G134=2),"AMBOS",IF(AND(F134=2,G134&lt;2),"solo JP",IF(AND(F134&lt;2,G134=2),"solo Thais","-")))</f>
        <v/>
      </c>
      <c r="I134" s="14" t="n">
        <v>15</v>
      </c>
      <c r="J134" s="15" t="n">
        <v>0.5</v>
      </c>
      <c r="K134" s="13" t="inlineStr">
        <is>
          <t>SÍ</t>
        </is>
      </c>
      <c r="L134" s="16" t="inlineStr">
        <is>
          <t>—</t>
        </is>
      </c>
      <c r="M134" s="11" t="inlineStr">
        <is>
          <t>—</t>
        </is>
      </c>
      <c r="N134" s="16" t="inlineStr">
        <is>
          <t>—</t>
        </is>
      </c>
      <c r="O134" s="16" t="inlineStr">
        <is>
          <t>—</t>
        </is>
      </c>
      <c r="P134" s="16" t="inlineStr">
        <is>
          <t>Spring St (C,E)</t>
        </is>
      </c>
      <c r="Q134" s="16" t="inlineStr">
        <is>
          <t>El obrador donde se inventó el cronut. Ir temprano o se agota lo bueno.</t>
        </is>
      </c>
      <c r="R134" s="16" t="inlineStr">
        <is>
          <t>189 Spring St</t>
        </is>
      </c>
      <c r="S134" s="16" t="inlineStr">
        <is>
          <t>—</t>
        </is>
      </c>
      <c r="T134" s="18" t="inlineStr">
        <is>
          <t>Abrir ↗</t>
        </is>
      </c>
      <c r="U134" s="19" t="inlineStr">
        <is>
          <t>lista google</t>
        </is>
      </c>
      <c r="V134" s="20" t="inlineStr"/>
    </row>
    <row r="135" ht="46" customHeight="1">
      <c r="A135" s="9" t="inlineStr">
        <is>
          <t>La Cabra Bakery</t>
        </is>
      </c>
      <c r="B135" s="10" t="inlineStr">
        <is>
          <t>Panadería y bagels</t>
        </is>
      </c>
      <c r="C135" s="11" t="inlineStr">
        <is>
          <t>Comida</t>
        </is>
      </c>
      <c r="D135" s="11" t="inlineStr">
        <is>
          <t>East Village</t>
        </is>
      </c>
      <c r="E135" s="11" t="inlineStr">
        <is>
          <t>Manhattan</t>
        </is>
      </c>
      <c r="F135" s="12" t="n">
        <v>1</v>
      </c>
      <c r="G135" s="12" t="n">
        <v>1</v>
      </c>
      <c r="H135" s="13">
        <f>IF(AND(F135=2,G135=2),"AMBOS",IF(AND(F135=2,G135&lt;2),"solo JP",IF(AND(F135&lt;2,G135=2),"solo Thais","-")))</f>
        <v/>
      </c>
      <c r="I135" s="14" t="n">
        <v>12</v>
      </c>
      <c r="J135" s="15" t="n">
        <v>0.5</v>
      </c>
      <c r="K135" s="13" t="inlineStr">
        <is>
          <t>no</t>
        </is>
      </c>
      <c r="L135" s="16" t="inlineStr">
        <is>
          <t>—</t>
        </is>
      </c>
      <c r="M135" s="11" t="inlineStr">
        <is>
          <t>—</t>
        </is>
      </c>
      <c r="N135" s="16" t="inlineStr">
        <is>
          <t>—</t>
        </is>
      </c>
      <c r="O135" s="16" t="inlineStr">
        <is>
          <t>—</t>
        </is>
      </c>
      <c r="P135" s="16" t="inlineStr">
        <is>
          <t>Astor Pl (6)</t>
        </is>
      </c>
      <c r="Q135" s="16" t="inlineStr">
        <is>
          <t>Panadería danesa: el cardamom bun y el laminado son de otro nivel.</t>
        </is>
      </c>
      <c r="R135" s="16" t="inlineStr">
        <is>
          <t>152 2nd Ave</t>
        </is>
      </c>
      <c r="S135" s="16" t="inlineStr">
        <is>
          <t>—</t>
        </is>
      </c>
      <c r="T135" s="18" t="inlineStr">
        <is>
          <t>Abrir ↗</t>
        </is>
      </c>
      <c r="U135" s="19" t="inlineStr">
        <is>
          <t>lista google</t>
        </is>
      </c>
      <c r="V135" s="20" t="inlineStr"/>
    </row>
    <row r="136" ht="46" customHeight="1">
      <c r="A136" s="9" t="inlineStr">
        <is>
          <t>Pop's Bagels Nolita</t>
        </is>
      </c>
      <c r="B136" s="10" t="inlineStr">
        <is>
          <t>Panadería y bagels</t>
        </is>
      </c>
      <c r="C136" s="11" t="inlineStr">
        <is>
          <t>Comida</t>
        </is>
      </c>
      <c r="D136" s="11" t="inlineStr">
        <is>
          <t>Nolita</t>
        </is>
      </c>
      <c r="E136" s="11" t="inlineStr">
        <is>
          <t>Manhattan</t>
        </is>
      </c>
      <c r="F136" s="12" t="n">
        <v>1</v>
      </c>
      <c r="G136" s="12" t="n">
        <v>1</v>
      </c>
      <c r="H136" s="13">
        <f>IF(AND(F136=2,G136=2),"AMBOS",IF(AND(F136=2,G136&lt;2),"solo JP",IF(AND(F136&lt;2,G136=2),"solo Thais","-")))</f>
        <v/>
      </c>
      <c r="I136" s="14" t="n">
        <v>10</v>
      </c>
      <c r="J136" s="15" t="n">
        <v>0.4</v>
      </c>
      <c r="K136" s="13" t="inlineStr">
        <is>
          <t>no</t>
        </is>
      </c>
      <c r="L136" s="16" t="inlineStr">
        <is>
          <t>—</t>
        </is>
      </c>
      <c r="M136" s="11" t="inlineStr">
        <is>
          <t>—</t>
        </is>
      </c>
      <c r="N136" s="16" t="inlineStr">
        <is>
          <t>—</t>
        </is>
      </c>
      <c r="O136" s="16" t="inlineStr">
        <is>
          <t>—</t>
        </is>
      </c>
      <c r="P136" s="16" t="inlineStr">
        <is>
          <t>Spring St (6)</t>
        </is>
      </c>
      <c r="Q136" s="16" t="inlineStr">
        <is>
          <t>La camada nueva del bagel neoyorquino: masa más chica y densa, hecha por tandas.</t>
        </is>
      </c>
      <c r="R136" s="16" t="inlineStr"/>
      <c r="S136" s="16" t="inlineStr">
        <is>
          <t>—</t>
        </is>
      </c>
      <c r="T136" s="18" t="inlineStr">
        <is>
          <t>Abrir ↗</t>
        </is>
      </c>
      <c r="U136" s="19" t="inlineStr">
        <is>
          <t>lista google</t>
        </is>
      </c>
      <c r="V136" s="20" t="inlineStr"/>
    </row>
    <row r="137" ht="46" customHeight="1">
      <c r="A137" s="9" t="inlineStr">
        <is>
          <t>Rudy's Pastry Shop</t>
        </is>
      </c>
      <c r="B137" s="10" t="inlineStr">
        <is>
          <t>Panadería y bagels</t>
        </is>
      </c>
      <c r="C137" s="11" t="inlineStr">
        <is>
          <t>Comida</t>
        </is>
      </c>
      <c r="D137" s="11" t="inlineStr">
        <is>
          <t>Ridgewood</t>
        </is>
      </c>
      <c r="E137" s="11" t="inlineStr">
        <is>
          <t>Queens</t>
        </is>
      </c>
      <c r="F137" s="12" t="n">
        <v>0</v>
      </c>
      <c r="G137" s="12" t="n">
        <v>0</v>
      </c>
      <c r="H137" s="13">
        <f>IF(AND(F137=2,G137=2),"AMBOS",IF(AND(F137=2,G137&lt;2),"solo JP",IF(AND(F137&lt;2,G137=2),"solo Thais","-")))</f>
        <v/>
      </c>
      <c r="I137" s="14" t="n">
        <v>6</v>
      </c>
      <c r="J137" s="15" t="n">
        <v>0.5</v>
      </c>
      <c r="K137" s="13" t="inlineStr">
        <is>
          <t>no</t>
        </is>
      </c>
      <c r="L137" s="16" t="inlineStr">
        <is>
          <t>—</t>
        </is>
      </c>
      <c r="M137" s="11" t="inlineStr">
        <is>
          <t>—</t>
        </is>
      </c>
      <c r="N137" s="16" t="inlineStr">
        <is>
          <t>—</t>
        </is>
      </c>
      <c r="O137" s="16" t="inlineStr">
        <is>
          <t>—</t>
        </is>
      </c>
      <c r="P137" s="16" t="inlineStr">
        <is>
          <t>Seneca Av (M)</t>
        </is>
      </c>
      <c r="Q137" s="16" t="inlineStr">
        <is>
          <t>Abierta en 1934, la panaderia mas vieja de Queens. Black &amp; white cookies a ~$4 y reposteria alemana que ya casi no existe.</t>
        </is>
      </c>
      <c r="R137" s="16" t="inlineStr">
        <is>
          <t>905 Seneca Ave, Ridgewood</t>
        </is>
      </c>
      <c r="S137" s="16" t="inlineStr">
        <is>
          <t>—</t>
        </is>
      </c>
      <c r="T137" s="18" t="inlineStr">
        <is>
          <t>Abrir ↗</t>
        </is>
      </c>
      <c r="U137" s="21" t="inlineStr">
        <is>
          <t>otros</t>
        </is>
      </c>
      <c r="V137" s="20" t="inlineStr"/>
    </row>
    <row r="138" ht="46" customHeight="1">
      <c r="A138" s="9" t="inlineStr">
        <is>
          <t>Vesuvio Bakery</t>
        </is>
      </c>
      <c r="B138" s="10" t="inlineStr">
        <is>
          <t>Panadería y bagels</t>
        </is>
      </c>
      <c r="C138" s="11" t="inlineStr">
        <is>
          <t>Comida</t>
        </is>
      </c>
      <c r="D138" s="11" t="inlineStr">
        <is>
          <t>SoHo</t>
        </is>
      </c>
      <c r="E138" s="11" t="inlineStr">
        <is>
          <t>Manhattan</t>
        </is>
      </c>
      <c r="F138" s="12" t="n">
        <v>1</v>
      </c>
      <c r="G138" s="12" t="n">
        <v>1</v>
      </c>
      <c r="H138" s="13">
        <f>IF(AND(F138=2,G138=2),"AMBOS",IF(AND(F138=2,G138&lt;2),"solo JP",IF(AND(F138&lt;2,G138=2),"solo Thais","-")))</f>
        <v/>
      </c>
      <c r="I138" s="14" t="n">
        <v>8</v>
      </c>
      <c r="J138" s="15" t="n">
        <v>0.3</v>
      </c>
      <c r="K138" s="13" t="inlineStr">
        <is>
          <t>no</t>
        </is>
      </c>
      <c r="L138" s="16" t="inlineStr">
        <is>
          <t>—</t>
        </is>
      </c>
      <c r="M138" s="11" t="inlineStr">
        <is>
          <t>—</t>
        </is>
      </c>
      <c r="N138" s="16" t="inlineStr">
        <is>
          <t>—</t>
        </is>
      </c>
      <c r="O138" s="16" t="inlineStr">
        <is>
          <t>—</t>
        </is>
      </c>
      <c r="P138" s="16" t="inlineStr">
        <is>
          <t>Prince St (N,R,W)</t>
        </is>
      </c>
      <c r="Q138" s="16" t="inlineStr">
        <is>
          <t>La fachada verde mas fotografiada del SoHo, panaderia desde 1920.</t>
        </is>
      </c>
      <c r="R138" s="16" t="inlineStr">
        <is>
          <t>160 Prince St</t>
        </is>
      </c>
      <c r="S138" s="16" t="inlineStr">
        <is>
          <t>—</t>
        </is>
      </c>
      <c r="T138" s="18" t="inlineStr">
        <is>
          <t>Abrir ↗</t>
        </is>
      </c>
      <c r="U138" s="21" t="inlineStr">
        <is>
          <t>otros</t>
        </is>
      </c>
      <c r="V138" s="20" t="inlineStr"/>
    </row>
    <row r="139" ht="46" customHeight="1">
      <c r="A139" s="9" t="inlineStr">
        <is>
          <t>Bleecker Street Pizza</t>
        </is>
      </c>
      <c r="B139" s="10" t="inlineStr">
        <is>
          <t>Pizzería</t>
        </is>
      </c>
      <c r="C139" s="11" t="inlineStr">
        <is>
          <t>Comida</t>
        </is>
      </c>
      <c r="D139" s="11" t="inlineStr">
        <is>
          <t>West Village</t>
        </is>
      </c>
      <c r="E139" s="11" t="inlineStr">
        <is>
          <t>Manhattan</t>
        </is>
      </c>
      <c r="F139" s="12" t="n">
        <v>1</v>
      </c>
      <c r="G139" s="12" t="n">
        <v>1</v>
      </c>
      <c r="H139" s="13">
        <f>IF(AND(F139=2,G139=2),"AMBOS",IF(AND(F139=2,G139&lt;2),"solo JP",IF(AND(F139&lt;2,G139=2),"solo Thais","-")))</f>
        <v/>
      </c>
      <c r="I139" s="14" t="n">
        <v>8</v>
      </c>
      <c r="J139" s="15" t="n">
        <v>0.4</v>
      </c>
      <c r="K139" s="13" t="inlineStr">
        <is>
          <t>no</t>
        </is>
      </c>
      <c r="L139" s="16" t="inlineStr">
        <is>
          <t>—</t>
        </is>
      </c>
      <c r="M139" s="11" t="inlineStr">
        <is>
          <t>—</t>
        </is>
      </c>
      <c r="N139" s="16" t="inlineStr">
        <is>
          <t>—</t>
        </is>
      </c>
      <c r="O139" s="16" t="inlineStr">
        <is>
          <t>—</t>
        </is>
      </c>
      <c r="P139" s="16" t="inlineStr">
        <is>
          <t>Christopher St-Sheridan Sq (1)</t>
        </is>
      </c>
      <c r="Q139" s="16" t="inlineStr">
        <is>
          <t>Slice de barrio con fila constante: la Nonna Maria (vodka sauce) es la que la puso en el mapa.</t>
        </is>
      </c>
      <c r="R139" s="16" t="inlineStr">
        <is>
          <t>69 7th Ave S</t>
        </is>
      </c>
      <c r="S139" s="16" t="inlineStr">
        <is>
          <t>—</t>
        </is>
      </c>
      <c r="T139" s="18" t="inlineStr">
        <is>
          <t>Abrir ↗</t>
        </is>
      </c>
      <c r="U139" s="19" t="inlineStr">
        <is>
          <t>lista google</t>
        </is>
      </c>
      <c r="V139" s="20" t="inlineStr"/>
    </row>
    <row r="140" ht="46" customHeight="1">
      <c r="A140" s="9" t="inlineStr">
        <is>
          <t>Joe's Pizza (Carmine St)</t>
        </is>
      </c>
      <c r="B140" s="10" t="inlineStr">
        <is>
          <t>Pizzería</t>
        </is>
      </c>
      <c r="C140" s="11" t="inlineStr">
        <is>
          <t>Comida</t>
        </is>
      </c>
      <c r="D140" s="11" t="inlineStr">
        <is>
          <t>Greenwich Village</t>
        </is>
      </c>
      <c r="E140" s="11" t="inlineStr">
        <is>
          <t>Manhattan</t>
        </is>
      </c>
      <c r="F140" s="12" t="n">
        <v>1</v>
      </c>
      <c r="G140" s="12" t="n">
        <v>1</v>
      </c>
      <c r="H140" s="13">
        <f>IF(AND(F140=2,G140=2),"AMBOS",IF(AND(F140=2,G140&lt;2),"solo JP",IF(AND(F140&lt;2,G140=2),"solo Thais","-")))</f>
        <v/>
      </c>
      <c r="I140" s="14" t="n">
        <v>10</v>
      </c>
      <c r="J140" s="15" t="n">
        <v>0.3</v>
      </c>
      <c r="K140" s="13" t="inlineStr">
        <is>
          <t>no</t>
        </is>
      </c>
      <c r="L140" s="16" t="inlineStr">
        <is>
          <t>—</t>
        </is>
      </c>
      <c r="M140" s="11" t="inlineStr">
        <is>
          <t>—</t>
        </is>
      </c>
      <c r="N140" s="16" t="inlineStr">
        <is>
          <t>—</t>
        </is>
      </c>
      <c r="O140" s="16" t="inlineStr">
        <is>
          <t>—</t>
        </is>
      </c>
      <c r="P140" s="16" t="inlineStr">
        <is>
          <t>W 4 St (A,C,E,B,D,F,M)</t>
        </is>
      </c>
      <c r="Q140" s="16" t="inlineStr">
        <is>
          <t>desde 1975, la porción de muzzarella clásica de Nueva York. No hay nada más rápido que sea igual de bueno tan cerca del club.</t>
        </is>
      </c>
      <c r="R140" s="16" t="inlineStr">
        <is>
          <t>7 Carmine St</t>
        </is>
      </c>
      <c r="S140" s="16" t="inlineStr">
        <is>
          <t>—</t>
        </is>
      </c>
      <c r="T140" s="18" t="inlineStr">
        <is>
          <t>Abrir ↗</t>
        </is>
      </c>
      <c r="U140" s="21" t="inlineStr">
        <is>
          <t>otros</t>
        </is>
      </c>
      <c r="V140" s="20" t="inlineStr"/>
    </row>
    <row r="141" ht="46" customHeight="1">
      <c r="A141" s="9" t="inlineStr">
        <is>
          <t>John's of Times Square</t>
        </is>
      </c>
      <c r="B141" s="10" t="inlineStr">
        <is>
          <t>Pizzería</t>
        </is>
      </c>
      <c r="C141" s="11" t="inlineStr">
        <is>
          <t>Comida</t>
        </is>
      </c>
      <c r="D141" s="11" t="inlineStr">
        <is>
          <t>Theater District</t>
        </is>
      </c>
      <c r="E141" s="11" t="inlineStr">
        <is>
          <t>Manhattan</t>
        </is>
      </c>
      <c r="F141" s="12" t="n">
        <v>1</v>
      </c>
      <c r="G141" s="12" t="n">
        <v>1</v>
      </c>
      <c r="H141" s="13">
        <f>IF(AND(F141=2,G141=2),"AMBOS",IF(AND(F141=2,G141&lt;2),"solo JP",IF(AND(F141&lt;2,G141=2),"solo Thais","-")))</f>
        <v/>
      </c>
      <c r="I141" s="14" t="n">
        <v>25</v>
      </c>
      <c r="J141" s="15" t="n">
        <v>1</v>
      </c>
      <c r="K141" s="13" t="inlineStr">
        <is>
          <t>SÍ</t>
        </is>
      </c>
      <c r="L141" s="16" t="inlineStr">
        <is>
          <t>—</t>
        </is>
      </c>
      <c r="M141" s="11" t="inlineStr">
        <is>
          <t>—</t>
        </is>
      </c>
      <c r="N141" s="16" t="inlineStr">
        <is>
          <t>—</t>
        </is>
      </c>
      <c r="O141" s="16" t="inlineStr">
        <is>
          <t>—</t>
        </is>
      </c>
      <c r="P141" s="16" t="inlineStr">
        <is>
          <t>42 St-Port Authority (A,C,E)</t>
        </is>
      </c>
      <c r="Q141" s="16" t="inlineStr">
        <is>
          <t>Pizzería de horno a leña DENTRO de una iglesia reconvertida, con los vitrales intactos. Sin porciones: pizza entera.</t>
        </is>
      </c>
      <c r="R141" s="16" t="inlineStr">
        <is>
          <t>260 W 44th St</t>
        </is>
      </c>
      <c r="S141" s="16" t="inlineStr">
        <is>
          <t>—</t>
        </is>
      </c>
      <c r="T141" s="18" t="inlineStr">
        <is>
          <t>Abrir ↗</t>
        </is>
      </c>
      <c r="U141" s="19" t="inlineStr">
        <is>
          <t>lista google</t>
        </is>
      </c>
      <c r="V141" s="20" t="inlineStr"/>
    </row>
    <row r="142" ht="46" customHeight="1">
      <c r="A142" s="9" t="inlineStr">
        <is>
          <t>Juliana's Pizza</t>
        </is>
      </c>
      <c r="B142" s="10" t="inlineStr">
        <is>
          <t>Pizzería</t>
        </is>
      </c>
      <c r="C142" s="11" t="inlineStr">
        <is>
          <t>Comida</t>
        </is>
      </c>
      <c r="D142" s="11" t="inlineStr">
        <is>
          <t>DUMBO</t>
        </is>
      </c>
      <c r="E142" s="11" t="inlineStr">
        <is>
          <t>Brooklyn</t>
        </is>
      </c>
      <c r="F142" s="12" t="n">
        <v>1</v>
      </c>
      <c r="G142" s="12" t="n">
        <v>1</v>
      </c>
      <c r="H142" s="13">
        <f>IF(AND(F142=2,G142=2),"AMBOS",IF(AND(F142=2,G142&lt;2),"solo JP",IF(AND(F142&lt;2,G142=2),"solo Thais","-")))</f>
        <v/>
      </c>
      <c r="I142" s="14" t="n">
        <v>25</v>
      </c>
      <c r="J142" s="15" t="n">
        <v>1</v>
      </c>
      <c r="K142" s="13" t="inlineStr">
        <is>
          <t>no</t>
        </is>
      </c>
      <c r="L142" s="16" t="inlineStr">
        <is>
          <t>—</t>
        </is>
      </c>
      <c r="M142" s="11" t="inlineStr">
        <is>
          <t>—</t>
        </is>
      </c>
      <c r="N142" s="16" t="inlineStr">
        <is>
          <t>—</t>
        </is>
      </c>
      <c r="O142" s="16" t="inlineStr">
        <is>
          <t>—</t>
        </is>
      </c>
      <c r="P142" s="16" t="inlineStr">
        <is>
          <t>High St (A,C), York St (F)</t>
        </is>
      </c>
      <c r="Q142" s="16" t="inlineStr">
        <is>
          <t>es la pizzería de Patsy Grimaldi, que vendió su nombre y volvió a abrir al lado en 2012. Horno de carbón. La Margherita clásica, o la "No. 1" con mozzarella de búfala.</t>
        </is>
      </c>
      <c r="R142" s="16" t="inlineStr">
        <is>
          <t>19 Old Fulton St, Brooklyn</t>
        </is>
      </c>
      <c r="S142" s="16" t="inlineStr">
        <is>
          <t>—</t>
        </is>
      </c>
      <c r="T142" s="18" t="inlineStr">
        <is>
          <t>Abrir ↗</t>
        </is>
      </c>
      <c r="U142" s="21" t="inlineStr">
        <is>
          <t>otros</t>
        </is>
      </c>
      <c r="V142" s="20" t="inlineStr"/>
    </row>
    <row r="143" ht="46" customHeight="1">
      <c r="A143" s="9" t="inlineStr">
        <is>
          <t>L&amp;B Spumoni Gardens</t>
        </is>
      </c>
      <c r="B143" s="10" t="inlineStr">
        <is>
          <t>Pizzería</t>
        </is>
      </c>
      <c r="C143" s="11" t="inlineStr">
        <is>
          <t>Comida</t>
        </is>
      </c>
      <c r="D143" s="11" t="inlineStr">
        <is>
          <t>Gravesend</t>
        </is>
      </c>
      <c r="E143" s="11" t="inlineStr">
        <is>
          <t>Brooklyn</t>
        </is>
      </c>
      <c r="F143" s="12" t="n">
        <v>2</v>
      </c>
      <c r="G143" s="12" t="n">
        <v>2</v>
      </c>
      <c r="H143" s="13">
        <f>IF(AND(F143=2,G143=2),"AMBOS",IF(AND(F143=2,G143&lt;2),"solo JP",IF(AND(F143&lt;2,G143=2),"solo Thais","-")))</f>
        <v/>
      </c>
      <c r="I143" s="14" t="n">
        <v>15</v>
      </c>
      <c r="J143" s="15" t="n">
        <v>1.25</v>
      </c>
      <c r="K143" s="13" t="inlineStr">
        <is>
          <t>no</t>
        </is>
      </c>
      <c r="L143" s="16" t="inlineStr">
        <is>
          <t>—</t>
        </is>
      </c>
      <c r="M143" s="11" t="inlineStr">
        <is>
          <t>—</t>
        </is>
      </c>
      <c r="N143" s="16" t="inlineStr">
        <is>
          <t>—</t>
        </is>
      </c>
      <c r="O143" s="16" t="inlineStr">
        <is>
          <t>—</t>
        </is>
      </c>
      <c r="P143" s="16" t="inlineStr">
        <is>
          <t>Avenue X (F)</t>
        </is>
      </c>
      <c r="Q143" s="16" t="inlineStr">
        <is>
          <t>La square slice siciliana con la salsa ARRIBA del queso; es su invento y sigue siendo la mejor. Y el spumoni de postre. Vale el viaje hasta el sur de Brooklyn.</t>
        </is>
      </c>
      <c r="R143" s="16" t="inlineStr">
        <is>
          <t>2725 86th St, Brooklyn</t>
        </is>
      </c>
      <c r="S143" s="16" t="inlineStr">
        <is>
          <t>—</t>
        </is>
      </c>
      <c r="T143" s="18" t="inlineStr">
        <is>
          <t>Abrir ↗</t>
        </is>
      </c>
      <c r="U143" s="19" t="inlineStr">
        <is>
          <t>lista google</t>
        </is>
      </c>
      <c r="V143" s="20" t="inlineStr"/>
    </row>
    <row r="144" ht="46" customHeight="1">
      <c r="A144" s="9" t="inlineStr">
        <is>
          <t>Lucali</t>
        </is>
      </c>
      <c r="B144" s="10" t="inlineStr">
        <is>
          <t>Pizzería</t>
        </is>
      </c>
      <c r="C144" s="11" t="inlineStr">
        <is>
          <t>Comida</t>
        </is>
      </c>
      <c r="D144" s="11" t="inlineStr">
        <is>
          <t>Carroll Gardens</t>
        </is>
      </c>
      <c r="E144" s="11" t="inlineStr">
        <is>
          <t>Brooklyn</t>
        </is>
      </c>
      <c r="F144" s="12" t="n">
        <v>1</v>
      </c>
      <c r="G144" s="12" t="n">
        <v>1</v>
      </c>
      <c r="H144" s="13">
        <f>IF(AND(F144=2,G144=2),"AMBOS",IF(AND(F144=2,G144&lt;2),"solo JP",IF(AND(F144&lt;2,G144=2),"solo Thais","-")))</f>
        <v/>
      </c>
      <c r="I144" s="14" t="n">
        <v>30</v>
      </c>
      <c r="J144" s="15" t="n">
        <v>2</v>
      </c>
      <c r="K144" s="13" t="inlineStr">
        <is>
          <t>no</t>
        </is>
      </c>
      <c r="L144" s="16" t="inlineStr">
        <is>
          <t>—</t>
        </is>
      </c>
      <c r="M144" s="11" t="inlineStr">
        <is>
          <t>—</t>
        </is>
      </c>
      <c r="N144" s="16" t="inlineStr">
        <is>
          <t>—</t>
        </is>
      </c>
      <c r="O144" s="16" t="inlineStr">
        <is>
          <t>—</t>
        </is>
      </c>
      <c r="P144" s="16" t="inlineStr">
        <is>
          <t>Carroll St (F,G)</t>
        </is>
      </c>
      <c r="Q144" s="16" t="inlineStr">
        <is>
          <t>Considerada por muchos la mejor pizza de NYC. SIN reservas: hay que ir a anotarse cuando abren y volver despues. Solo si tienen paciencia.</t>
        </is>
      </c>
      <c r="R144" s="16" t="inlineStr">
        <is>
          <t>575 Henry St, Brooklyn</t>
        </is>
      </c>
      <c r="S144" s="16" t="inlineStr">
        <is>
          <t>—</t>
        </is>
      </c>
      <c r="T144" s="18" t="inlineStr">
        <is>
          <t>Abrir ↗</t>
        </is>
      </c>
      <c r="U144" s="21" t="inlineStr">
        <is>
          <t>otros</t>
        </is>
      </c>
      <c r="V144" s="20" t="inlineStr"/>
    </row>
    <row r="145" ht="46" customHeight="1">
      <c r="A145" s="9" t="inlineStr">
        <is>
          <t>Mano's Pizzeria</t>
        </is>
      </c>
      <c r="B145" s="10" t="inlineStr">
        <is>
          <t>Pizzería</t>
        </is>
      </c>
      <c r="C145" s="11" t="inlineStr">
        <is>
          <t>Comida</t>
        </is>
      </c>
      <c r="D145" s="11" t="inlineStr">
        <is>
          <t>Ridgewood</t>
        </is>
      </c>
      <c r="E145" s="11" t="inlineStr">
        <is>
          <t>Queens</t>
        </is>
      </c>
      <c r="F145" s="12" t="n">
        <v>0</v>
      </c>
      <c r="G145" s="12" t="n">
        <v>0</v>
      </c>
      <c r="H145" s="13">
        <f>IF(AND(F145=2,G145=2),"AMBOS",IF(AND(F145=2,G145&lt;2),"solo JP",IF(AND(F145&lt;2,G145=2),"solo Thais","-")))</f>
        <v/>
      </c>
      <c r="I145" s="14" t="n">
        <v>5</v>
      </c>
      <c r="J145" s="15" t="n">
        <v>0.5</v>
      </c>
      <c r="K145" s="13" t="inlineStr">
        <is>
          <t>no</t>
        </is>
      </c>
      <c r="L145" s="16" t="inlineStr">
        <is>
          <t>—</t>
        </is>
      </c>
      <c r="M145" s="11" t="inlineStr">
        <is>
          <t>—</t>
        </is>
      </c>
      <c r="N145" s="16" t="inlineStr">
        <is>
          <t>—</t>
        </is>
      </c>
      <c r="O145" s="16" t="inlineStr">
        <is>
          <t>—</t>
        </is>
      </c>
      <c r="P145" s="16" t="inlineStr">
        <is>
          <t>Forest Av (M)</t>
        </is>
      </c>
      <c r="Q145" s="16" t="inlineStr">
        <is>
          <t>La porcion plegable clasica de NY por cuatro dolares. Esto es lo que la gente come de verdad, no la cola de una hora en Prince Street.</t>
        </is>
      </c>
      <c r="R145" s="16" t="inlineStr">
        <is>
          <t>6202 Forest Ave, Ridgewood</t>
        </is>
      </c>
      <c r="S145" s="16" t="inlineStr">
        <is>
          <t>—</t>
        </is>
      </c>
      <c r="T145" s="18" t="inlineStr">
        <is>
          <t>Abrir ↗</t>
        </is>
      </c>
      <c r="U145" s="21" t="inlineStr">
        <is>
          <t>otros</t>
        </is>
      </c>
      <c r="V145" s="20" t="inlineStr"/>
    </row>
    <row r="146" ht="46" customHeight="1">
      <c r="A146" s="9" t="inlineStr">
        <is>
          <t>Totonno's</t>
        </is>
      </c>
      <c r="B146" s="10" t="inlineStr">
        <is>
          <t>Pizzería</t>
        </is>
      </c>
      <c r="C146" s="11" t="inlineStr">
        <is>
          <t>Comida</t>
        </is>
      </c>
      <c r="D146" s="11" t="inlineStr">
        <is>
          <t>Coney Island</t>
        </is>
      </c>
      <c r="E146" s="11" t="inlineStr">
        <is>
          <t>Brooklyn</t>
        </is>
      </c>
      <c r="F146" s="12" t="n">
        <v>2</v>
      </c>
      <c r="G146" s="12" t="n">
        <v>2</v>
      </c>
      <c r="H146" s="13">
        <f>IF(AND(F146=2,G146=2),"AMBOS",IF(AND(F146=2,G146&lt;2),"solo JP",IF(AND(F146&lt;2,G146=2),"solo Thais","-")))</f>
        <v/>
      </c>
      <c r="I146" s="14" t="n">
        <v>18</v>
      </c>
      <c r="J146" s="15" t="n">
        <v>1</v>
      </c>
      <c r="K146" s="13" t="inlineStr">
        <is>
          <t>no</t>
        </is>
      </c>
      <c r="L146" s="16" t="inlineStr">
        <is>
          <t>—</t>
        </is>
      </c>
      <c r="M146" s="11" t="inlineStr">
        <is>
          <t>—</t>
        </is>
      </c>
      <c r="N146" s="16" t="inlineStr">
        <is>
          <t>—</t>
        </is>
      </c>
      <c r="O146" s="16" t="inlineStr">
        <is>
          <t>—</t>
        </is>
      </c>
      <c r="P146" s="16" t="inlineStr">
        <is>
          <t>Coney Island-Stillwell Av (D,F,N,Q)</t>
        </is>
      </c>
      <c r="Q146" s="16" t="inlineStr">
        <is>
          <t>Horno de carbon desde 1924, cuarta generacion. Se combina con caminar el boardwalk de Coney Island.</t>
        </is>
      </c>
      <c r="R146" s="16" t="inlineStr">
        <is>
          <t>1524 Neptune Ave, Brooklyn</t>
        </is>
      </c>
      <c r="S146" s="16" t="inlineStr">
        <is>
          <t>—</t>
        </is>
      </c>
      <c r="T146" s="18" t="inlineStr">
        <is>
          <t>Abrir ↗</t>
        </is>
      </c>
      <c r="U146" s="21" t="inlineStr">
        <is>
          <t>otros</t>
        </is>
      </c>
      <c r="V146" s="20" t="inlineStr"/>
    </row>
    <row r="147" ht="46" customHeight="1">
      <c r="A147" s="9" t="inlineStr">
        <is>
          <t>Beast &amp; Butterflies Times Square</t>
        </is>
      </c>
      <c r="B147" s="10" t="inlineStr">
        <is>
          <t>Restaurante americano</t>
        </is>
      </c>
      <c r="C147" s="11" t="inlineStr">
        <is>
          <t>Comida</t>
        </is>
      </c>
      <c r="D147" s="11" t="inlineStr">
        <is>
          <t>Times Square</t>
        </is>
      </c>
      <c r="E147" s="11" t="inlineStr">
        <is>
          <t>Manhattan</t>
        </is>
      </c>
      <c r="F147" s="12" t="n">
        <v>1</v>
      </c>
      <c r="G147" s="12" t="n">
        <v>1</v>
      </c>
      <c r="H147" s="13">
        <f>IF(AND(F147=2,G147=2),"AMBOS",IF(AND(F147=2,G147&lt;2),"solo JP",IF(AND(F147&lt;2,G147=2),"solo Thais","-")))</f>
        <v/>
      </c>
      <c r="I147" s="14" t="n">
        <v>35</v>
      </c>
      <c r="J147" s="15" t="n">
        <v>1.25</v>
      </c>
      <c r="K147" s="13" t="inlineStr">
        <is>
          <t>no</t>
        </is>
      </c>
      <c r="L147" s="16" t="inlineStr">
        <is>
          <t>—</t>
        </is>
      </c>
      <c r="M147" s="11" t="inlineStr">
        <is>
          <t>—</t>
        </is>
      </c>
      <c r="N147" s="16" t="inlineStr">
        <is>
          <t>—</t>
        </is>
      </c>
      <c r="O147" s="16" t="inlineStr">
        <is>
          <t>—</t>
        </is>
      </c>
      <c r="P147" s="16" t="inlineStr">
        <is>
          <t>42 St-Port Authority (A,C,E)</t>
        </is>
      </c>
      <c r="Q147" s="16" t="inlineStr">
        <is>
          <t>Comedor del M Social: una alternativa sentada y tranquila en pleno Times Square.</t>
        </is>
      </c>
      <c r="R147" s="16" t="inlineStr"/>
      <c r="S147" s="16" t="inlineStr">
        <is>
          <t>—</t>
        </is>
      </c>
      <c r="T147" s="18" t="inlineStr">
        <is>
          <t>Abrir ↗</t>
        </is>
      </c>
      <c r="U147" s="19" t="inlineStr">
        <is>
          <t>lista google</t>
        </is>
      </c>
      <c r="V147" s="20" t="inlineStr"/>
    </row>
    <row r="148" ht="46" customHeight="1">
      <c r="A148" s="9" t="inlineStr">
        <is>
          <t>Grand Brasserie</t>
        </is>
      </c>
      <c r="B148" s="10" t="inlineStr">
        <is>
          <t>Restaurante americano</t>
        </is>
      </c>
      <c r="C148" s="11" t="inlineStr">
        <is>
          <t>Comida</t>
        </is>
      </c>
      <c r="D148" s="11" t="inlineStr">
        <is>
          <t>Midtown East</t>
        </is>
      </c>
      <c r="E148" s="11" t="inlineStr">
        <is>
          <t>Manhattan</t>
        </is>
      </c>
      <c r="F148" s="12" t="n">
        <v>1</v>
      </c>
      <c r="G148" s="12" t="n">
        <v>1</v>
      </c>
      <c r="H148" s="13">
        <f>IF(AND(F148=2,G148=2),"AMBOS",IF(AND(F148=2,G148&lt;2),"solo JP",IF(AND(F148&lt;2,G148=2),"solo Thais","-")))</f>
        <v/>
      </c>
      <c r="I148" s="14" t="n">
        <v>55</v>
      </c>
      <c r="J148" s="15" t="n">
        <v>1.2</v>
      </c>
      <c r="K148" s="13" t="inlineStr">
        <is>
          <t>no</t>
        </is>
      </c>
      <c r="L148" s="16" t="inlineStr">
        <is>
          <t>—</t>
        </is>
      </c>
      <c r="M148" s="11" t="inlineStr">
        <is>
          <t>—</t>
        </is>
      </c>
      <c r="N148" s="16" t="inlineStr">
        <is>
          <t>—</t>
        </is>
      </c>
      <c r="O148" s="16" t="inlineStr">
        <is>
          <t>—</t>
        </is>
      </c>
      <c r="P148" s="16" t="inlineStr">
        <is>
          <t>Grand Central-42 St (4,5,6,7,S)</t>
        </is>
      </c>
      <c r="Q148" s="16" t="inlineStr">
        <is>
          <t>brasserie grande dentro de Vanderbilt Hall, la sala de mármol de Grand Central. El valor acá no es la cocina: es que abre 19 horas por día y está a 40 metros del ancla del viernes.</t>
        </is>
      </c>
      <c r="R148" s="16" t="inlineStr">
        <is>
          <t>89 E 42nd St</t>
        </is>
      </c>
      <c r="S148" s="16" t="inlineStr">
        <is>
          <t>—</t>
        </is>
      </c>
      <c r="T148" s="18" t="inlineStr">
        <is>
          <t>Abrir ↗</t>
        </is>
      </c>
      <c r="U148" s="21" t="inlineStr">
        <is>
          <t>otros</t>
        </is>
      </c>
      <c r="V148" s="20" t="inlineStr"/>
    </row>
    <row r="149" ht="46" customHeight="1">
      <c r="A149" s="9" t="inlineStr">
        <is>
          <t>Sylvia's</t>
        </is>
      </c>
      <c r="B149" s="10" t="inlineStr">
        <is>
          <t>Restaurante americano</t>
        </is>
      </c>
      <c r="C149" s="11" t="inlineStr">
        <is>
          <t>Comida</t>
        </is>
      </c>
      <c r="D149" s="11" t="inlineStr">
        <is>
          <t>Harlem</t>
        </is>
      </c>
      <c r="E149" s="11" t="inlineStr">
        <is>
          <t>Manhattan</t>
        </is>
      </c>
      <c r="F149" s="12" t="n">
        <v>1</v>
      </c>
      <c r="G149" s="12" t="n">
        <v>1</v>
      </c>
      <c r="H149" s="13">
        <f>IF(AND(F149=2,G149=2),"AMBOS",IF(AND(F149=2,G149&lt;2),"solo JP",IF(AND(F149&lt;2,G149=2),"solo Thais","-")))</f>
        <v/>
      </c>
      <c r="I149" s="14" t="n">
        <v>30</v>
      </c>
      <c r="J149" s="15" t="n">
        <v>1.2</v>
      </c>
      <c r="K149" s="13" t="inlineStr">
        <is>
          <t>no</t>
        </is>
      </c>
      <c r="L149" s="16" t="inlineStr">
        <is>
          <t>—</t>
        </is>
      </c>
      <c r="M149" s="11" t="inlineStr">
        <is>
          <t>—</t>
        </is>
      </c>
      <c r="N149" s="16" t="inlineStr">
        <is>
          <t>—</t>
        </is>
      </c>
      <c r="O149" s="16" t="inlineStr">
        <is>
          <t>—</t>
        </is>
      </c>
      <c r="P149" s="16" t="inlineStr">
        <is>
          <t>125 St (2,3)</t>
        </is>
      </c>
      <c r="Q149" s="16" t="inlineStr">
        <is>
          <t>Soul food desde 1962, la mesa donde comieron todos los que pasaron por Harlem.</t>
        </is>
      </c>
      <c r="R149" s="16" t="inlineStr">
        <is>
          <t>328 Malcolm X Blvd</t>
        </is>
      </c>
      <c r="S149" s="16" t="inlineStr">
        <is>
          <t>—</t>
        </is>
      </c>
      <c r="T149" s="18" t="inlineStr">
        <is>
          <t>Abrir ↗</t>
        </is>
      </c>
      <c r="U149" s="21" t="inlineStr">
        <is>
          <t>otros</t>
        </is>
      </c>
      <c r="V149" s="20" t="inlineStr"/>
    </row>
    <row r="150" ht="46" customHeight="1">
      <c r="A150" s="9" t="inlineStr">
        <is>
          <t>Central Park Boathouse</t>
        </is>
      </c>
      <c r="B150" s="10" t="inlineStr">
        <is>
          <t>Restaurante con vista</t>
        </is>
      </c>
      <c r="C150" s="11" t="inlineStr">
        <is>
          <t>Comida</t>
        </is>
      </c>
      <c r="D150" s="11" t="inlineStr">
        <is>
          <t>Central Park</t>
        </is>
      </c>
      <c r="E150" s="11" t="inlineStr">
        <is>
          <t>Manhattan</t>
        </is>
      </c>
      <c r="F150" s="12" t="n">
        <v>1</v>
      </c>
      <c r="G150" s="12" t="n">
        <v>1</v>
      </c>
      <c r="H150" s="13">
        <f>IF(AND(F150=2,G150=2),"AMBOS",IF(AND(F150=2,G150&lt;2),"solo JP",IF(AND(F150&lt;2,G150=2),"solo Thais","-")))</f>
        <v/>
      </c>
      <c r="I150" s="14" t="n">
        <v>45</v>
      </c>
      <c r="J150" s="15" t="n">
        <v>1.25</v>
      </c>
      <c r="K150" s="13" t="inlineStr">
        <is>
          <t>SÍ</t>
        </is>
      </c>
      <c r="L150" s="16" t="inlineStr">
        <is>
          <t>—</t>
        </is>
      </c>
      <c r="M150" s="11" t="inlineStr">
        <is>
          <t>—</t>
        </is>
      </c>
      <c r="N150" s="16" t="inlineStr">
        <is>
          <t>—</t>
        </is>
      </c>
      <c r="O150" s="16" t="inlineStr">
        <is>
          <t>—</t>
        </is>
      </c>
      <c r="P150" s="16" t="inlineStr">
        <is>
          <t>72 St (B,C)</t>
        </is>
      </c>
      <c r="Q150" s="16" t="inlineStr">
        <is>
          <t>Almuerzo sobre el lago, con los botes de remo pasando. Es LA postal del parque, y se come bien.</t>
        </is>
      </c>
      <c r="R150" s="16" t="inlineStr">
        <is>
          <t>E 72nd St &amp; Park Dr N</t>
        </is>
      </c>
      <c r="S150" s="16" t="inlineStr">
        <is>
          <t>—</t>
        </is>
      </c>
      <c r="T150" s="18" t="inlineStr">
        <is>
          <t>Abrir ↗</t>
        </is>
      </c>
      <c r="U150" s="19" t="inlineStr">
        <is>
          <t>lista google</t>
        </is>
      </c>
      <c r="V150" s="20" t="inlineStr"/>
    </row>
    <row r="151" ht="46" customHeight="1">
      <c r="A151" s="9" t="inlineStr">
        <is>
          <t>Manhatta</t>
        </is>
      </c>
      <c r="B151" s="10" t="inlineStr">
        <is>
          <t>Restaurante con vista</t>
        </is>
      </c>
      <c r="C151" s="11" t="inlineStr">
        <is>
          <t>Comida</t>
        </is>
      </c>
      <c r="D151" s="11" t="inlineStr">
        <is>
          <t>Financial District</t>
        </is>
      </c>
      <c r="E151" s="11" t="inlineStr">
        <is>
          <t>Manhattan</t>
        </is>
      </c>
      <c r="F151" s="12" t="n">
        <v>1</v>
      </c>
      <c r="G151" s="12" t="n">
        <v>1</v>
      </c>
      <c r="H151" s="13">
        <f>IF(AND(F151=2,G151=2),"AMBOS",IF(AND(F151=2,G151&lt;2),"solo JP",IF(AND(F151&lt;2,G151=2),"solo Thais","-")))</f>
        <v/>
      </c>
      <c r="I151" s="14" t="n">
        <v>90</v>
      </c>
      <c r="J151" s="15" t="n">
        <v>1.75</v>
      </c>
      <c r="K151" s="13" t="inlineStr">
        <is>
          <t>SÍ</t>
        </is>
      </c>
      <c r="L151" s="16" t="inlineStr">
        <is>
          <t>—</t>
        </is>
      </c>
      <c r="M151" s="11" t="inlineStr">
        <is>
          <t>—</t>
        </is>
      </c>
      <c r="N151" s="16" t="inlineStr">
        <is>
          <t>—</t>
        </is>
      </c>
      <c r="O151" s="16" t="inlineStr">
        <is>
          <t>—</t>
        </is>
      </c>
      <c r="P151" s="16" t="inlineStr">
        <is>
          <t>Wall St (2,3)</t>
        </is>
      </c>
      <c r="Q151" s="16" t="inlineStr">
        <is>
          <t>El restaurante de Danny Meyer en el piso 60: la vista de un observatorio pago, sentado y con vino.</t>
        </is>
      </c>
      <c r="R151" s="16" t="inlineStr">
        <is>
          <t>28 Liberty St, piso 60</t>
        </is>
      </c>
      <c r="S151" s="16" t="inlineStr">
        <is>
          <t>—</t>
        </is>
      </c>
      <c r="T151" s="18" t="inlineStr">
        <is>
          <t>Abrir ↗</t>
        </is>
      </c>
      <c r="U151" s="19" t="inlineStr">
        <is>
          <t>lista google</t>
        </is>
      </c>
      <c r="V151" s="20" t="inlineStr"/>
    </row>
    <row r="152" ht="46" customHeight="1">
      <c r="A152" s="9" t="inlineStr">
        <is>
          <t>Africa Kine</t>
        </is>
      </c>
      <c r="B152" s="10" t="inlineStr">
        <is>
          <t>Restaurante étnico</t>
        </is>
      </c>
      <c r="C152" s="11" t="inlineStr">
        <is>
          <t>Comida</t>
        </is>
      </c>
      <c r="D152" s="11" t="inlineStr">
        <is>
          <t>Harlem</t>
        </is>
      </c>
      <c r="E152" s="11" t="inlineStr">
        <is>
          <t>Manhattan</t>
        </is>
      </c>
      <c r="F152" s="12" t="n">
        <v>1</v>
      </c>
      <c r="G152" s="12" t="n">
        <v>1</v>
      </c>
      <c r="H152" s="13">
        <f>IF(AND(F152=2,G152=2),"AMBOS",IF(AND(F152=2,G152&lt;2),"solo JP",IF(AND(F152&lt;2,G152=2),"solo Thais","-")))</f>
        <v/>
      </c>
      <c r="I152" s="14" t="n">
        <v>25</v>
      </c>
      <c r="J152" s="15" t="n">
        <v>1</v>
      </c>
      <c r="K152" s="13" t="inlineStr">
        <is>
          <t>no</t>
        </is>
      </c>
      <c r="L152" s="16" t="inlineStr">
        <is>
          <t>—</t>
        </is>
      </c>
      <c r="M152" s="11" t="inlineStr">
        <is>
          <t>—</t>
        </is>
      </c>
      <c r="N152" s="16" t="inlineStr">
        <is>
          <t>—</t>
        </is>
      </c>
      <c r="O152" s="16" t="inlineStr">
        <is>
          <t>—</t>
        </is>
      </c>
      <c r="P152" s="16" t="inlineStr">
        <is>
          <t>116 St (2,3)</t>
        </is>
      </c>
      <c r="Q152" s="16" t="inlineStr">
        <is>
          <t>el senegalés más veterano de Nueva York, el ancla del Little Senegal de Harlem. Pedí thiéboudienne (arroz con pescado, plato nacional) o yassa de pollo con cebolla, limón y aceitunas. Es otra cocina, no una variante del soul food de Sylvia's.</t>
        </is>
      </c>
      <c r="R152" s="16" t="inlineStr">
        <is>
          <t>2267 Adam Clayton Powell Jr Blvd</t>
        </is>
      </c>
      <c r="S152" s="16" t="inlineStr">
        <is>
          <t>—</t>
        </is>
      </c>
      <c r="T152" s="18" t="inlineStr">
        <is>
          <t>Abrir ↗</t>
        </is>
      </c>
      <c r="U152" s="21" t="inlineStr">
        <is>
          <t>otros</t>
        </is>
      </c>
      <c r="V152" s="20" t="inlineStr"/>
    </row>
    <row r="153" ht="46" customHeight="1">
      <c r="A153" s="9" t="inlineStr">
        <is>
          <t>Carmine's 44th Street</t>
        </is>
      </c>
      <c r="B153" s="10" t="inlineStr">
        <is>
          <t>Restaurante étnico</t>
        </is>
      </c>
      <c r="C153" s="11" t="inlineStr">
        <is>
          <t>Comida</t>
        </is>
      </c>
      <c r="D153" s="11" t="inlineStr">
        <is>
          <t>Theater District</t>
        </is>
      </c>
      <c r="E153" s="11" t="inlineStr">
        <is>
          <t>Manhattan</t>
        </is>
      </c>
      <c r="F153" s="12" t="n">
        <v>1</v>
      </c>
      <c r="G153" s="12" t="n">
        <v>1</v>
      </c>
      <c r="H153" s="13">
        <f>IF(AND(F153=2,G153=2),"AMBOS",IF(AND(F153=2,G153&lt;2),"solo JP",IF(AND(F153&lt;2,G153=2),"solo Thais","-")))</f>
        <v/>
      </c>
      <c r="I153" s="14" t="n">
        <v>45</v>
      </c>
      <c r="J153" s="15" t="n">
        <v>1.5</v>
      </c>
      <c r="K153" s="13" t="inlineStr">
        <is>
          <t>SÍ</t>
        </is>
      </c>
      <c r="L153" s="16" t="inlineStr">
        <is>
          <t>—</t>
        </is>
      </c>
      <c r="M153" s="11" t="inlineStr">
        <is>
          <t>—</t>
        </is>
      </c>
      <c r="N153" s="16" t="inlineStr">
        <is>
          <t>—</t>
        </is>
      </c>
      <c r="O153" s="16" t="inlineStr">
        <is>
          <t>—</t>
        </is>
      </c>
      <c r="P153" s="16" t="inlineStr">
        <is>
          <t>42 St-Times Sq</t>
        </is>
      </c>
      <c r="Q153" s="16" t="inlineStr">
        <is>
          <t>Italiano familiar de platos para compartir, pensado para antes del teatro. Reservar.</t>
        </is>
      </c>
      <c r="R153" s="16" t="inlineStr">
        <is>
          <t>200 W 44th St</t>
        </is>
      </c>
      <c r="S153" s="16" t="inlineStr">
        <is>
          <t>—</t>
        </is>
      </c>
      <c r="T153" s="18" t="inlineStr">
        <is>
          <t>Abrir ↗</t>
        </is>
      </c>
      <c r="U153" s="19" t="inlineStr">
        <is>
          <t>lista google</t>
        </is>
      </c>
      <c r="V153" s="20" t="inlineStr"/>
    </row>
    <row r="154" ht="46" customHeight="1">
      <c r="A154" s="9" t="inlineStr">
        <is>
          <t>Deluxe Green Bo</t>
        </is>
      </c>
      <c r="B154" s="10" t="inlineStr">
        <is>
          <t>Restaurante étnico</t>
        </is>
      </c>
      <c r="C154" s="11" t="inlineStr">
        <is>
          <t>Comida</t>
        </is>
      </c>
      <c r="D154" s="11" t="inlineStr">
        <is>
          <t>Chinatown</t>
        </is>
      </c>
      <c r="E154" s="11" t="inlineStr">
        <is>
          <t>Manhattan</t>
        </is>
      </c>
      <c r="F154" s="12" t="n">
        <v>1</v>
      </c>
      <c r="G154" s="12" t="n">
        <v>1</v>
      </c>
      <c r="H154" s="13">
        <f>IF(AND(F154=2,G154=2),"AMBOS",IF(AND(F154=2,G154&lt;2),"solo JP",IF(AND(F154&lt;2,G154=2),"solo Thais","-")))</f>
        <v/>
      </c>
      <c r="I154" s="14" t="n">
        <v>20</v>
      </c>
      <c r="J154" s="15" t="n">
        <v>1</v>
      </c>
      <c r="K154" s="13" t="inlineStr">
        <is>
          <t>no</t>
        </is>
      </c>
      <c r="L154" s="16" t="inlineStr">
        <is>
          <t>—</t>
        </is>
      </c>
      <c r="M154" s="11" t="inlineStr">
        <is>
          <t>—</t>
        </is>
      </c>
      <c r="N154" s="16" t="inlineStr">
        <is>
          <t>—</t>
        </is>
      </c>
      <c r="O154" s="16" t="inlineStr">
        <is>
          <t>—</t>
        </is>
      </c>
      <c r="P154" s="16" t="inlineStr">
        <is>
          <t>Canal St (6,N,Q,R,W,J,Z)</t>
        </is>
      </c>
      <c r="Q154" s="16" t="inlineStr">
        <is>
          <t>Shanghainés viejo de Chinatown: los soup dumplings y el pork chop rice cake.</t>
        </is>
      </c>
      <c r="R154" s="16" t="inlineStr">
        <is>
          <t>66 Bayard St</t>
        </is>
      </c>
      <c r="S154" s="16" t="inlineStr">
        <is>
          <t>—</t>
        </is>
      </c>
      <c r="T154" s="18" t="inlineStr">
        <is>
          <t>Abrir ↗</t>
        </is>
      </c>
      <c r="U154" s="19" t="inlineStr">
        <is>
          <t>lista google</t>
        </is>
      </c>
      <c r="V154" s="20" t="inlineStr"/>
    </row>
    <row r="155" ht="46" customHeight="1">
      <c r="A155" s="9" t="inlineStr">
        <is>
          <t>He Nan Mian Guan</t>
        </is>
      </c>
      <c r="B155" s="10" t="inlineStr">
        <is>
          <t>Restaurante étnico</t>
        </is>
      </c>
      <c r="C155" s="11" t="inlineStr">
        <is>
          <t>Comida</t>
        </is>
      </c>
      <c r="D155" s="11" t="inlineStr">
        <is>
          <t>Flushing</t>
        </is>
      </c>
      <c r="E155" s="11" t="inlineStr">
        <is>
          <t>Queens</t>
        </is>
      </c>
      <c r="F155" s="12" t="n">
        <v>0</v>
      </c>
      <c r="G155" s="12" t="n">
        <v>0</v>
      </c>
      <c r="H155" s="13">
        <f>IF(AND(F155=2,G155=2),"AMBOS",IF(AND(F155=2,G155&lt;2),"solo JP",IF(AND(F155&lt;2,G155=2),"solo Thais","-")))</f>
        <v/>
      </c>
      <c r="I155" s="14" t="n">
        <v>12</v>
      </c>
      <c r="J155" s="15" t="n">
        <v>1</v>
      </c>
      <c r="K155" s="13" t="inlineStr">
        <is>
          <t>no</t>
        </is>
      </c>
      <c r="L155" s="16" t="inlineStr">
        <is>
          <t>—</t>
        </is>
      </c>
      <c r="M155" s="11" t="inlineStr">
        <is>
          <t>—</t>
        </is>
      </c>
      <c r="N155" s="16" t="inlineStr">
        <is>
          <t>—</t>
        </is>
      </c>
      <c r="O155" s="16" t="inlineStr">
        <is>
          <t>—</t>
        </is>
      </c>
      <c r="P155" s="16" t="inlineStr">
        <is>
          <t>Main St (7)</t>
        </is>
      </c>
      <c r="Q155" s="16" t="inlineStr">
        <is>
          <t>Fideos estirados a mano y rou jia mo (el 'hamburguesa' china de cerdo desmenuzado). Abre a las 6:30 de la manana.</t>
        </is>
      </c>
      <c r="R155" s="16" t="inlineStr">
        <is>
          <t>136-31 41st Ave, Flushing</t>
        </is>
      </c>
      <c r="S155" s="16" t="inlineStr">
        <is>
          <t>—</t>
        </is>
      </c>
      <c r="T155" s="18" t="inlineStr">
        <is>
          <t>Abrir ↗</t>
        </is>
      </c>
      <c r="U155" s="21" t="inlineStr">
        <is>
          <t>otros</t>
        </is>
      </c>
      <c r="V155" s="20" t="inlineStr"/>
    </row>
    <row r="156" ht="46" customHeight="1">
      <c r="A156" s="9" t="inlineStr">
        <is>
          <t>Hue House</t>
        </is>
      </c>
      <c r="B156" s="10" t="inlineStr">
        <is>
          <t>Restaurante étnico</t>
        </is>
      </c>
      <c r="C156" s="11" t="inlineStr">
        <is>
          <t>Comida</t>
        </is>
      </c>
      <c r="D156" s="11" t="inlineStr">
        <is>
          <t>Manhattan</t>
        </is>
      </c>
      <c r="E156" s="11" t="inlineStr">
        <is>
          <t>Manhattan</t>
        </is>
      </c>
      <c r="F156" s="12" t="n">
        <v>1</v>
      </c>
      <c r="G156" s="12" t="n">
        <v>1</v>
      </c>
      <c r="H156" s="13">
        <f>IF(AND(F156=2,G156=2),"AMBOS",IF(AND(F156=2,G156&lt;2),"solo JP",IF(AND(F156&lt;2,G156=2),"solo Thais","-")))</f>
        <v/>
      </c>
      <c r="I156" s="14" t="n">
        <v>45</v>
      </c>
      <c r="J156" s="15" t="n">
        <v>1.25</v>
      </c>
      <c r="K156" s="13" t="inlineStr">
        <is>
          <t>no</t>
        </is>
      </c>
      <c r="L156" s="16" t="inlineStr">
        <is>
          <t>—</t>
        </is>
      </c>
      <c r="M156" s="11" t="inlineStr">
        <is>
          <t>—</t>
        </is>
      </c>
      <c r="N156" s="16" t="inlineStr">
        <is>
          <t>—</t>
        </is>
      </c>
      <c r="O156" s="16" t="inlineStr">
        <is>
          <t>—</t>
        </is>
      </c>
      <c r="P156" s="16" t="inlineStr">
        <is>
          <t>-</t>
        </is>
      </c>
      <c r="Q156" s="16" t="inlineStr">
        <is>
          <t>Taiwanés moderno, cocina de isla sin concesiones al paladar turístico.</t>
        </is>
      </c>
      <c r="R156" s="16" t="inlineStr"/>
      <c r="S156" s="16" t="inlineStr">
        <is>
          <t>—</t>
        </is>
      </c>
      <c r="T156" s="18" t="inlineStr">
        <is>
          <t>Abrir ↗</t>
        </is>
      </c>
      <c r="U156" s="19" t="inlineStr">
        <is>
          <t>lista google</t>
        </is>
      </c>
      <c r="V156" s="20" t="inlineStr"/>
    </row>
    <row r="157" ht="46" customHeight="1">
      <c r="A157" s="9" t="inlineStr">
        <is>
          <t>Jalapeno King</t>
        </is>
      </c>
      <c r="B157" s="10" t="inlineStr">
        <is>
          <t>Restaurante étnico</t>
        </is>
      </c>
      <c r="C157" s="11" t="inlineStr">
        <is>
          <t>Comida</t>
        </is>
      </c>
      <c r="D157" s="11" t="inlineStr">
        <is>
          <t>Sunset Park</t>
        </is>
      </c>
      <c r="E157" s="11" t="inlineStr">
        <is>
          <t>Brooklyn</t>
        </is>
      </c>
      <c r="F157" s="12" t="n">
        <v>0</v>
      </c>
      <c r="G157" s="12" t="n">
        <v>0</v>
      </c>
      <c r="H157" s="13">
        <f>IF(AND(F157=2,G157=2),"AMBOS",IF(AND(F157=2,G157&lt;2),"solo JP",IF(AND(F157&lt;2,G157=2),"solo Thais","-")))</f>
        <v/>
      </c>
      <c r="I157" s="14" t="n">
        <v>14</v>
      </c>
      <c r="J157" s="15" t="n">
        <v>1</v>
      </c>
      <c r="K157" s="13" t="inlineStr">
        <is>
          <t>no</t>
        </is>
      </c>
      <c r="L157" s="16" t="inlineStr">
        <is>
          <t>—</t>
        </is>
      </c>
      <c r="M157" s="11" t="inlineStr">
        <is>
          <t>—</t>
        </is>
      </c>
      <c r="N157" s="16" t="inlineStr">
        <is>
          <t>—</t>
        </is>
      </c>
      <c r="O157" s="16" t="inlineStr">
        <is>
          <t>—</t>
        </is>
      </c>
      <c r="P157" s="16" t="inlineStr">
        <is>
          <t>45 St (R)</t>
        </is>
      </c>
      <c r="Q157" s="16" t="inlineStr">
        <is>
          <t>Tortillas hechas en casa. La torta de bistec y las picaditas de carne. Mexicano poblano de barrio, sin traduccion al ingles.</t>
        </is>
      </c>
      <c r="R157" s="16" t="inlineStr">
        <is>
          <t>5th Ave entre 22nd y 23rd St, Brooklyn</t>
        </is>
      </c>
      <c r="S157" s="16" t="inlineStr">
        <is>
          <t>—</t>
        </is>
      </c>
      <c r="T157" s="18" t="inlineStr">
        <is>
          <t>Abrir ↗</t>
        </is>
      </c>
      <c r="U157" s="21" t="inlineStr">
        <is>
          <t>otros</t>
        </is>
      </c>
      <c r="V157" s="20" t="inlineStr"/>
    </row>
    <row r="158" ht="46" customHeight="1">
      <c r="A158" s="9" t="inlineStr">
        <is>
          <t>Karczma</t>
        </is>
      </c>
      <c r="B158" s="10" t="inlineStr">
        <is>
          <t>Restaurante étnico</t>
        </is>
      </c>
      <c r="C158" s="11" t="inlineStr">
        <is>
          <t>Comida</t>
        </is>
      </c>
      <c r="D158" s="11" t="inlineStr">
        <is>
          <t>Greenpoint</t>
        </is>
      </c>
      <c r="E158" s="11" t="inlineStr">
        <is>
          <t>Brooklyn</t>
        </is>
      </c>
      <c r="F158" s="12" t="n">
        <v>0</v>
      </c>
      <c r="G158" s="12" t="n">
        <v>0</v>
      </c>
      <c r="H158" s="13">
        <f>IF(AND(F158=2,G158=2),"AMBOS",IF(AND(F158=2,G158&lt;2),"solo JP",IF(AND(F158&lt;2,G158=2),"solo Thais","-")))</f>
        <v/>
      </c>
      <c r="I158" s="14" t="n">
        <v>25</v>
      </c>
      <c r="J158" s="15" t="n">
        <v>1.5</v>
      </c>
      <c r="K158" s="13" t="inlineStr">
        <is>
          <t>no</t>
        </is>
      </c>
      <c r="L158" s="16" t="inlineStr">
        <is>
          <t>—</t>
        </is>
      </c>
      <c r="M158" s="11" t="inlineStr">
        <is>
          <t>—</t>
        </is>
      </c>
      <c r="N158" s="16" t="inlineStr">
        <is>
          <t>—</t>
        </is>
      </c>
      <c r="O158" s="16" t="inlineStr">
        <is>
          <t>—</t>
        </is>
      </c>
      <c r="P158" s="16" t="inlineStr">
        <is>
          <t>Greenpoint Av (G)</t>
        </is>
      </c>
      <c r="Q158" s="16" t="inlineStr">
        <is>
          <t>Bigos, golabki, panqueques de papa, y un plato de manteca de cerdo con pan de centeno y pepinos que es puro siglo XIX. Meseras de traje regional, y no es para turistas.</t>
        </is>
      </c>
      <c r="R158" s="16" t="inlineStr">
        <is>
          <t>136 Greenpoint Ave, Brooklyn</t>
        </is>
      </c>
      <c r="S158" s="16" t="inlineStr">
        <is>
          <t>—</t>
        </is>
      </c>
      <c r="T158" s="18" t="inlineStr">
        <is>
          <t>Abrir ↗</t>
        </is>
      </c>
      <c r="U158" s="21" t="inlineStr">
        <is>
          <t>otros</t>
        </is>
      </c>
      <c r="V158" s="20" t="inlineStr"/>
    </row>
    <row r="159" ht="46" customHeight="1">
      <c r="A159" s="9" t="inlineStr">
        <is>
          <t>Lhasa Fast Food</t>
        </is>
      </c>
      <c r="B159" s="10" t="inlineStr">
        <is>
          <t>Restaurante étnico</t>
        </is>
      </c>
      <c r="C159" s="11" t="inlineStr">
        <is>
          <t>Comida</t>
        </is>
      </c>
      <c r="D159" s="11" t="inlineStr">
        <is>
          <t>Jackson Heights</t>
        </is>
      </c>
      <c r="E159" s="11" t="inlineStr">
        <is>
          <t>Queens</t>
        </is>
      </c>
      <c r="F159" s="12" t="n">
        <v>0</v>
      </c>
      <c r="G159" s="12" t="n">
        <v>0</v>
      </c>
      <c r="H159" s="13">
        <f>IF(AND(F159=2,G159=2),"AMBOS",IF(AND(F159=2,G159&lt;2),"solo JP",IF(AND(F159&lt;2,G159=2),"solo Thais","-")))</f>
        <v/>
      </c>
      <c r="I159" s="14" t="n">
        <v>14</v>
      </c>
      <c r="J159" s="15" t="n">
        <v>1</v>
      </c>
      <c r="K159" s="13" t="inlineStr">
        <is>
          <t>no</t>
        </is>
      </c>
      <c r="L159" s="16" t="inlineStr">
        <is>
          <t>—</t>
        </is>
      </c>
      <c r="M159" s="11" t="inlineStr">
        <is>
          <t>—</t>
        </is>
      </c>
      <c r="N159" s="16" t="inlineStr">
        <is>
          <t>—</t>
        </is>
      </c>
      <c r="O159" s="16" t="inlineStr">
        <is>
          <t>—</t>
        </is>
      </c>
      <c r="P159" s="16" t="inlineStr">
        <is>
          <t>74 St-Roosevelt Av (7,E,F,M,R)</t>
        </is>
      </c>
      <c r="Q159" s="16" t="inlineStr">
        <is>
          <t>Escondido al fondo de un pasillo detras de un local de celulares. Momos tibetanos y thukpa. VERIFICAR: puede figurar como 'Lhasa Tibetan Restaurant' en la misma direccion.</t>
        </is>
      </c>
      <c r="R159" s="16" t="inlineStr">
        <is>
          <t>37-50 74th St, Jackson Heights</t>
        </is>
      </c>
      <c r="S159" s="16" t="inlineStr">
        <is>
          <t>—</t>
        </is>
      </c>
      <c r="T159" s="18" t="inlineStr">
        <is>
          <t>Abrir ↗</t>
        </is>
      </c>
      <c r="U159" s="21" t="inlineStr">
        <is>
          <t>otros</t>
        </is>
      </c>
      <c r="V159" s="20" t="inlineStr"/>
    </row>
    <row r="160" ht="46" customHeight="1">
      <c r="A160" s="9" t="inlineStr">
        <is>
          <t>Lil' Frankie's</t>
        </is>
      </c>
      <c r="B160" s="10" t="inlineStr">
        <is>
          <t>Restaurante étnico</t>
        </is>
      </c>
      <c r="C160" s="11" t="inlineStr">
        <is>
          <t>Comida</t>
        </is>
      </c>
      <c r="D160" s="11" t="inlineStr">
        <is>
          <t>East Village</t>
        </is>
      </c>
      <c r="E160" s="11" t="inlineStr">
        <is>
          <t>Manhattan</t>
        </is>
      </c>
      <c r="F160" s="12" t="n">
        <v>1</v>
      </c>
      <c r="G160" s="12" t="n">
        <v>1</v>
      </c>
      <c r="H160" s="13">
        <f>IF(AND(F160=2,G160=2),"AMBOS",IF(AND(F160=2,G160&lt;2),"solo JP",IF(AND(F160&lt;2,G160=2),"solo Thais","-")))</f>
        <v/>
      </c>
      <c r="I160" s="14" t="n">
        <v>30</v>
      </c>
      <c r="J160" s="15" t="n">
        <v>1.2</v>
      </c>
      <c r="K160" s="13" t="inlineStr">
        <is>
          <t>no</t>
        </is>
      </c>
      <c r="L160" s="16" t="inlineStr">
        <is>
          <t>—</t>
        </is>
      </c>
      <c r="M160" s="11" t="inlineStr">
        <is>
          <t>—</t>
        </is>
      </c>
      <c r="N160" s="16" t="inlineStr">
        <is>
          <t>—</t>
        </is>
      </c>
      <c r="O160" s="16" t="inlineStr">
        <is>
          <t>—</t>
        </is>
      </c>
      <c r="P160" s="16" t="inlineStr">
        <is>
          <t>2 Av (F)</t>
        </is>
      </c>
      <c r="Q160" s="16" t="inlineStr">
        <is>
          <t>pizza napolitana a horno de leña y pastas a mano. La marinara (sin muzzarella) y la bianca con aceite de trufa y romero.</t>
        </is>
      </c>
      <c r="R160" s="16" t="inlineStr">
        <is>
          <t>19 First Ave</t>
        </is>
      </c>
      <c r="S160" s="16" t="inlineStr">
        <is>
          <t>—</t>
        </is>
      </c>
      <c r="T160" s="18" t="inlineStr">
        <is>
          <t>Abrir ↗</t>
        </is>
      </c>
      <c r="U160" s="21" t="inlineStr">
        <is>
          <t>otros</t>
        </is>
      </c>
      <c r="V160" s="20" t="inlineStr"/>
    </row>
    <row r="161" ht="46" customHeight="1">
      <c r="A161" s="9" t="inlineStr">
        <is>
          <t>Malecon</t>
        </is>
      </c>
      <c r="B161" s="10" t="inlineStr">
        <is>
          <t>Restaurante étnico</t>
        </is>
      </c>
      <c r="C161" s="11" t="inlineStr">
        <is>
          <t>Comida</t>
        </is>
      </c>
      <c r="D161" s="11" t="inlineStr">
        <is>
          <t>Washington Heights</t>
        </is>
      </c>
      <c r="E161" s="11" t="inlineStr">
        <is>
          <t>Manhattan</t>
        </is>
      </c>
      <c r="F161" s="12" t="n">
        <v>0</v>
      </c>
      <c r="G161" s="12" t="n">
        <v>0</v>
      </c>
      <c r="H161" s="13">
        <f>IF(AND(F161=2,G161=2),"AMBOS",IF(AND(F161=2,G161&lt;2),"solo JP",IF(AND(F161&lt;2,G161=2),"solo Thais","-")))</f>
        <v/>
      </c>
      <c r="I161" s="14" t="n">
        <v>25</v>
      </c>
      <c r="J161" s="15" t="n">
        <v>1.25</v>
      </c>
      <c r="K161" s="13" t="inlineStr">
        <is>
          <t>no</t>
        </is>
      </c>
      <c r="L161" s="16" t="inlineStr">
        <is>
          <t>—</t>
        </is>
      </c>
      <c r="M161" s="11" t="inlineStr">
        <is>
          <t>—</t>
        </is>
      </c>
      <c r="N161" s="16" t="inlineStr">
        <is>
          <t>—</t>
        </is>
      </c>
      <c r="O161" s="16" t="inlineStr">
        <is>
          <t>—</t>
        </is>
      </c>
      <c r="P161" s="16" t="inlineStr">
        <is>
          <t>175 St (A), 181 St (1)</t>
        </is>
      </c>
      <c r="Q161" s="16" t="inlineStr">
        <is>
          <t>Mofongo con chicharron y longaniza, y parrillada de mariscos. Dominicano de verdad, con musica latina los fines de semana.</t>
        </is>
      </c>
      <c r="R161" s="16" t="inlineStr">
        <is>
          <t>4141 Broadway</t>
        </is>
      </c>
      <c r="S161" s="16" t="inlineStr">
        <is>
          <t>—</t>
        </is>
      </c>
      <c r="T161" s="18" t="inlineStr">
        <is>
          <t>Abrir ↗</t>
        </is>
      </c>
      <c r="U161" s="21" t="inlineStr">
        <is>
          <t>otros</t>
        </is>
      </c>
      <c r="V161" s="20" t="inlineStr"/>
    </row>
    <row r="162" ht="46" customHeight="1">
      <c r="A162" s="9" t="inlineStr">
        <is>
          <t>Nepali Bhanchha Ghar</t>
        </is>
      </c>
      <c r="B162" s="10" t="inlineStr">
        <is>
          <t>Restaurante étnico</t>
        </is>
      </c>
      <c r="C162" s="11" t="inlineStr">
        <is>
          <t>Comida</t>
        </is>
      </c>
      <c r="D162" s="11" t="inlineStr">
        <is>
          <t>Jackson Heights</t>
        </is>
      </c>
      <c r="E162" s="11" t="inlineStr">
        <is>
          <t>Queens</t>
        </is>
      </c>
      <c r="F162" s="12" t="n">
        <v>0</v>
      </c>
      <c r="G162" s="12" t="n">
        <v>0</v>
      </c>
      <c r="H162" s="13">
        <f>IF(AND(F162=2,G162=2),"AMBOS",IF(AND(F162=2,G162&lt;2),"solo JP",IF(AND(F162&lt;2,G162=2),"solo Thais","-")))</f>
        <v/>
      </c>
      <c r="I162" s="14" t="n">
        <v>18</v>
      </c>
      <c r="J162" s="15" t="n">
        <v>1.25</v>
      </c>
      <c r="K162" s="13" t="inlineStr">
        <is>
          <t>no</t>
        </is>
      </c>
      <c r="L162" s="16" t="inlineStr">
        <is>
          <t>—</t>
        </is>
      </c>
      <c r="M162" s="11" t="inlineStr">
        <is>
          <t>—</t>
        </is>
      </c>
      <c r="N162" s="16" t="inlineStr">
        <is>
          <t>—</t>
        </is>
      </c>
      <c r="O162" s="16" t="inlineStr">
        <is>
          <t>—</t>
        </is>
      </c>
      <c r="P162" s="16" t="inlineStr">
        <is>
          <t>74 St-Roosevelt Av (7,E,F,M,R)</t>
        </is>
      </c>
      <c r="Q162" s="16" t="inlineStr">
        <is>
          <t>Jhol momo: dumplings de carne flotando en salsa de sesamo y tomate. Y sel roti. El mejor nepali de la ciudad segun la prensa gastronomica local.</t>
        </is>
      </c>
      <c r="R162" s="16" t="inlineStr">
        <is>
          <t>74-06 37th Rd, Jackson Heights</t>
        </is>
      </c>
      <c r="S162" s="16" t="inlineStr">
        <is>
          <t>—</t>
        </is>
      </c>
      <c r="T162" s="18" t="inlineStr">
        <is>
          <t>Abrir ↗</t>
        </is>
      </c>
      <c r="U162" s="21" t="inlineStr">
        <is>
          <t>otros</t>
        </is>
      </c>
      <c r="V162" s="20" t="inlineStr"/>
    </row>
    <row r="163" ht="46" customHeight="1">
      <c r="A163" s="9" t="inlineStr">
        <is>
          <t>New Nurlan Uyghur</t>
        </is>
      </c>
      <c r="B163" s="10" t="inlineStr">
        <is>
          <t>Restaurante étnico</t>
        </is>
      </c>
      <c r="C163" s="11" t="inlineStr">
        <is>
          <t>Comida</t>
        </is>
      </c>
      <c r="D163" s="11" t="inlineStr">
        <is>
          <t>Flushing</t>
        </is>
      </c>
      <c r="E163" s="11" t="inlineStr">
        <is>
          <t>Queens</t>
        </is>
      </c>
      <c r="F163" s="12" t="n">
        <v>0</v>
      </c>
      <c r="G163" s="12" t="n">
        <v>0</v>
      </c>
      <c r="H163" s="13">
        <f>IF(AND(F163=2,G163=2),"AMBOS",IF(AND(F163=2,G163&lt;2),"solo JP",IF(AND(F163&lt;2,G163=2),"solo Thais","-")))</f>
        <v/>
      </c>
      <c r="I163" s="14" t="n">
        <v>22</v>
      </c>
      <c r="J163" s="15" t="n">
        <v>1.25</v>
      </c>
      <c r="K163" s="13" t="inlineStr">
        <is>
          <t>no</t>
        </is>
      </c>
      <c r="L163" s="16" t="inlineStr">
        <is>
          <t>—</t>
        </is>
      </c>
      <c r="M163" s="11" t="inlineStr">
        <is>
          <t>—</t>
        </is>
      </c>
      <c r="N163" s="16" t="inlineStr">
        <is>
          <t>—</t>
        </is>
      </c>
      <c r="O163" s="16" t="inlineStr">
        <is>
          <t>—</t>
        </is>
      </c>
      <c r="P163" s="16" t="inlineStr">
        <is>
          <t>Main St (7)</t>
        </is>
      </c>
      <c r="Q163" s="16" t="inlineStr">
        <is>
          <t>Cocina uigur, no china han: brochetas de cordero especiadas y dumplings de calabaza de masa finisima. Esta en el subsuelo de un hotel y no lo encuentra nadie.</t>
        </is>
      </c>
      <c r="R163" s="16" t="inlineStr">
        <is>
          <t>135-51 39th Ave, Flushing (subsuelo)</t>
        </is>
      </c>
      <c r="S163" s="16" t="inlineStr">
        <is>
          <t>—</t>
        </is>
      </c>
      <c r="T163" s="18" t="inlineStr">
        <is>
          <t>Abrir ↗</t>
        </is>
      </c>
      <c r="U163" s="21" t="inlineStr">
        <is>
          <t>otros</t>
        </is>
      </c>
      <c r="V163" s="20" t="inlineStr"/>
    </row>
    <row r="164" ht="46" customHeight="1">
      <c r="A164" s="9" t="inlineStr">
        <is>
          <t>Nom Wah Tea Parlor</t>
        </is>
      </c>
      <c r="B164" s="10" t="inlineStr">
        <is>
          <t>Restaurante étnico</t>
        </is>
      </c>
      <c r="C164" s="11" t="inlineStr">
        <is>
          <t>Comida</t>
        </is>
      </c>
      <c r="D164" s="11" t="inlineStr">
        <is>
          <t>Chinatown</t>
        </is>
      </c>
      <c r="E164" s="11" t="inlineStr">
        <is>
          <t>Manhattan</t>
        </is>
      </c>
      <c r="F164" s="12" t="n">
        <v>1</v>
      </c>
      <c r="G164" s="12" t="n">
        <v>1</v>
      </c>
      <c r="H164" s="13">
        <f>IF(AND(F164=2,G164=2),"AMBOS",IF(AND(F164=2,G164&lt;2),"solo JP",IF(AND(F164&lt;2,G164=2),"solo Thais","-")))</f>
        <v/>
      </c>
      <c r="I164" s="14" t="n">
        <v>20</v>
      </c>
      <c r="J164" s="15" t="n">
        <v>1</v>
      </c>
      <c r="K164" s="13" t="inlineStr">
        <is>
          <t>no</t>
        </is>
      </c>
      <c r="L164" s="16" t="inlineStr">
        <is>
          <t>—</t>
        </is>
      </c>
      <c r="M164" s="11" t="inlineStr">
        <is>
          <t>—</t>
        </is>
      </c>
      <c r="N164" s="16" t="inlineStr">
        <is>
          <t>—</t>
        </is>
      </c>
      <c r="O164" s="16" t="inlineStr">
        <is>
          <t>—</t>
        </is>
      </c>
      <c r="P164" s="16" t="inlineStr">
        <is>
          <t>Canal St (J,N,Q,R,W,6)</t>
        </is>
      </c>
      <c r="Q164" s="16" t="inlineStr">
        <is>
          <t>1920, en la cuadra torcida de Doyers. El dim sum mas viejo de Nueva York, con los boxes rojos originales.</t>
        </is>
      </c>
      <c r="R164" s="16" t="inlineStr">
        <is>
          <t>13 Doyers St</t>
        </is>
      </c>
      <c r="S164" s="16" t="inlineStr">
        <is>
          <t>—</t>
        </is>
      </c>
      <c r="T164" s="18" t="inlineStr">
        <is>
          <t>Abrir ↗</t>
        </is>
      </c>
      <c r="U164" s="21" t="inlineStr">
        <is>
          <t>otros</t>
        </is>
      </c>
      <c r="V164" s="20" t="inlineStr"/>
    </row>
    <row r="165" ht="46" customHeight="1">
      <c r="A165" s="9" t="inlineStr">
        <is>
          <t>Pierozek</t>
        </is>
      </c>
      <c r="B165" s="10" t="inlineStr">
        <is>
          <t>Restaurante étnico</t>
        </is>
      </c>
      <c r="C165" s="11" t="inlineStr">
        <is>
          <t>Comida</t>
        </is>
      </c>
      <c r="D165" s="11" t="inlineStr">
        <is>
          <t>Greenpoint</t>
        </is>
      </c>
      <c r="E165" s="11" t="inlineStr">
        <is>
          <t>Brooklyn</t>
        </is>
      </c>
      <c r="F165" s="12" t="n">
        <v>0</v>
      </c>
      <c r="G165" s="12" t="n">
        <v>0</v>
      </c>
      <c r="H165" s="13">
        <f>IF(AND(F165=2,G165=2),"AMBOS",IF(AND(F165=2,G165&lt;2),"solo JP",IF(AND(F165&lt;2,G165=2),"solo Thais","-")))</f>
        <v/>
      </c>
      <c r="I165" s="14" t="n">
        <v>18</v>
      </c>
      <c r="J165" s="15" t="n">
        <v>1</v>
      </c>
      <c r="K165" s="13" t="inlineStr">
        <is>
          <t>no</t>
        </is>
      </c>
      <c r="L165" s="16" t="inlineStr">
        <is>
          <t>—</t>
        </is>
      </c>
      <c r="M165" s="11" t="inlineStr">
        <is>
          <t>—</t>
        </is>
      </c>
      <c r="N165" s="16" t="inlineStr">
        <is>
          <t>—</t>
        </is>
      </c>
      <c r="O165" s="16" t="inlineStr">
        <is>
          <t>—</t>
        </is>
      </c>
      <c r="P165" s="16" t="inlineStr">
        <is>
          <t>Nassau Av (G)</t>
        </is>
      </c>
      <c r="Q165" s="16" t="inlineStr">
        <is>
          <t>Bib Gourmand Michelin: el unico restaurante polaco de Estados Unidos reconocido por la guia. Pierogi ruskie y tatarskie.</t>
        </is>
      </c>
      <c r="R165" s="16" t="inlineStr">
        <is>
          <t>833 Manhattan Ave, Brooklyn</t>
        </is>
      </c>
      <c r="S165" s="16" t="inlineStr">
        <is>
          <t>—</t>
        </is>
      </c>
      <c r="T165" s="18" t="inlineStr">
        <is>
          <t>Abrir ↗</t>
        </is>
      </c>
      <c r="U165" s="21" t="inlineStr">
        <is>
          <t>otros</t>
        </is>
      </c>
      <c r="V165" s="20" t="inlineStr"/>
    </row>
    <row r="166" ht="46" customHeight="1">
      <c r="A166" s="9" t="inlineStr">
        <is>
          <t>Pies 'n' Thighs</t>
        </is>
      </c>
      <c r="B166" s="10" t="inlineStr">
        <is>
          <t>Restaurante étnico</t>
        </is>
      </c>
      <c r="C166" s="11" t="inlineStr">
        <is>
          <t>Comida</t>
        </is>
      </c>
      <c r="D166" s="11" t="inlineStr">
        <is>
          <t>Williamsburg</t>
        </is>
      </c>
      <c r="E166" s="11" t="inlineStr">
        <is>
          <t>Brooklyn</t>
        </is>
      </c>
      <c r="F166" s="12" t="n">
        <v>1</v>
      </c>
      <c r="G166" s="12" t="n">
        <v>1</v>
      </c>
      <c r="H166" s="13">
        <f>IF(AND(F166=2,G166=2),"AMBOS",IF(AND(F166=2,G166&lt;2),"solo JP",IF(AND(F166&lt;2,G166=2),"solo Thais","-")))</f>
        <v/>
      </c>
      <c r="I166" s="14" t="n">
        <v>25</v>
      </c>
      <c r="J166" s="15" t="n">
        <v>1</v>
      </c>
      <c r="K166" s="13" t="inlineStr">
        <is>
          <t>no</t>
        </is>
      </c>
      <c r="L166" s="16" t="inlineStr">
        <is>
          <t>—</t>
        </is>
      </c>
      <c r="M166" s="11" t="inlineStr">
        <is>
          <t>—</t>
        </is>
      </c>
      <c r="N166" s="16" t="inlineStr">
        <is>
          <t>—</t>
        </is>
      </c>
      <c r="O166" s="16" t="inlineStr">
        <is>
          <t>—</t>
        </is>
      </c>
      <c r="P166" s="16" t="inlineStr">
        <is>
          <t>Marcy Av (J,M,Z)</t>
        </is>
      </c>
      <c r="Q166" s="16" t="inlineStr">
        <is>
          <t>Pollo frito sureño y pies, al pie del puente de Williamsburg. Cerca de Peter Luger.</t>
        </is>
      </c>
      <c r="R166" s="16" t="inlineStr">
        <is>
          <t>166 S 4th St</t>
        </is>
      </c>
      <c r="S166" s="16" t="inlineStr">
        <is>
          <t>—</t>
        </is>
      </c>
      <c r="T166" s="18" t="inlineStr">
        <is>
          <t>Abrir ↗</t>
        </is>
      </c>
      <c r="U166" s="19" t="inlineStr">
        <is>
          <t>lista google</t>
        </is>
      </c>
      <c r="V166" s="20" t="inlineStr"/>
    </row>
    <row r="167" ht="46" customHeight="1">
      <c r="A167" s="9" t="inlineStr">
        <is>
          <t>Sakagura</t>
        </is>
      </c>
      <c r="B167" s="10" t="inlineStr">
        <is>
          <t>Restaurante étnico</t>
        </is>
      </c>
      <c r="C167" s="11" t="inlineStr">
        <is>
          <t>Comida</t>
        </is>
      </c>
      <c r="D167" s="11" t="inlineStr">
        <is>
          <t>Midtown East</t>
        </is>
      </c>
      <c r="E167" s="11" t="inlineStr">
        <is>
          <t>Manhattan</t>
        </is>
      </c>
      <c r="F167" s="12" t="n">
        <v>1</v>
      </c>
      <c r="G167" s="12" t="n">
        <v>1</v>
      </c>
      <c r="H167" s="13">
        <f>IF(AND(F167=2,G167=2),"AMBOS",IF(AND(F167=2,G167&lt;2),"solo JP",IF(AND(F167&lt;2,G167=2),"solo Thais","-")))</f>
        <v/>
      </c>
      <c r="I167" s="14" t="n">
        <v>60</v>
      </c>
      <c r="J167" s="15" t="n">
        <v>1.5</v>
      </c>
      <c r="K167" s="13" t="inlineStr">
        <is>
          <t>no</t>
        </is>
      </c>
      <c r="L167" s="16" t="inlineStr">
        <is>
          <t>—</t>
        </is>
      </c>
      <c r="M167" s="11" t="inlineStr">
        <is>
          <t>—</t>
        </is>
      </c>
      <c r="N167" s="16" t="inlineStr">
        <is>
          <t>—</t>
        </is>
      </c>
      <c r="O167" s="16" t="inlineStr">
        <is>
          <t>—</t>
        </is>
      </c>
      <c r="P167" s="16" t="inlineStr">
        <is>
          <t>Grand Central-42 St (4,5,6,7,S)</t>
        </is>
      </c>
      <c r="Q167" s="16" t="inlineStr">
        <is>
          <t>Izakaya escondido en el SÓTANO de un edificio de oficinas: se entra por el lobby y se baja. 200 sakes.</t>
        </is>
      </c>
      <c r="R167" s="16" t="inlineStr">
        <is>
          <t>211 E 43rd St (sótano)</t>
        </is>
      </c>
      <c r="S167" s="16" t="inlineStr">
        <is>
          <t>—</t>
        </is>
      </c>
      <c r="T167" s="18" t="inlineStr">
        <is>
          <t>Abrir ↗</t>
        </is>
      </c>
      <c r="U167" s="19" t="inlineStr">
        <is>
          <t>lista google</t>
        </is>
      </c>
      <c r="V167" s="20" t="inlineStr"/>
    </row>
    <row r="168" ht="46" customHeight="1">
      <c r="A168" s="9" t="inlineStr">
        <is>
          <t>Tacos El Bronco</t>
        </is>
      </c>
      <c r="B168" s="10" t="inlineStr">
        <is>
          <t>Restaurante étnico</t>
        </is>
      </c>
      <c r="C168" s="11" t="inlineStr">
        <is>
          <t>Comida</t>
        </is>
      </c>
      <c r="D168" s="11" t="inlineStr">
        <is>
          <t>Sunset Park</t>
        </is>
      </c>
      <c r="E168" s="11" t="inlineStr">
        <is>
          <t>Brooklyn</t>
        </is>
      </c>
      <c r="F168" s="12" t="n">
        <v>0</v>
      </c>
      <c r="G168" s="12" t="n">
        <v>0</v>
      </c>
      <c r="H168" s="13">
        <f>IF(AND(F168=2,G168=2),"AMBOS",IF(AND(F168=2,G168&lt;2),"solo JP",IF(AND(F168&lt;2,G168=2),"solo Thais","-")))</f>
        <v/>
      </c>
      <c r="I168" s="14" t="n">
        <v>12</v>
      </c>
      <c r="J168" s="15" t="n">
        <v>0.75</v>
      </c>
      <c r="K168" s="13" t="inlineStr">
        <is>
          <t>no</t>
        </is>
      </c>
      <c r="L168" s="16" t="inlineStr">
        <is>
          <t>—</t>
        </is>
      </c>
      <c r="M168" s="11" t="inlineStr">
        <is>
          <t>—</t>
        </is>
      </c>
      <c r="N168" s="16" t="inlineStr">
        <is>
          <t>—</t>
        </is>
      </c>
      <c r="O168" s="16" t="inlineStr">
        <is>
          <t>—</t>
        </is>
      </c>
      <c r="P168" s="16" t="inlineStr">
        <is>
          <t>45 St (R)</t>
        </is>
      </c>
      <c r="Q168" s="16" t="inlineStr">
        <is>
          <t>Paso de food truck a local. Lengua, al pastor, cabeza, cueritos. Es el taco de barrio, no el de menu bilingue.</t>
        </is>
      </c>
      <c r="R168" s="16" t="inlineStr">
        <is>
          <t>4324 4th Ave, Brooklyn</t>
        </is>
      </c>
      <c r="S168" s="16" t="inlineStr">
        <is>
          <t>—</t>
        </is>
      </c>
      <c r="T168" s="18" t="inlineStr">
        <is>
          <t>Abrir ↗</t>
        </is>
      </c>
      <c r="U168" s="21" t="inlineStr">
        <is>
          <t>otros</t>
        </is>
      </c>
      <c r="V168" s="20" t="inlineStr"/>
    </row>
    <row r="169" ht="46" customHeight="1">
      <c r="A169" s="9" t="inlineStr">
        <is>
          <t>Tanoreen</t>
        </is>
      </c>
      <c r="B169" s="10" t="inlineStr">
        <is>
          <t>Restaurante étnico</t>
        </is>
      </c>
      <c r="C169" s="11" t="inlineStr">
        <is>
          <t>Comida</t>
        </is>
      </c>
      <c r="D169" s="11" t="inlineStr">
        <is>
          <t>Bay Ridge</t>
        </is>
      </c>
      <c r="E169" s="11" t="inlineStr">
        <is>
          <t>Brooklyn</t>
        </is>
      </c>
      <c r="F169" s="12" t="n">
        <v>2</v>
      </c>
      <c r="G169" s="12" t="n">
        <v>2</v>
      </c>
      <c r="H169" s="13">
        <f>IF(AND(F169=2,G169=2),"AMBOS",IF(AND(F169=2,G169&lt;2),"solo JP",IF(AND(F169&lt;2,G169=2),"solo Thais","-")))</f>
        <v/>
      </c>
      <c r="I169" s="14" t="n">
        <v>35</v>
      </c>
      <c r="J169" s="15" t="n">
        <v>1.5</v>
      </c>
      <c r="K169" s="13" t="inlineStr">
        <is>
          <t>no</t>
        </is>
      </c>
      <c r="L169" s="16" t="inlineStr">
        <is>
          <t>—</t>
        </is>
      </c>
      <c r="M169" s="11" t="inlineStr">
        <is>
          <t>—</t>
        </is>
      </c>
      <c r="N169" s="16" t="inlineStr">
        <is>
          <t>—</t>
        </is>
      </c>
      <c r="O169" s="16" t="inlineStr">
        <is>
          <t>—</t>
        </is>
      </c>
      <c r="P169" s="16" t="inlineStr">
        <is>
          <t>86 St (R)</t>
        </is>
      </c>
      <c r="Q169" s="16" t="inlineStr">
        <is>
          <t>Palestino, en el Michelin Guide. Coliflor frita con tahini y halloumi frito. La chef Rawia Bishara es una institucion.</t>
        </is>
      </c>
      <c r="R169" s="16" t="inlineStr">
        <is>
          <t>7523 3rd Ave, Brooklyn</t>
        </is>
      </c>
      <c r="S169" s="16" t="inlineStr">
        <is>
          <t>—</t>
        </is>
      </c>
      <c r="T169" s="18" t="inlineStr">
        <is>
          <t>Abrir ↗</t>
        </is>
      </c>
      <c r="U169" s="19" t="inlineStr">
        <is>
          <t>lista google</t>
        </is>
      </c>
      <c r="V169" s="20" t="inlineStr"/>
    </row>
    <row r="170" ht="46" customHeight="1">
      <c r="A170" s="9" t="inlineStr">
        <is>
          <t>Taverna Kyclades</t>
        </is>
      </c>
      <c r="B170" s="10" t="inlineStr">
        <is>
          <t>Restaurante étnico</t>
        </is>
      </c>
      <c r="C170" s="11" t="inlineStr">
        <is>
          <t>Comida</t>
        </is>
      </c>
      <c r="D170" s="11" t="inlineStr">
        <is>
          <t>Astoria</t>
        </is>
      </c>
      <c r="E170" s="11" t="inlineStr">
        <is>
          <t>Queens</t>
        </is>
      </c>
      <c r="F170" s="12" t="n">
        <v>0</v>
      </c>
      <c r="G170" s="12" t="n">
        <v>0</v>
      </c>
      <c r="H170" s="13">
        <f>IF(AND(F170=2,G170=2),"AMBOS",IF(AND(F170=2,G170&lt;2),"solo JP",IF(AND(F170&lt;2,G170=2),"solo Thais","-")))</f>
        <v/>
      </c>
      <c r="I170" s="14" t="n">
        <v>40</v>
      </c>
      <c r="J170" s="15" t="n">
        <v>1.5</v>
      </c>
      <c r="K170" s="13" t="inlineStr">
        <is>
          <t>no</t>
        </is>
      </c>
      <c r="L170" s="16" t="inlineStr">
        <is>
          <t>—</t>
        </is>
      </c>
      <c r="M170" s="11" t="inlineStr">
        <is>
          <t>—</t>
        </is>
      </c>
      <c r="N170" s="16" t="inlineStr">
        <is>
          <t>—</t>
        </is>
      </c>
      <c r="O170" s="16" t="inlineStr">
        <is>
          <t>—</t>
        </is>
      </c>
      <c r="P170" s="16" t="inlineStr">
        <is>
          <t>30 Av (N,W)</t>
        </is>
      </c>
      <c r="Q170" s="16" t="inlineStr">
        <is>
          <t>Pescado griego a la parrilla, entero, con limon. La referencia del barrio desde hace decadas y en el Michelin Guide. No toman reserva: hay cola.</t>
        </is>
      </c>
      <c r="R170" s="16" t="inlineStr">
        <is>
          <t>33-07 Ditmars Blvd, Astoria</t>
        </is>
      </c>
      <c r="S170" s="16" t="inlineStr">
        <is>
          <t>—</t>
        </is>
      </c>
      <c r="T170" s="18" t="inlineStr">
        <is>
          <t>Abrir ↗</t>
        </is>
      </c>
      <c r="U170" s="21" t="inlineStr">
        <is>
          <t>otros</t>
        </is>
      </c>
      <c r="V170" s="20" t="inlineStr"/>
    </row>
    <row r="171" ht="46" customHeight="1">
      <c r="A171" s="9" t="inlineStr">
        <is>
          <t>Trattoria Tra Di Noi</t>
        </is>
      </c>
      <c r="B171" s="10" t="inlineStr">
        <is>
          <t>Restaurante étnico</t>
        </is>
      </c>
      <c r="C171" s="11" t="inlineStr">
        <is>
          <t>Comida</t>
        </is>
      </c>
      <c r="D171" s="11" t="inlineStr">
        <is>
          <t>Belmont</t>
        </is>
      </c>
      <c r="E171" s="11" t="inlineStr">
        <is>
          <t>Bronx</t>
        </is>
      </c>
      <c r="F171" s="12" t="n">
        <v>1</v>
      </c>
      <c r="G171" s="12" t="n">
        <v>1</v>
      </c>
      <c r="H171" s="13">
        <f>IF(AND(F171=2,G171=2),"AMBOS",IF(AND(F171=2,G171&lt;2),"solo JP",IF(AND(F171&lt;2,G171=2),"solo Thais","-")))</f>
        <v/>
      </c>
      <c r="I171" s="14" t="n">
        <v>65</v>
      </c>
      <c r="J171" s="15" t="n">
        <v>1.5</v>
      </c>
      <c r="K171" s="13" t="inlineStr">
        <is>
          <t>no</t>
        </is>
      </c>
      <c r="L171" s="16" t="inlineStr">
        <is>
          <t>—</t>
        </is>
      </c>
      <c r="M171" s="11" t="inlineStr">
        <is>
          <t>—</t>
        </is>
      </c>
      <c r="N171" s="16" t="inlineStr">
        <is>
          <t>—</t>
        </is>
      </c>
      <c r="O171" s="16" t="inlineStr">
        <is>
          <t>—</t>
        </is>
      </c>
      <c r="P171" s="16" t="inlineStr">
        <is>
          <t>Fordham Rd (B,D)</t>
        </is>
      </c>
      <c r="Q171"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1" s="16" t="inlineStr">
        <is>
          <t>622 E 187th St, Bronx</t>
        </is>
      </c>
      <c r="S171" s="16" t="inlineStr">
        <is>
          <t>—</t>
        </is>
      </c>
      <c r="T171" s="18" t="inlineStr">
        <is>
          <t>Abrir ↗</t>
        </is>
      </c>
      <c r="U171" s="21" t="inlineStr">
        <is>
          <t>otros</t>
        </is>
      </c>
      <c r="V171" s="20" t="inlineStr"/>
    </row>
    <row r="172" ht="46" customHeight="1">
      <c r="A172" s="9" t="inlineStr">
        <is>
          <t>Uncle Lou</t>
        </is>
      </c>
      <c r="B172" s="10" t="inlineStr">
        <is>
          <t>Restaurante étnico</t>
        </is>
      </c>
      <c r="C172" s="11" t="inlineStr">
        <is>
          <t>Comida</t>
        </is>
      </c>
      <c r="D172" s="11" t="inlineStr">
        <is>
          <t>Chinatown</t>
        </is>
      </c>
      <c r="E172" s="11" t="inlineStr">
        <is>
          <t>Manhattan</t>
        </is>
      </c>
      <c r="F172" s="12" t="n">
        <v>1</v>
      </c>
      <c r="G172" s="12" t="n">
        <v>1</v>
      </c>
      <c r="H172" s="13">
        <f>IF(AND(F172=2,G172=2),"AMBOS",IF(AND(F172=2,G172&lt;2),"solo JP",IF(AND(F172&lt;2,G172=2),"solo Thais","-")))</f>
        <v/>
      </c>
      <c r="I172" s="14" t="n">
        <v>37</v>
      </c>
      <c r="J172" s="15" t="n">
        <v>1</v>
      </c>
      <c r="K172" s="13" t="inlineStr">
        <is>
          <t>no</t>
        </is>
      </c>
      <c r="L172" s="16" t="inlineStr">
        <is>
          <t>—</t>
        </is>
      </c>
      <c r="M172" s="11" t="inlineStr">
        <is>
          <t>—</t>
        </is>
      </c>
      <c r="N172" s="16" t="inlineStr">
        <is>
          <t>—</t>
        </is>
      </c>
      <c r="O172" s="16" t="inlineStr">
        <is>
          <t>—</t>
        </is>
      </c>
      <c r="P172" s="16" t="inlineStr">
        <is>
          <t>Canal St (J,N,Q,R,W,6)</t>
        </is>
      </c>
      <c r="Q172" s="16" t="inlineStr">
        <is>
          <t>cantonés de Louis Wong, Critic's Pick del NYT. El pollo al ajo de piel crocante es por lo que va la gente; también wonton, siu mai y chow mei fun con vieiras y sepia frita. Mesas redondas con lazy susan y tres generaciones de familias chinas comiendo.</t>
        </is>
      </c>
      <c r="R172" s="16" t="inlineStr">
        <is>
          <t>73 Mulberry St</t>
        </is>
      </c>
      <c r="S172" s="16" t="inlineStr">
        <is>
          <t>—</t>
        </is>
      </c>
      <c r="T172" s="18" t="inlineStr">
        <is>
          <t>Abrir ↗</t>
        </is>
      </c>
      <c r="U172" s="21" t="inlineStr">
        <is>
          <t>otros</t>
        </is>
      </c>
      <c r="V172" s="20" t="inlineStr"/>
    </row>
    <row r="173" ht="46" customHeight="1">
      <c r="A173" s="9" t="inlineStr">
        <is>
          <t>Peter Luger Steak House</t>
        </is>
      </c>
      <c r="B173" s="10" t="inlineStr">
        <is>
          <t>Steakhouse clásico</t>
        </is>
      </c>
      <c r="C173" s="11" t="inlineStr">
        <is>
          <t>Comida</t>
        </is>
      </c>
      <c r="D173" s="11" t="inlineStr">
        <is>
          <t>Williamsburg</t>
        </is>
      </c>
      <c r="E173" s="11" t="inlineStr">
        <is>
          <t>Brooklyn</t>
        </is>
      </c>
      <c r="F173" s="12" t="n">
        <v>2</v>
      </c>
      <c r="G173" s="12" t="n">
        <v>2</v>
      </c>
      <c r="H173" s="13">
        <f>IF(AND(F173=2,G173=2),"AMBOS",IF(AND(F173=2,G173&lt;2),"solo JP",IF(AND(F173&lt;2,G173=2),"solo Thais","-")))</f>
        <v/>
      </c>
      <c r="I173" s="14" t="n">
        <v>110</v>
      </c>
      <c r="J173" s="15" t="n">
        <v>1.75</v>
      </c>
      <c r="K173" s="13" t="inlineStr">
        <is>
          <t>SÍ</t>
        </is>
      </c>
      <c r="L173" s="16" t="inlineStr">
        <is>
          <t>—</t>
        </is>
      </c>
      <c r="M173" s="11" t="inlineStr">
        <is>
          <t>—</t>
        </is>
      </c>
      <c r="N173" s="16" t="inlineStr">
        <is>
          <t>—</t>
        </is>
      </c>
      <c r="O173" s="16" t="inlineStr">
        <is>
          <t>Resy - reservar YA: los sabados se agotan con semanas</t>
        </is>
      </c>
      <c r="P173" s="16" t="inlineStr">
        <is>
          <t>Marcy Av (J,Z)</t>
        </is>
      </c>
      <c r="Q173" s="16" t="inlineStr">
        <is>
          <t>El steakhouse de 1887 con la carne dry-aged en el sotano: sigue siendo EL porterhouse contra el que se mide todo lo demas. Sala alemana, ruidosa, sin vueltas.</t>
        </is>
      </c>
      <c r="R173" s="16" t="inlineStr">
        <is>
          <t>178 Broadway, Brooklyn</t>
        </is>
      </c>
      <c r="S173" s="17" t="inlineStr">
        <is>
          <t>Día 8 · sáb 5/9</t>
        </is>
      </c>
      <c r="T173" s="18" t="inlineStr">
        <is>
          <t>Abrir ↗</t>
        </is>
      </c>
      <c r="U173" s="19" t="inlineStr">
        <is>
          <t>lista google</t>
        </is>
      </c>
      <c r="V173" s="20" t="inlineStr">
        <is>
          <t>SÍ</t>
        </is>
      </c>
    </row>
    <row r="174" ht="46" customHeight="1">
      <c r="A174" s="9" t="inlineStr">
        <is>
          <t>Bar Bayeux</t>
        </is>
      </c>
      <c r="B174" s="10" t="inlineStr">
        <is>
          <t>Bar con música</t>
        </is>
      </c>
      <c r="C174" s="11" t="inlineStr">
        <is>
          <t>Música</t>
        </is>
      </c>
      <c r="D174" s="11" t="inlineStr">
        <is>
          <t>Prospect Lefferts Gardens</t>
        </is>
      </c>
      <c r="E174" s="11" t="inlineStr">
        <is>
          <t>Brooklyn</t>
        </is>
      </c>
      <c r="F174" s="12" t="n">
        <v>1</v>
      </c>
      <c r="G174" s="12" t="n">
        <v>1</v>
      </c>
      <c r="H174" s="13">
        <f>IF(AND(F174=2,G174=2),"AMBOS",IF(AND(F174=2,G174&lt;2),"solo JP",IF(AND(F174&lt;2,G174=2),"solo Thais","-")))</f>
        <v/>
      </c>
      <c r="I174" s="14" t="n">
        <v>0</v>
      </c>
      <c r="J174" s="15" t="n">
        <v>2</v>
      </c>
      <c r="K174" s="13" t="inlineStr">
        <is>
          <t>no</t>
        </is>
      </c>
      <c r="L174" s="16" t="inlineStr">
        <is>
          <t>—</t>
        </is>
      </c>
      <c r="M174" s="11" t="inlineStr">
        <is>
          <t>—</t>
        </is>
      </c>
      <c r="N174" s="16" t="inlineStr">
        <is>
          <t>—</t>
        </is>
      </c>
      <c r="O174" s="16" t="inlineStr">
        <is>
          <t>—</t>
        </is>
      </c>
      <c r="P174" s="16" t="inlineStr">
        <is>
          <t>Sterling St (2,5)</t>
        </is>
      </c>
      <c r="Q174" s="16" t="inlineStr">
        <is>
          <t>Wine bar de barrio con jazz de verdad y sin entrada. El mas barato de la lista.</t>
        </is>
      </c>
      <c r="R174" s="16" t="inlineStr">
        <is>
          <t>1066 Nostrand Ave, Brooklyn</t>
        </is>
      </c>
      <c r="S174" s="16" t="inlineStr">
        <is>
          <t>—</t>
        </is>
      </c>
      <c r="T174" s="18" t="inlineStr">
        <is>
          <t>Abrir ↗</t>
        </is>
      </c>
      <c r="U174" s="19" t="inlineStr">
        <is>
          <t>lista google</t>
        </is>
      </c>
      <c r="V174" s="20" t="inlineStr"/>
    </row>
    <row r="175" ht="46" customHeight="1">
      <c r="A175" s="9" t="inlineStr">
        <is>
          <t>Bar LunAtico</t>
        </is>
      </c>
      <c r="B175" s="10" t="inlineStr">
        <is>
          <t>Bar con música</t>
        </is>
      </c>
      <c r="C175" s="11" t="inlineStr">
        <is>
          <t>Música</t>
        </is>
      </c>
      <c r="D175" s="11" t="inlineStr">
        <is>
          <t>Bedford-Stuyvesant</t>
        </is>
      </c>
      <c r="E175" s="11" t="inlineStr">
        <is>
          <t>Brooklyn</t>
        </is>
      </c>
      <c r="F175" s="12" t="n">
        <v>1</v>
      </c>
      <c r="G175" s="12" t="n">
        <v>1</v>
      </c>
      <c r="H175" s="13">
        <f>IF(AND(F175=2,G175=2),"AMBOS",IF(AND(F175=2,G175&lt;2),"solo JP",IF(AND(F175&lt;2,G175=2),"solo Thais","-")))</f>
        <v/>
      </c>
      <c r="I175" s="14" t="n">
        <v>10</v>
      </c>
      <c r="J175" s="15" t="n">
        <v>2.5</v>
      </c>
      <c r="K175" s="13" t="inlineStr">
        <is>
          <t>no</t>
        </is>
      </c>
      <c r="L175" s="16" t="inlineStr">
        <is>
          <t>—</t>
        </is>
      </c>
      <c r="M175" s="11" t="inlineStr">
        <is>
          <t>—</t>
        </is>
      </c>
      <c r="N175" s="16" t="inlineStr">
        <is>
          <t>—</t>
        </is>
      </c>
      <c r="O175" s="16" t="inlineStr">
        <is>
          <t>—</t>
        </is>
      </c>
      <c r="P175" s="16" t="inlineStr">
        <is>
          <t>Halsey St (J), Kingston-Throop (C)</t>
        </is>
      </c>
      <c r="Q175" s="16" t="inlineStr">
        <is>
          <t>Bar de barrio de musicos, no de publico. Dos sets todas las noches (21:00 y 22:15), cocina y cocteleria completas. Es la mejor relacion musica/precio de la ciudad. LLEVAR EFECTIVO.</t>
        </is>
      </c>
      <c r="R175" s="16" t="inlineStr">
        <is>
          <t>486 Halsey St, Brooklyn</t>
        </is>
      </c>
      <c r="S175" s="16" t="inlineStr">
        <is>
          <t>—</t>
        </is>
      </c>
      <c r="T175" s="18" t="inlineStr">
        <is>
          <t>Abrir ↗</t>
        </is>
      </c>
      <c r="U175" s="19" t="inlineStr">
        <is>
          <t>lista google</t>
        </is>
      </c>
      <c r="V175" s="20" t="inlineStr"/>
    </row>
    <row r="176" ht="46" customHeight="1">
      <c r="A176" s="9" t="inlineStr">
        <is>
          <t>Cafe Wha?</t>
        </is>
      </c>
      <c r="B176" s="10" t="inlineStr">
        <is>
          <t>Bar con música</t>
        </is>
      </c>
      <c r="C176" s="11" t="inlineStr">
        <is>
          <t>Música</t>
        </is>
      </c>
      <c r="D176" s="11" t="inlineStr">
        <is>
          <t>Greenwich Village</t>
        </is>
      </c>
      <c r="E176" s="11" t="inlineStr">
        <is>
          <t>Manhattan</t>
        </is>
      </c>
      <c r="F176" s="12" t="n">
        <v>2</v>
      </c>
      <c r="G176" s="12" t="n">
        <v>2</v>
      </c>
      <c r="H176" s="13">
        <f>IF(AND(F176=2,G176=2),"AMBOS",IF(AND(F176=2,G176&lt;2),"solo JP",IF(AND(F176&lt;2,G176=2),"solo Thais","-")))</f>
        <v/>
      </c>
      <c r="I176" s="14" t="n">
        <v>20</v>
      </c>
      <c r="J176" s="15" t="n">
        <v>1.5</v>
      </c>
      <c r="K176" s="13" t="inlineStr">
        <is>
          <t>SÍ</t>
        </is>
      </c>
      <c r="L176" s="16" t="inlineStr">
        <is>
          <t>—</t>
        </is>
      </c>
      <c r="M176" s="11" t="inlineStr">
        <is>
          <t>—</t>
        </is>
      </c>
      <c r="N176" s="16" t="inlineStr">
        <is>
          <t>—</t>
        </is>
      </c>
      <c r="O176" s="16" t="inlineStr">
        <is>
          <t>Eventbrite - la reserva NO garantiza admision: TODOS presentes 23:30 o liberan la mesa</t>
        </is>
      </c>
      <c r="P176" s="16" t="inlineStr">
        <is>
          <t>W 4 St (A,C,E,B,D,F,M), Christopher St (1)</t>
        </is>
      </c>
      <c r="Q176" s="16" t="inlineStr">
        <is>
          <t>El sotano del Village donde debutaron Dylan, Hendrix, Springsteen y Bill Cosby. La house band de fin de semana es una maquina de soul y funk. Sigue siendo un club de barrio, no un museo.</t>
        </is>
      </c>
      <c r="R176" s="16" t="inlineStr">
        <is>
          <t>115 MacDougal St</t>
        </is>
      </c>
      <c r="S176" s="17" t="inlineStr">
        <is>
          <t>Día 8 · sáb 5/9</t>
        </is>
      </c>
      <c r="T176" s="18" t="inlineStr">
        <is>
          <t>Abrir ↗</t>
        </is>
      </c>
      <c r="U176" s="19" t="inlineStr">
        <is>
          <t>lista google</t>
        </is>
      </c>
      <c r="V176" s="20" t="inlineStr">
        <is>
          <t>SÍ</t>
        </is>
      </c>
    </row>
    <row r="177" ht="46" customHeight="1">
      <c r="A177" s="9" t="inlineStr">
        <is>
          <t>Rudy's Bar &amp; Grill</t>
        </is>
      </c>
      <c r="B177" s="10" t="inlineStr">
        <is>
          <t>Bar con música</t>
        </is>
      </c>
      <c r="C177" s="11" t="inlineStr">
        <is>
          <t>Música</t>
        </is>
      </c>
      <c r="D177" s="11" t="inlineStr">
        <is>
          <t>Hell's Kitchen</t>
        </is>
      </c>
      <c r="E177" s="11" t="inlineStr">
        <is>
          <t>Manhattan</t>
        </is>
      </c>
      <c r="F177" s="12" t="n">
        <v>1</v>
      </c>
      <c r="G177" s="12" t="n">
        <v>1</v>
      </c>
      <c r="H177" s="13">
        <f>IF(AND(F177=2,G177=2),"AMBOS",IF(AND(F177=2,G177&lt;2),"solo JP",IF(AND(F177&lt;2,G177=2),"solo Thais","-")))</f>
        <v/>
      </c>
      <c r="I177" s="14" t="n">
        <v>10</v>
      </c>
      <c r="J177" s="15" t="n">
        <v>1</v>
      </c>
      <c r="K177" s="13" t="inlineStr">
        <is>
          <t>no</t>
        </is>
      </c>
      <c r="L177" s="16" t="inlineStr">
        <is>
          <t>—</t>
        </is>
      </c>
      <c r="M177" s="11" t="inlineStr">
        <is>
          <t>—</t>
        </is>
      </c>
      <c r="N177" s="16" t="inlineStr">
        <is>
          <t>—</t>
        </is>
      </c>
      <c r="O177" s="16" t="inlineStr">
        <is>
          <t>—</t>
        </is>
      </c>
      <c r="P177" s="16" t="inlineStr">
        <is>
          <t>50 St (C,E)</t>
        </is>
      </c>
      <c r="Q177" s="16" t="inlineStr">
        <is>
          <t>Dive bar de 1933 con el cerdo gigante en la puerta: cerveza barata y HOT DOGS GRATIS con la consumición.</t>
        </is>
      </c>
      <c r="R177" s="16" t="inlineStr">
        <is>
          <t>627 9th Ave</t>
        </is>
      </c>
      <c r="S177" s="16" t="inlineStr">
        <is>
          <t>—</t>
        </is>
      </c>
      <c r="T177" s="18" t="inlineStr">
        <is>
          <t>Abrir ↗</t>
        </is>
      </c>
      <c r="U177" s="19" t="inlineStr">
        <is>
          <t>lista google</t>
        </is>
      </c>
      <c r="V177" s="20" t="inlineStr"/>
    </row>
    <row r="178" ht="46" customHeight="1">
      <c r="A178" s="9" t="inlineStr">
        <is>
          <t>Bill's Place</t>
        </is>
      </c>
      <c r="B178" s="10" t="inlineStr">
        <is>
          <t>Club de jazz</t>
        </is>
      </c>
      <c r="C178" s="11" t="inlineStr">
        <is>
          <t>Música</t>
        </is>
      </c>
      <c r="D178" s="11" t="inlineStr">
        <is>
          <t>Harlem</t>
        </is>
      </c>
      <c r="E178" s="11" t="inlineStr">
        <is>
          <t>Manhattan</t>
        </is>
      </c>
      <c r="F178" s="12" t="n">
        <v>2</v>
      </c>
      <c r="G178" s="12" t="n">
        <v>2</v>
      </c>
      <c r="H178" s="13">
        <f>IF(AND(F178=2,G178=2),"AMBOS",IF(AND(F178=2,G178&lt;2),"solo JP",IF(AND(F178&lt;2,G178=2),"solo Thais","-")))</f>
        <v/>
      </c>
      <c r="I178" s="14" t="n">
        <v>35</v>
      </c>
      <c r="J178" s="15" t="n">
        <v>1.75</v>
      </c>
      <c r="K178" s="13" t="inlineStr">
        <is>
          <t>no</t>
        </is>
      </c>
      <c r="L178" s="16" t="inlineStr">
        <is>
          <t>—</t>
        </is>
      </c>
      <c r="M178" s="11" t="inlineStr">
        <is>
          <t>—</t>
        </is>
      </c>
      <c r="N178" s="16" t="inlineStr">
        <is>
          <t>—</t>
        </is>
      </c>
      <c r="O178" s="16" t="inlineStr">
        <is>
          <t>OBLIGATORIA - sala diminuta, comprar el set en billsplaceharlem.com</t>
        </is>
      </c>
      <c r="P178" s="16" t="inlineStr">
        <is>
          <t>135 St (2,3)</t>
        </is>
      </c>
      <c r="Q178"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78" s="16" t="inlineStr">
        <is>
          <t>148 W 133rd St</t>
        </is>
      </c>
      <c r="S178" s="16" t="inlineStr">
        <is>
          <t>—</t>
        </is>
      </c>
      <c r="T178" s="18" t="inlineStr">
        <is>
          <t>Abrir ↗</t>
        </is>
      </c>
      <c r="U178" s="21" t="inlineStr">
        <is>
          <t>otros</t>
        </is>
      </c>
      <c r="V178" s="20" t="inlineStr"/>
    </row>
    <row r="179" ht="46" customHeight="1">
      <c r="A179" s="9" t="inlineStr">
        <is>
          <t>Birdland</t>
        </is>
      </c>
      <c r="B179" s="10" t="inlineStr">
        <is>
          <t>Club de jazz</t>
        </is>
      </c>
      <c r="C179" s="11" t="inlineStr">
        <is>
          <t>Música</t>
        </is>
      </c>
      <c r="D179" s="11" t="inlineStr">
        <is>
          <t>Midtown</t>
        </is>
      </c>
      <c r="E179" s="11" t="inlineStr">
        <is>
          <t>Manhattan</t>
        </is>
      </c>
      <c r="F179" s="12" t="n">
        <v>2</v>
      </c>
      <c r="G179" s="12" t="n">
        <v>2</v>
      </c>
      <c r="H179" s="13">
        <f>IF(AND(F179=2,G179=2),"AMBOS",IF(AND(F179=2,G179&lt;2),"solo JP",IF(AND(F179&lt;2,G179=2),"solo Thais","-")))</f>
        <v/>
      </c>
      <c r="I179" s="14" t="n">
        <v>45</v>
      </c>
      <c r="J179" s="15" t="n">
        <v>2</v>
      </c>
      <c r="K179" s="13" t="inlineStr">
        <is>
          <t>no</t>
        </is>
      </c>
      <c r="L179" s="16" t="inlineStr">
        <is>
          <t>—</t>
        </is>
      </c>
      <c r="M179" s="11" t="inlineStr">
        <is>
          <t>—</t>
        </is>
      </c>
      <c r="N179" s="16" t="inlineStr">
        <is>
          <t>—</t>
        </is>
      </c>
      <c r="O179" s="16" t="inlineStr">
        <is>
          <t>TicketWeb - unico vendedor autorizado</t>
        </is>
      </c>
      <c r="P179" s="16" t="inlineStr">
        <is>
          <t>42 St-Port Authority (A,C,E)</t>
        </is>
      </c>
      <c r="Q179" s="16" t="inlineStr">
        <is>
          <t>Menos intimo que el Vanguard, mas programacion. Los LUNES: Vince Giordano &amp; the Nighthawks, jazz de los anos 20-30 con instrumentos de epoca. Justo el lunes 31, que es el dia que Broadway esta oscuro.</t>
        </is>
      </c>
      <c r="R179" s="16" t="inlineStr">
        <is>
          <t>315 W 44th St</t>
        </is>
      </c>
      <c r="S179" s="17" t="inlineStr">
        <is>
          <t>Día 1 · sáb 29/8, Día 3 · lun 31/8</t>
        </is>
      </c>
      <c r="T179" s="18" t="inlineStr">
        <is>
          <t>Abrir ↗</t>
        </is>
      </c>
      <c r="U179" s="19" t="inlineStr">
        <is>
          <t>lista google</t>
        </is>
      </c>
      <c r="V179" s="20" t="inlineStr">
        <is>
          <t>SÍ</t>
        </is>
      </c>
    </row>
    <row r="180" ht="46" customHeight="1">
      <c r="A180" s="9" t="inlineStr">
        <is>
          <t>Blue Note</t>
        </is>
      </c>
      <c r="B180" s="10" t="inlineStr">
        <is>
          <t>Club de jazz</t>
        </is>
      </c>
      <c r="C180" s="11" t="inlineStr">
        <is>
          <t>Música</t>
        </is>
      </c>
      <c r="D180" s="11" t="inlineStr">
        <is>
          <t>Greenwich Village</t>
        </is>
      </c>
      <c r="E180" s="11" t="inlineStr">
        <is>
          <t>Manhattan</t>
        </is>
      </c>
      <c r="F180" s="12" t="n">
        <v>1</v>
      </c>
      <c r="G180" s="12" t="n">
        <v>0</v>
      </c>
      <c r="H180" s="13">
        <f>IF(AND(F180=2,G180=2),"AMBOS",IF(AND(F180=2,G180&lt;2),"solo JP",IF(AND(F180&lt;2,G180=2),"solo Thais","-")))</f>
        <v/>
      </c>
      <c r="I180" s="14" t="n">
        <v>45</v>
      </c>
      <c r="J180" s="15" t="n">
        <v>2</v>
      </c>
      <c r="K180" s="13" t="inlineStr">
        <is>
          <t>SÍ</t>
        </is>
      </c>
      <c r="L180" s="16" t="inlineStr">
        <is>
          <t>—</t>
        </is>
      </c>
      <c r="M180" s="11" t="inlineStr">
        <is>
          <t>—</t>
        </is>
      </c>
      <c r="N180" s="16" t="inlineStr">
        <is>
          <t>—</t>
        </is>
      </c>
      <c r="O180" s="16" t="inlineStr">
        <is>
          <t>—</t>
        </is>
      </c>
      <c r="P180" s="16" t="inlineStr">
        <is>
          <t>W 4 St (A,B,C,D,E,F,M)</t>
        </is>
      </c>
      <c r="Q180" s="16" t="inlineStr">
        <is>
          <t>El mas grande y comercial de los clubes historicos (250 personas). 29-30 ago: MonoNeon. 4-5 sep: Chief Adjuah.</t>
        </is>
      </c>
      <c r="R180" s="16" t="inlineStr">
        <is>
          <t>131 W 3rd St</t>
        </is>
      </c>
      <c r="S180" s="16" t="inlineStr">
        <is>
          <t>—</t>
        </is>
      </c>
      <c r="T180" s="18" t="inlineStr">
        <is>
          <t>Abrir ↗</t>
        </is>
      </c>
      <c r="U180" s="19" t="inlineStr">
        <is>
          <t>lista google</t>
        </is>
      </c>
      <c r="V180" s="20" t="inlineStr"/>
    </row>
    <row r="181" ht="46" customHeight="1">
      <c r="A181" s="9" t="inlineStr">
        <is>
          <t>Dizzy's Club (Jazz at Lincoln Center)</t>
        </is>
      </c>
      <c r="B181" s="10" t="inlineStr">
        <is>
          <t>Club de jazz</t>
        </is>
      </c>
      <c r="C181" s="11" t="inlineStr">
        <is>
          <t>Música</t>
        </is>
      </c>
      <c r="D181" s="11" t="inlineStr">
        <is>
          <t>Columbus Circle</t>
        </is>
      </c>
      <c r="E181" s="11" t="inlineStr">
        <is>
          <t>Manhattan</t>
        </is>
      </c>
      <c r="F181" s="12" t="n">
        <v>2</v>
      </c>
      <c r="G181" s="12" t="n">
        <v>2</v>
      </c>
      <c r="H181" s="13">
        <f>IF(AND(F181=2,G181=2),"AMBOS",IF(AND(F181=2,G181&lt;2),"solo JP",IF(AND(F181&lt;2,G181=2),"solo Thais","-")))</f>
        <v/>
      </c>
      <c r="I181" s="14" t="n">
        <v>45</v>
      </c>
      <c r="J181" s="15" t="n">
        <v>2</v>
      </c>
      <c r="K181" s="13" t="inlineStr">
        <is>
          <t>no</t>
        </is>
      </c>
      <c r="L181" s="16" t="inlineStr">
        <is>
          <t>—</t>
        </is>
      </c>
      <c r="M181" s="11" t="inlineStr">
        <is>
          <t>—</t>
        </is>
      </c>
      <c r="N181" s="16" t="inlineStr">
        <is>
          <t>—</t>
        </is>
      </c>
      <c r="O181" s="16" t="inlineStr">
        <is>
          <t>—</t>
        </is>
      </c>
      <c r="P181" s="16" t="inlineStr">
        <is>
          <t>59 St-Columbus Circle (1,A,B,C,D)</t>
        </is>
      </c>
      <c r="Q181" s="16" t="inlineStr">
        <is>
          <t>Ventanales de piso a techo sobre Central Park detras del escenario. El truco es el set Late Night de jueves a sabado: mismo lugar, una fraccion del precio.</t>
        </is>
      </c>
      <c r="R181" s="16" t="inlineStr">
        <is>
          <t>10 Columbus Circle, piso 5</t>
        </is>
      </c>
      <c r="S181" s="17" t="inlineStr">
        <is>
          <t>Día 6 · jue 3/9</t>
        </is>
      </c>
      <c r="T181" s="18" t="inlineStr">
        <is>
          <t>Abrir ↗</t>
        </is>
      </c>
      <c r="U181" s="19" t="inlineStr">
        <is>
          <t>lista google</t>
        </is>
      </c>
      <c r="V181" s="20" t="inlineStr"/>
    </row>
    <row r="182" ht="46" customHeight="1">
      <c r="A182" s="9" t="inlineStr">
        <is>
          <t>Mezzrow</t>
        </is>
      </c>
      <c r="B182" s="10" t="inlineStr">
        <is>
          <t>Club de jazz</t>
        </is>
      </c>
      <c r="C182" s="11" t="inlineStr">
        <is>
          <t>Música</t>
        </is>
      </c>
      <c r="D182" s="11" t="inlineStr">
        <is>
          <t>West Village</t>
        </is>
      </c>
      <c r="E182" s="11" t="inlineStr">
        <is>
          <t>Manhattan</t>
        </is>
      </c>
      <c r="F182" s="12" t="n">
        <v>1</v>
      </c>
      <c r="G182" s="12" t="n">
        <v>1</v>
      </c>
      <c r="H182" s="13">
        <f>IF(AND(F182=2,G182=2),"AMBOS",IF(AND(F182=2,G182&lt;2),"solo JP",IF(AND(F182&lt;2,G182=2),"solo Thais","-")))</f>
        <v/>
      </c>
      <c r="I182" s="14" t="n">
        <v>25</v>
      </c>
      <c r="J182" s="15" t="n">
        <v>1.5</v>
      </c>
      <c r="K182" s="13" t="inlineStr">
        <is>
          <t>no</t>
        </is>
      </c>
      <c r="L182" s="16" t="inlineStr">
        <is>
          <t>—</t>
        </is>
      </c>
      <c r="M182" s="11" t="inlineStr">
        <is>
          <t>—</t>
        </is>
      </c>
      <c r="N182" s="16" t="inlineStr">
        <is>
          <t>—</t>
        </is>
      </c>
      <c r="O182" s="16" t="inlineStr">
        <is>
          <t>reservar</t>
        </is>
      </c>
      <c r="P182" s="16" t="inlineStr">
        <is>
          <t>Christopher St (1)</t>
        </is>
      </c>
      <c r="Q182" s="16" t="inlineStr">
        <is>
          <t>35 asientos, sala de escucha centrada en el piano. El mas intimo de la ciudad. Entre semana se consigue; los fines de semana se agota.</t>
        </is>
      </c>
      <c r="R182" s="16" t="inlineStr">
        <is>
          <t>163 W 10th St</t>
        </is>
      </c>
      <c r="S182" s="16" t="inlineStr">
        <is>
          <t>—</t>
        </is>
      </c>
      <c r="T182" s="18" t="inlineStr">
        <is>
          <t>Abrir ↗</t>
        </is>
      </c>
      <c r="U182" s="19" t="inlineStr">
        <is>
          <t>lista google</t>
        </is>
      </c>
      <c r="V182" s="20" t="inlineStr"/>
    </row>
    <row r="183" ht="46" customHeight="1">
      <c r="A183" s="9" t="inlineStr">
        <is>
          <t>Ornithology Jazz Club</t>
        </is>
      </c>
      <c r="B183" s="10" t="inlineStr">
        <is>
          <t>Club de jazz</t>
        </is>
      </c>
      <c r="C183" s="11" t="inlineStr">
        <is>
          <t>Música</t>
        </is>
      </c>
      <c r="D183" s="11" t="inlineStr">
        <is>
          <t>Bushwick</t>
        </is>
      </c>
      <c r="E183" s="11" t="inlineStr">
        <is>
          <t>Brooklyn</t>
        </is>
      </c>
      <c r="F183" s="12" t="n">
        <v>1</v>
      </c>
      <c r="G183" s="12" t="n">
        <v>1</v>
      </c>
      <c r="H183" s="13">
        <f>IF(AND(F183=2,G183=2),"AMBOS",IF(AND(F183=2,G183&lt;2),"solo JP",IF(AND(F183&lt;2,G183=2),"solo Thais","-")))</f>
        <v/>
      </c>
      <c r="I183" s="14" t="n">
        <v>20</v>
      </c>
      <c r="J183" s="15" t="n">
        <v>2</v>
      </c>
      <c r="K183" s="13" t="inlineStr">
        <is>
          <t>no</t>
        </is>
      </c>
      <c r="L183" s="16" t="inlineStr">
        <is>
          <t>—</t>
        </is>
      </c>
      <c r="M183" s="11" t="inlineStr">
        <is>
          <t>—</t>
        </is>
      </c>
      <c r="N183" s="16" t="inlineStr">
        <is>
          <t>—</t>
        </is>
      </c>
      <c r="O183" s="16" t="inlineStr">
        <is>
          <t>—</t>
        </is>
      </c>
      <c r="P183" s="16" t="inlineStr">
        <is>
          <t>Jefferson St (L)</t>
        </is>
      </c>
      <c r="Q183" s="16" t="inlineStr">
        <is>
          <t>75 asientos y regla estricta de sala de escucha: no se habla durante los sets. Es la alternativa joven al Vanguard.</t>
        </is>
      </c>
      <c r="R183" s="16" t="inlineStr">
        <is>
          <t>6 Suydam St, Brooklyn</t>
        </is>
      </c>
      <c r="S183" s="16" t="inlineStr">
        <is>
          <t>—</t>
        </is>
      </c>
      <c r="T183" s="18" t="inlineStr">
        <is>
          <t>Abrir ↗</t>
        </is>
      </c>
      <c r="U183" s="19" t="inlineStr">
        <is>
          <t>lista google</t>
        </is>
      </c>
      <c r="V183" s="20" t="inlineStr"/>
    </row>
    <row r="184" ht="46" customHeight="1">
      <c r="A184" s="9" t="inlineStr">
        <is>
          <t>Smalls Jazz Club</t>
        </is>
      </c>
      <c r="B184" s="10" t="inlineStr">
        <is>
          <t>Club de jazz</t>
        </is>
      </c>
      <c r="C184" s="11" t="inlineStr">
        <is>
          <t>Música</t>
        </is>
      </c>
      <c r="D184" s="11" t="inlineStr">
        <is>
          <t>West Village</t>
        </is>
      </c>
      <c r="E184" s="11" t="inlineStr">
        <is>
          <t>Manhattan</t>
        </is>
      </c>
      <c r="F184" s="12" t="n">
        <v>2</v>
      </c>
      <c r="G184" s="12" t="n">
        <v>2</v>
      </c>
      <c r="H184" s="13">
        <f>IF(AND(F184=2,G184=2),"AMBOS",IF(AND(F184=2,G184&lt;2),"solo JP",IF(AND(F184&lt;2,G184=2),"solo Thais","-")))</f>
        <v/>
      </c>
      <c r="I184" s="14" t="n">
        <v>25</v>
      </c>
      <c r="J184" s="15" t="n">
        <v>2</v>
      </c>
      <c r="K184" s="13" t="inlineStr">
        <is>
          <t>no</t>
        </is>
      </c>
      <c r="L184" s="16" t="inlineStr">
        <is>
          <t>—</t>
        </is>
      </c>
      <c r="M184" s="11" t="inlineStr">
        <is>
          <t>—</t>
        </is>
      </c>
      <c r="N184" s="16" t="inlineStr">
        <is>
          <t>—</t>
        </is>
      </c>
      <c r="O184" s="16" t="inlineStr">
        <is>
          <t>—</t>
        </is>
      </c>
      <c r="P184" s="16" t="inlineStr">
        <is>
          <t>Christopher St (1)</t>
        </is>
      </c>
      <c r="Q184" s="16" t="inlineStr">
        <is>
          <t>60 asientos, sotano. Entre semana se entra caminando. Lo mejor que tiene son las jam sessions de madrugada de jueves a sabado, desde la 1:00 AM: ahi tocan los musicos que salieron de trabajar.</t>
        </is>
      </c>
      <c r="R184" s="16" t="inlineStr">
        <is>
          <t>183 W 10th St</t>
        </is>
      </c>
      <c r="S184" s="17" t="inlineStr">
        <is>
          <t>Día 4 · mar 1/9</t>
        </is>
      </c>
      <c r="T184" s="18" t="inlineStr">
        <is>
          <t>Abrir ↗</t>
        </is>
      </c>
      <c r="U184" s="19" t="inlineStr">
        <is>
          <t>lista google</t>
        </is>
      </c>
      <c r="V184" s="20" t="inlineStr"/>
    </row>
    <row r="185" ht="46" customHeight="1">
      <c r="A185" s="9" t="inlineStr">
        <is>
          <t>Village Vanguard</t>
        </is>
      </c>
      <c r="B185" s="10" t="inlineStr">
        <is>
          <t>Club de jazz</t>
        </is>
      </c>
      <c r="C185" s="11" t="inlineStr">
        <is>
          <t>Música</t>
        </is>
      </c>
      <c r="D185" s="11" t="inlineStr">
        <is>
          <t>West Village</t>
        </is>
      </c>
      <c r="E185" s="11" t="inlineStr">
        <is>
          <t>Manhattan</t>
        </is>
      </c>
      <c r="F185" s="12" t="n">
        <v>2</v>
      </c>
      <c r="G185" s="12" t="n">
        <v>2</v>
      </c>
      <c r="H185" s="13">
        <f>IF(AND(F185=2,G185=2),"AMBOS",IF(AND(F185=2,G185&lt;2),"solo JP",IF(AND(F185&lt;2,G185=2),"solo Thais","-")))</f>
        <v/>
      </c>
      <c r="I185" s="14" t="n">
        <v>45</v>
      </c>
      <c r="J185" s="15" t="n">
        <v>2</v>
      </c>
      <c r="K185" s="13" t="inlineStr">
        <is>
          <t>no</t>
        </is>
      </c>
      <c r="L185" s="16" t="inlineStr">
        <is>
          <t>—</t>
        </is>
      </c>
      <c r="M185" s="11" t="inlineStr">
        <is>
          <t>—</t>
        </is>
      </c>
      <c r="N185" s="16" t="inlineStr">
        <is>
          <t>—</t>
        </is>
      </c>
      <c r="O185" s="16" t="inlineStr">
        <is>
          <t>HECHA: 2 entradas GA del viernes 4/9, set 22:00 (#18741454 y #18741456). El acomodo del segundo set arranca 21:30 y es por orden de llegada.</t>
        </is>
      </c>
      <c r="P185" s="16" t="inlineStr">
        <is>
          <t>14 St (1,2,3)</t>
        </is>
      </c>
      <c r="Q185" s="16" t="inlineStr">
        <is>
          <t>El club de jazz en funcionamiento continuo mas antiguo del mundo. 123 asientos, sotano triangular, acustica legendaria. DEL 1 AL 6 DE SEPTIEMBRE: John Patitucci Trio con Chris Potter y Brian Blade. Si hay una sola noche de musica en el viaje, es esta.</t>
        </is>
      </c>
      <c r="R185" s="16" t="inlineStr">
        <is>
          <t>178 7th Ave South</t>
        </is>
      </c>
      <c r="S185" s="17" t="inlineStr">
        <is>
          <t>Día 7 · vie 4/9</t>
        </is>
      </c>
      <c r="T185" s="18" t="inlineStr">
        <is>
          <t>Abrir ↗</t>
        </is>
      </c>
      <c r="U185" s="19" t="inlineStr">
        <is>
          <t>lista google</t>
        </is>
      </c>
      <c r="V185" s="20" t="inlineStr">
        <is>
          <t>SÍ</t>
        </is>
      </c>
    </row>
    <row r="186" ht="46" customHeight="1">
      <c r="A186" s="9" t="inlineStr">
        <is>
          <t>Barbes</t>
        </is>
      </c>
      <c r="B186" s="10" t="inlineStr">
        <is>
          <t>Música del mundo</t>
        </is>
      </c>
      <c r="C186" s="11" t="inlineStr">
        <is>
          <t>Música</t>
        </is>
      </c>
      <c r="D186" s="11" t="inlineStr">
        <is>
          <t>Park Slope</t>
        </is>
      </c>
      <c r="E186" s="11" t="inlineStr">
        <is>
          <t>Brooklyn</t>
        </is>
      </c>
      <c r="F186" s="12" t="n">
        <v>1</v>
      </c>
      <c r="G186" s="12" t="n">
        <v>1</v>
      </c>
      <c r="H186" s="13">
        <f>IF(AND(F186=2,G186=2),"AMBOS",IF(AND(F186=2,G186&lt;2),"solo JP",IF(AND(F186&lt;2,G186=2),"solo Thais","-")))</f>
        <v/>
      </c>
      <c r="I186" s="14" t="n">
        <v>15</v>
      </c>
      <c r="J186" s="15" t="n">
        <v>2</v>
      </c>
      <c r="K186" s="13" t="inlineStr">
        <is>
          <t>no</t>
        </is>
      </c>
      <c r="L186" s="16" t="inlineStr">
        <is>
          <t>—</t>
        </is>
      </c>
      <c r="M186" s="11" t="inlineStr">
        <is>
          <t>—</t>
        </is>
      </c>
      <c r="N186" s="16" t="inlineStr">
        <is>
          <t>—</t>
        </is>
      </c>
      <c r="O186" s="16" t="inlineStr">
        <is>
          <t>—</t>
        </is>
      </c>
      <c r="P186" s="16" t="inlineStr">
        <is>
          <t>7 Av (F,G)</t>
        </is>
      </c>
      <c r="Q186" s="16" t="inlineStr">
        <is>
          <t>No es jazz: musica latina, balcanica, brasilena y de Africa occidental. La programacion es de otro nivel y la trastienda es minuscula. Llegar temprano.</t>
        </is>
      </c>
      <c r="R186" s="16" t="inlineStr">
        <is>
          <t>376 9th St, Brooklyn</t>
        </is>
      </c>
      <c r="S186" s="16" t="inlineStr">
        <is>
          <t>—</t>
        </is>
      </c>
      <c r="T186" s="18" t="inlineStr">
        <is>
          <t>Abrir ↗</t>
        </is>
      </c>
      <c r="U186" s="19" t="inlineStr">
        <is>
          <t>lista google</t>
        </is>
      </c>
      <c r="V186" s="20" t="inlineStr"/>
    </row>
    <row r="187" ht="46" customHeight="1">
      <c r="A187" s="9" t="inlineStr">
        <is>
          <t>Nublu</t>
        </is>
      </c>
      <c r="B187" s="10" t="inlineStr">
        <is>
          <t>Venue alternativo</t>
        </is>
      </c>
      <c r="C187" s="11" t="inlineStr">
        <is>
          <t>Música</t>
        </is>
      </c>
      <c r="D187" s="11" t="inlineStr">
        <is>
          <t>East Village</t>
        </is>
      </c>
      <c r="E187" s="11" t="inlineStr">
        <is>
          <t>Manhattan</t>
        </is>
      </c>
      <c r="F187" s="12" t="n">
        <v>1</v>
      </c>
      <c r="G187" s="12" t="n">
        <v>1</v>
      </c>
      <c r="H187" s="13">
        <f>IF(AND(F187=2,G187=2),"AMBOS",IF(AND(F187=2,G187&lt;2),"solo JP",IF(AND(F187&lt;2,G187=2),"solo Thais","-")))</f>
        <v/>
      </c>
      <c r="I187" s="14" t="n">
        <v>20</v>
      </c>
      <c r="J187" s="15" t="n">
        <v>2.5</v>
      </c>
      <c r="K187" s="13" t="inlineStr">
        <is>
          <t>no</t>
        </is>
      </c>
      <c r="L187" s="16" t="inlineStr">
        <is>
          <t>—</t>
        </is>
      </c>
      <c r="M187" s="11" t="inlineStr">
        <is>
          <t>—</t>
        </is>
      </c>
      <c r="N187" s="16" t="inlineStr">
        <is>
          <t>—</t>
        </is>
      </c>
      <c r="O187" s="16" t="inlineStr">
        <is>
          <t>—</t>
        </is>
      </c>
      <c r="P187" s="16" t="inlineStr">
        <is>
          <t>1 Av (L)</t>
        </is>
      </c>
      <c r="Q187" s="16" t="inlineStr">
        <is>
          <t>Jazz experimental, afrobeat y electronica turca. Musica en vivo desde las 19:00, DJs hasta las 4:00. 'Producer Mondays' todos los lunes a las 22:00.</t>
        </is>
      </c>
      <c r="R187" s="16" t="inlineStr">
        <is>
          <t>151 Avenue C, piso 2</t>
        </is>
      </c>
      <c r="S187" s="17" t="inlineStr">
        <is>
          <t>Día 2 · dom 30/8</t>
        </is>
      </c>
      <c r="T187" s="18" t="inlineStr">
        <is>
          <t>Abrir ↗</t>
        </is>
      </c>
      <c r="U187" s="19" t="inlineStr">
        <is>
          <t>lista google</t>
        </is>
      </c>
      <c r="V187" s="20" t="inlineStr"/>
    </row>
    <row r="188" ht="46" customHeight="1">
      <c r="A188" s="9" t="inlineStr">
        <is>
          <t>FDR Four Freedoms Park</t>
        </is>
      </c>
      <c r="B188" s="10" t="inlineStr">
        <is>
          <t>Arquitectura moderna</t>
        </is>
      </c>
      <c r="C188" s="11" t="inlineStr">
        <is>
          <t>Arquitectura</t>
        </is>
      </c>
      <c r="D188" s="11" t="inlineStr">
        <is>
          <t>Roosevelt Island</t>
        </is>
      </c>
      <c r="E188" s="11" t="inlineStr">
        <is>
          <t>Manhattan</t>
        </is>
      </c>
      <c r="F188" s="12" t="n">
        <v>2</v>
      </c>
      <c r="G188" s="12" t="n">
        <v>2</v>
      </c>
      <c r="H188" s="13">
        <f>IF(AND(F188=2,G188=2),"AMBOS",IF(AND(F188=2,G188&lt;2),"solo JP",IF(AND(F188&lt;2,G188=2),"solo Thais","-")))</f>
        <v/>
      </c>
      <c r="I188" s="14" t="n">
        <v>0</v>
      </c>
      <c r="J188" s="15" t="n">
        <v>1</v>
      </c>
      <c r="K188" s="13" t="inlineStr">
        <is>
          <t>no</t>
        </is>
      </c>
      <c r="L188" s="16" t="inlineStr">
        <is>
          <t>—</t>
        </is>
      </c>
      <c r="M188" s="11" t="inlineStr">
        <is>
          <t>—</t>
        </is>
      </c>
      <c r="N188" s="16" t="inlineStr">
        <is>
          <t>—</t>
        </is>
      </c>
      <c r="O188" s="16" t="inlineStr">
        <is>
          <t>—</t>
        </is>
      </c>
      <c r="P188" s="16" t="inlineStr">
        <is>
          <t>Tramway o Roosevelt Island (F)</t>
        </is>
      </c>
      <c r="Q188" s="16" t="inlineStr">
        <is>
          <t>Ultima obra de Louis Kahn, terminada 38 anos despues de su muerte: granito, platanos y una 'sala' abierta al rio apuntando a Manhattan. Arquitectura moderna de primer orden, gratis y vacia.</t>
        </is>
      </c>
      <c r="R188" s="16" t="inlineStr">
        <is>
          <t>1 FDR Four Freedoms Park, Roosevelt Island</t>
        </is>
      </c>
      <c r="S188" s="17" t="inlineStr">
        <is>
          <t>Día 9 · dom 6/9</t>
        </is>
      </c>
      <c r="T188" s="18" t="inlineStr">
        <is>
          <t>Abrir ↗</t>
        </is>
      </c>
      <c r="U188" s="21" t="inlineStr">
        <is>
          <t>otros</t>
        </is>
      </c>
      <c r="V188" s="20" t="inlineStr"/>
    </row>
    <row r="189" ht="46" customHeight="1">
      <c r="A189" s="9" t="inlineStr">
        <is>
          <t>Haughwout Building</t>
        </is>
      </c>
      <c r="B189" s="10" t="inlineStr">
        <is>
          <t>Arquitectura moderna</t>
        </is>
      </c>
      <c r="C189" s="11" t="inlineStr">
        <is>
          <t>Arquitectura</t>
        </is>
      </c>
      <c r="D189" s="11" t="inlineStr">
        <is>
          <t>SoHo</t>
        </is>
      </c>
      <c r="E189" s="11" t="inlineStr">
        <is>
          <t>Manhattan</t>
        </is>
      </c>
      <c r="F189" s="12" t="n">
        <v>1</v>
      </c>
      <c r="G189" s="12" t="n">
        <v>1</v>
      </c>
      <c r="H189" s="13">
        <f>IF(AND(F189=2,G189=2),"AMBOS",IF(AND(F189=2,G189&lt;2),"solo JP",IF(AND(F189&lt;2,G189=2),"solo Thais","-")))</f>
        <v/>
      </c>
      <c r="I189" s="14" t="n">
        <v>0</v>
      </c>
      <c r="J189" s="15" t="n">
        <v>0.2</v>
      </c>
      <c r="K189" s="13" t="inlineStr">
        <is>
          <t>no</t>
        </is>
      </c>
      <c r="L189" s="16" t="inlineStr">
        <is>
          <t>—</t>
        </is>
      </c>
      <c r="M189" s="11" t="inlineStr">
        <is>
          <t>—</t>
        </is>
      </c>
      <c r="N189" s="16" t="inlineStr">
        <is>
          <t>—</t>
        </is>
      </c>
      <c r="O189" s="16" t="inlineStr">
        <is>
          <t>—</t>
        </is>
      </c>
      <c r="P189" s="16" t="inlineStr">
        <is>
          <t>Canal St (N,Q,R,W,6)</t>
        </is>
      </c>
      <c r="Q189" s="16" t="inlineStr">
        <is>
          <t>1857: el primer edificio del mundo con ascensor Otis. Fachada de hierro fundido que parece un palacio veneciano y casi nadie levanta la vista.</t>
        </is>
      </c>
      <c r="R189" s="16" t="inlineStr">
        <is>
          <t>488 Broadway</t>
        </is>
      </c>
      <c r="S189" s="16" t="inlineStr">
        <is>
          <t>—</t>
        </is>
      </c>
      <c r="T189" s="18" t="inlineStr">
        <is>
          <t>Abrir ↗</t>
        </is>
      </c>
      <c r="U189" s="21" t="inlineStr">
        <is>
          <t>otros</t>
        </is>
      </c>
      <c r="V189" s="20" t="inlineStr"/>
    </row>
    <row r="190" ht="46" customHeight="1">
      <c r="A190" s="9" t="inlineStr">
        <is>
          <t>Hudson Yards</t>
        </is>
      </c>
      <c r="B190" s="10" t="inlineStr">
        <is>
          <t>Arquitectura moderna</t>
        </is>
      </c>
      <c r="C190" s="11" t="inlineStr">
        <is>
          <t>Arquitectura</t>
        </is>
      </c>
      <c r="D190" s="11" t="inlineStr">
        <is>
          <t>Hudson Yards</t>
        </is>
      </c>
      <c r="E190" s="11" t="inlineStr">
        <is>
          <t>Manhattan</t>
        </is>
      </c>
      <c r="F190" s="12" t="n">
        <v>2</v>
      </c>
      <c r="G190" s="12" t="n">
        <v>1</v>
      </c>
      <c r="H190" s="13">
        <f>IF(AND(F190=2,G190=2),"AMBOS",IF(AND(F190=2,G190&lt;2),"solo JP",IF(AND(F190&lt;2,G190=2),"solo Thais","-")))</f>
        <v/>
      </c>
      <c r="I190" s="14" t="n">
        <v>0</v>
      </c>
      <c r="J190" s="15" t="n">
        <v>0.75</v>
      </c>
      <c r="K190" s="13" t="inlineStr">
        <is>
          <t>SÍ</t>
        </is>
      </c>
      <c r="L190" s="16" t="inlineStr">
        <is>
          <t>—</t>
        </is>
      </c>
      <c r="M190" s="11" t="inlineStr">
        <is>
          <t>—</t>
        </is>
      </c>
      <c r="N190" s="16" t="inlineStr">
        <is>
          <t>—</t>
        </is>
      </c>
      <c r="O190" s="16" t="inlineStr">
        <is>
          <t>—</t>
        </is>
      </c>
      <c r="P190" s="16" t="inlineStr">
        <is>
          <t>34 St-Hudson Yards (7)</t>
        </is>
      </c>
      <c r="Q190" s="16" t="inlineStr">
        <is>
          <t>El complejo entero: el Vessel, The Shed y el mall. Es el arranque natural del High Line.</t>
        </is>
      </c>
      <c r="R190" s="16" t="inlineStr">
        <is>
          <t>20 Hudson Yards</t>
        </is>
      </c>
      <c r="S190" s="16" t="inlineStr">
        <is>
          <t>—</t>
        </is>
      </c>
      <c r="T190" s="18" t="inlineStr">
        <is>
          <t>Abrir ↗</t>
        </is>
      </c>
      <c r="U190" s="19" t="inlineStr">
        <is>
          <t>lista google</t>
        </is>
      </c>
      <c r="V190" s="20" t="inlineStr"/>
    </row>
    <row r="191" ht="46" customHeight="1">
      <c r="A191" s="9" t="inlineStr">
        <is>
          <t>Lever House</t>
        </is>
      </c>
      <c r="B191" s="10" t="inlineStr">
        <is>
          <t>Arquitectura moderna</t>
        </is>
      </c>
      <c r="C191" s="11" t="inlineStr">
        <is>
          <t>Arquitectura</t>
        </is>
      </c>
      <c r="D191" s="11" t="inlineStr">
        <is>
          <t>Midtown East</t>
        </is>
      </c>
      <c r="E191" s="11" t="inlineStr">
        <is>
          <t>Manhattan</t>
        </is>
      </c>
      <c r="F191" s="12" t="n">
        <v>1</v>
      </c>
      <c r="G191" s="12" t="n">
        <v>1</v>
      </c>
      <c r="H191" s="13">
        <f>IF(AND(F191=2,G191=2),"AMBOS",IF(AND(F191=2,G191&lt;2),"solo JP",IF(AND(F191&lt;2,G191=2),"solo Thais","-")))</f>
        <v/>
      </c>
      <c r="I191" s="14" t="n">
        <v>0</v>
      </c>
      <c r="J191" s="15" t="n">
        <v>0.2</v>
      </c>
      <c r="K191" s="13" t="inlineStr">
        <is>
          <t>no</t>
        </is>
      </c>
      <c r="L191" s="16" t="inlineStr">
        <is>
          <t>—</t>
        </is>
      </c>
      <c r="M191" s="11" t="inlineStr">
        <is>
          <t>—</t>
        </is>
      </c>
      <c r="N191" s="16" t="inlineStr">
        <is>
          <t>—</t>
        </is>
      </c>
      <c r="O191" s="16" t="inlineStr">
        <is>
          <t>—</t>
        </is>
      </c>
      <c r="P191" s="16" t="inlineStr">
        <is>
          <t>51 St (6)</t>
        </is>
      </c>
      <c r="Q191" s="16" t="inlineStr">
        <is>
          <t>1952: el primer rascacielos de muro cortina de vidrio de Park Avenue. Cambio como se construye una ciudad.</t>
        </is>
      </c>
      <c r="R191" s="16" t="inlineStr">
        <is>
          <t>390 Park Ave</t>
        </is>
      </c>
      <c r="S191" s="16" t="inlineStr">
        <is>
          <t>—</t>
        </is>
      </c>
      <c r="T191" s="18" t="inlineStr">
        <is>
          <t>Abrir ↗</t>
        </is>
      </c>
      <c r="U191" s="21" t="inlineStr">
        <is>
          <t>otros</t>
        </is>
      </c>
      <c r="V191" s="20" t="inlineStr"/>
    </row>
    <row r="192" ht="46" customHeight="1">
      <c r="A192" s="9" t="inlineStr">
        <is>
          <t>Lincoln Center (campus y plaza)</t>
        </is>
      </c>
      <c r="B192" s="10" t="inlineStr">
        <is>
          <t>Arquitectura moderna</t>
        </is>
      </c>
      <c r="C192" s="11" t="inlineStr">
        <is>
          <t>Arquitectura</t>
        </is>
      </c>
      <c r="D192" s="11" t="inlineStr">
        <is>
          <t>Upper West Side</t>
        </is>
      </c>
      <c r="E192" s="11" t="inlineStr">
        <is>
          <t>Manhattan</t>
        </is>
      </c>
      <c r="F192" s="12" t="n">
        <v>2</v>
      </c>
      <c r="G192" s="12" t="n">
        <v>2</v>
      </c>
      <c r="H192" s="13">
        <f>IF(AND(F192=2,G192=2),"AMBOS",IF(AND(F192=2,G192&lt;2),"solo JP",IF(AND(F192&lt;2,G192=2),"solo Thais","-")))</f>
        <v/>
      </c>
      <c r="I192" s="14" t="n">
        <v>0</v>
      </c>
      <c r="J192" s="15" t="n">
        <v>0.5</v>
      </c>
      <c r="K192" s="13" t="inlineStr">
        <is>
          <t>SÍ</t>
        </is>
      </c>
      <c r="L192" s="16" t="inlineStr">
        <is>
          <t>—</t>
        </is>
      </c>
      <c r="M192" s="11" t="inlineStr">
        <is>
          <t>—</t>
        </is>
      </c>
      <c r="N192" s="16" t="inlineStr">
        <is>
          <t>—</t>
        </is>
      </c>
      <c r="O192" s="16" t="inlineStr">
        <is>
          <t>—</t>
        </is>
      </c>
      <c r="P192" s="16" t="inlineStr">
        <is>
          <t>66 St-Lincoln Center (1)</t>
        </is>
      </c>
      <c r="Q192" s="16" t="inlineStr">
        <is>
          <t>La plaza de Revson iluminada de noche, los chandeliers del Met Opera a traves del vidrio y el espejo de agua con el Henry Moore. De noche, vacia, es puro cine. A 10 cuadras de The Beacon.</t>
        </is>
      </c>
      <c r="R192" s="16" t="inlineStr">
        <is>
          <t>Columbus Ave entre 62 y 66</t>
        </is>
      </c>
      <c r="S192" s="17" t="inlineStr">
        <is>
          <t>Día 6 · jue 3/9</t>
        </is>
      </c>
      <c r="T192" s="18" t="inlineStr">
        <is>
          <t>Abrir ↗</t>
        </is>
      </c>
      <c r="U192" s="19" t="inlineStr">
        <is>
          <t>lista google</t>
        </is>
      </c>
      <c r="V192" s="20" t="inlineStr"/>
    </row>
    <row r="193" ht="46" customHeight="1">
      <c r="A193" s="9" t="inlineStr">
        <is>
          <t>Little Island</t>
        </is>
      </c>
      <c r="B193" s="10" t="inlineStr">
        <is>
          <t>Arquitectura moderna</t>
        </is>
      </c>
      <c r="C193" s="11" t="inlineStr">
        <is>
          <t>Arquitectura</t>
        </is>
      </c>
      <c r="D193" s="11" t="inlineStr">
        <is>
          <t>Meatpacking</t>
        </is>
      </c>
      <c r="E193" s="11" t="inlineStr">
        <is>
          <t>Manhattan</t>
        </is>
      </c>
      <c r="F193" s="12" t="n">
        <v>2</v>
      </c>
      <c r="G193" s="12" t="n">
        <v>1</v>
      </c>
      <c r="H193" s="13">
        <f>IF(AND(F193=2,G193=2),"AMBOS",IF(AND(F193=2,G193&lt;2),"solo JP",IF(AND(F193&lt;2,G193=2),"solo Thais","-")))</f>
        <v/>
      </c>
      <c r="I193" s="14" t="n">
        <v>0</v>
      </c>
      <c r="J193" s="15" t="n">
        <v>1</v>
      </c>
      <c r="K193" s="13" t="inlineStr">
        <is>
          <t>SÍ</t>
        </is>
      </c>
      <c r="L193" s="16" t="inlineStr">
        <is>
          <t>—</t>
        </is>
      </c>
      <c r="M193" s="11" t="inlineStr">
        <is>
          <t>—</t>
        </is>
      </c>
      <c r="N193" s="16" t="inlineStr">
        <is>
          <t>—</t>
        </is>
      </c>
      <c r="O193" s="16" t="inlineStr">
        <is>
          <t>—</t>
        </is>
      </c>
      <c r="P193" s="16" t="inlineStr">
        <is>
          <t>14 St (A,C,E), 8 Av (L)</t>
        </is>
      </c>
      <c r="Q193" s="16" t="inlineStr">
        <is>
          <t>Parque flotante de Heatherwick sobre 132 'macetas' de hormigon de distinta altura. Gratis; en temporada alta puede pedir entrada con horario para la tarde-noche. Pegado al extremo sur del High Line.</t>
        </is>
      </c>
      <c r="R193" s="16" t="inlineStr">
        <is>
          <t>Pier 55, Hudson River Park, W 13th St</t>
        </is>
      </c>
      <c r="S193" s="17" t="inlineStr">
        <is>
          <t>Día 7 · vie 4/9</t>
        </is>
      </c>
      <c r="T193" s="18" t="inlineStr">
        <is>
          <t>Abrir ↗</t>
        </is>
      </c>
      <c r="U193" s="21" t="inlineStr">
        <is>
          <t>otros</t>
        </is>
      </c>
      <c r="V193" s="20" t="inlineStr"/>
    </row>
    <row r="194" ht="46" customHeight="1">
      <c r="A194" s="9" t="inlineStr">
        <is>
          <t>Oculus / WTC Transportation Hub</t>
        </is>
      </c>
      <c r="B194" s="10" t="inlineStr">
        <is>
          <t>Arquitectura moderna</t>
        </is>
      </c>
      <c r="C194" s="11" t="inlineStr">
        <is>
          <t>Arquitectura</t>
        </is>
      </c>
      <c r="D194" s="11" t="inlineStr">
        <is>
          <t>Financial District</t>
        </is>
      </c>
      <c r="E194" s="11" t="inlineStr">
        <is>
          <t>Manhattan</t>
        </is>
      </c>
      <c r="F194" s="12" t="n">
        <v>2</v>
      </c>
      <c r="G194" s="12" t="n">
        <v>0</v>
      </c>
      <c r="H194" s="13">
        <f>IF(AND(F194=2,G194=2),"AMBOS",IF(AND(F194=2,G194&lt;2),"solo JP",IF(AND(F194&lt;2,G194=2),"solo Thais","-")))</f>
        <v/>
      </c>
      <c r="I194" s="14" t="n">
        <v>0</v>
      </c>
      <c r="J194" s="15" t="n">
        <v>0.35</v>
      </c>
      <c r="K194" s="13" t="inlineStr">
        <is>
          <t>SÍ</t>
        </is>
      </c>
      <c r="L194" s="16" t="inlineStr">
        <is>
          <t>—</t>
        </is>
      </c>
      <c r="M194" s="11" t="inlineStr">
        <is>
          <t>—</t>
        </is>
      </c>
      <c r="N194" s="16" t="inlineStr">
        <is>
          <t>—</t>
        </is>
      </c>
      <c r="O194" s="16" t="inlineStr">
        <is>
          <t>—</t>
        </is>
      </c>
      <c r="P194" s="16" t="inlineStr">
        <is>
          <t>WTC Cortlandt (1), Fulton St</t>
        </is>
      </c>
      <c r="Q194" s="16" t="inlineStr">
        <is>
          <t>Calatrava. Se puede discutir si es bueno o si costo cuatro mil millones de dolares de mas, pero hay que verlo. Se cruza caminando camino al 9/11 Memorial.</t>
        </is>
      </c>
      <c r="R194" s="16" t="inlineStr">
        <is>
          <t>Church St &amp; Fulton St</t>
        </is>
      </c>
      <c r="S194" s="17" t="inlineStr">
        <is>
          <t>Día 6 · jue 3/9</t>
        </is>
      </c>
      <c r="T194" s="18" t="inlineStr">
        <is>
          <t>Abrir ↗</t>
        </is>
      </c>
      <c r="U194" s="19" t="inlineStr">
        <is>
          <t>lista google</t>
        </is>
      </c>
      <c r="V194" s="20" t="inlineStr">
        <is>
          <t>SÍ</t>
        </is>
      </c>
    </row>
    <row r="195" ht="46" customHeight="1">
      <c r="A195" s="9" t="inlineStr">
        <is>
          <t>Rockefeller Center</t>
        </is>
      </c>
      <c r="B195" s="10" t="inlineStr">
        <is>
          <t>Arquitectura moderna</t>
        </is>
      </c>
      <c r="C195" s="11" t="inlineStr">
        <is>
          <t>Arquitectura</t>
        </is>
      </c>
      <c r="D195" s="11" t="inlineStr">
        <is>
          <t>Midtown</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47-50 Sts-Rockefeller Ctr (B,D,F,M)</t>
        </is>
      </c>
      <c r="Q195" s="16" t="inlineStr">
        <is>
          <t>El conjunto art déco a nivel de calle: la plaza hundida, el Atlas y el mural de Prometeo. Gratis; el Top of the Rock es aparte.</t>
        </is>
      </c>
      <c r="R195" s="16" t="inlineStr">
        <is>
          <t>45 Rockefeller Plaza</t>
        </is>
      </c>
      <c r="S195" s="16" t="inlineStr">
        <is>
          <t>—</t>
        </is>
      </c>
      <c r="T195" s="18" t="inlineStr">
        <is>
          <t>Abrir ↗</t>
        </is>
      </c>
      <c r="U195" s="19" t="inlineStr">
        <is>
          <t>lista google</t>
        </is>
      </c>
      <c r="V195" s="20" t="inlineStr"/>
    </row>
    <row r="196" ht="46" customHeight="1">
      <c r="A196" s="9" t="inlineStr">
        <is>
          <t>Seagram Building</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0.3</v>
      </c>
      <c r="K196" s="13" t="inlineStr">
        <is>
          <t>no</t>
        </is>
      </c>
      <c r="L196" s="16" t="inlineStr">
        <is>
          <t>—</t>
        </is>
      </c>
      <c r="M196" s="11" t="inlineStr">
        <is>
          <t>—</t>
        </is>
      </c>
      <c r="N196" s="16" t="inlineStr">
        <is>
          <t>—</t>
        </is>
      </c>
      <c r="O196" s="16" t="inlineStr">
        <is>
          <t>—</t>
        </is>
      </c>
      <c r="P196" s="16" t="inlineStr">
        <is>
          <t>51 St (6)</t>
        </is>
      </c>
      <c r="Q196" s="16" t="inlineStr">
        <is>
          <t>Mies van der Rohe, 1958. La plaza vacia de adelante fue tan influyente como el edificio.</t>
        </is>
      </c>
      <c r="R196" s="16" t="inlineStr">
        <is>
          <t>375 Park Ave</t>
        </is>
      </c>
      <c r="S196" s="16" t="inlineStr">
        <is>
          <t>—</t>
        </is>
      </c>
      <c r="T196" s="18" t="inlineStr">
        <is>
          <t>Abrir ↗</t>
        </is>
      </c>
      <c r="U196" s="21" t="inlineStr">
        <is>
          <t>otros</t>
        </is>
      </c>
      <c r="V196" s="20" t="inlineStr"/>
    </row>
    <row r="197" ht="46" customHeight="1">
      <c r="A197" s="9" t="inlineStr">
        <is>
          <t>TWA Hotel (terminal de Saarinen)</t>
        </is>
      </c>
      <c r="B197" s="10" t="inlineStr">
        <is>
          <t>Arquitectura moderna</t>
        </is>
      </c>
      <c r="C197" s="11" t="inlineStr">
        <is>
          <t>Arquitectura</t>
        </is>
      </c>
      <c r="D197" s="11" t="inlineStr">
        <is>
          <t>JFK Airport</t>
        </is>
      </c>
      <c r="E197" s="11" t="inlineStr">
        <is>
          <t>Queens</t>
        </is>
      </c>
      <c r="F197" s="12" t="n">
        <v>0</v>
      </c>
      <c r="G197" s="12" t="n">
        <v>0</v>
      </c>
      <c r="H197" s="13">
        <f>IF(AND(F197=2,G197=2),"AMBOS",IF(AND(F197=2,G197&lt;2),"solo JP",IF(AND(F197&lt;2,G197=2),"solo Thais","-")))</f>
        <v/>
      </c>
      <c r="I197" s="14" t="n">
        <v>9</v>
      </c>
      <c r="J197" s="15" t="n">
        <v>3</v>
      </c>
      <c r="K197" s="13" t="inlineStr">
        <is>
          <t>no</t>
        </is>
      </c>
      <c r="L197" s="16" t="inlineStr">
        <is>
          <t>—</t>
        </is>
      </c>
      <c r="M197" s="11" t="inlineStr">
        <is>
          <t>—</t>
        </is>
      </c>
      <c r="N197" s="16" t="inlineStr">
        <is>
          <t>—</t>
        </is>
      </c>
      <c r="O197" s="16" t="inlineStr">
        <is>
          <t>—</t>
        </is>
      </c>
      <c r="P197" s="16" t="inlineStr">
        <is>
          <t>A o E a Howard Beach/Jamaica + AirTrain</t>
        </is>
      </c>
      <c r="Q197" s="16" t="inlineStr">
        <is>
          <t>La terminal de Eero Saarinen de 1962 restaurada entera: la Sunken Lounge, el tubo de conexion y un Lockheed Constellation de 1958 convertido en bar. No hace falta ser huesped ni pagar entrada.</t>
        </is>
      </c>
      <c r="R197" s="16" t="inlineStr">
        <is>
          <t>One Idlewild Dr, JFK</t>
        </is>
      </c>
      <c r="S197" s="16" t="inlineStr">
        <is>
          <t>—</t>
        </is>
      </c>
      <c r="T197" s="18" t="inlineStr">
        <is>
          <t>Abrir ↗</t>
        </is>
      </c>
      <c r="U197" s="21" t="inlineStr">
        <is>
          <t>otros</t>
        </is>
      </c>
      <c r="V197" s="20" t="inlineStr"/>
    </row>
    <row r="198" ht="46" customHeight="1">
      <c r="A198" s="9" t="inlineStr">
        <is>
          <t>The Vessel</t>
        </is>
      </c>
      <c r="B198" s="10" t="inlineStr">
        <is>
          <t>Arquitectura moderna</t>
        </is>
      </c>
      <c r="C198" s="11" t="inlineStr">
        <is>
          <t>Arquitectura</t>
        </is>
      </c>
      <c r="D198" s="11" t="inlineStr">
        <is>
          <t>Hudson Yards</t>
        </is>
      </c>
      <c r="E198" s="11" t="inlineStr">
        <is>
          <t>Manhattan</t>
        </is>
      </c>
      <c r="F198" s="12" t="n">
        <v>2</v>
      </c>
      <c r="G198" s="12" t="n">
        <v>2</v>
      </c>
      <c r="H198" s="13">
        <f>IF(AND(F198=2,G198=2),"AMBOS",IF(AND(F198=2,G198&lt;2),"solo JP",IF(AND(F198&lt;2,G198=2),"solo Thais","-")))</f>
        <v/>
      </c>
      <c r="I198" s="14" t="n">
        <v>10</v>
      </c>
      <c r="J198" s="15" t="n">
        <v>0.75</v>
      </c>
      <c r="K198" s="13" t="inlineStr">
        <is>
          <t>no</t>
        </is>
      </c>
      <c r="L198" s="16" t="inlineStr">
        <is>
          <t>lunes a domingo: 10:00–21:00</t>
        </is>
      </c>
      <c r="M198" s="11" t="inlineStr">
        <is>
          <t>—</t>
        </is>
      </c>
      <c r="N198" s="16" t="inlineStr">
        <is>
          <t>—</t>
        </is>
      </c>
      <c r="O198" s="16" t="inlineStr">
        <is>
          <t>timed ticket online (hay en el dia, pero mejor asegurar)</t>
        </is>
      </c>
      <c r="P198" s="16" t="inlineStr">
        <is>
          <t>34 St-Hudson Yards (7)</t>
        </is>
      </c>
      <c r="Q198" s="16" t="inlineStr">
        <is>
          <t>La escalera infinita de Heatherwick: 154 tramos entrelazados, 2.500 escalones. Subirla es la unica forma de entenderla, y esta al pie del arranque del High Line.</t>
        </is>
      </c>
      <c r="R198" s="16" t="inlineStr">
        <is>
          <t>20 Hudson Yards</t>
        </is>
      </c>
      <c r="S198" s="17" t="inlineStr">
        <is>
          <t>Día 7 · vie 4/9</t>
        </is>
      </c>
      <c r="T198" s="18" t="inlineStr">
        <is>
          <t>Abrir ↗</t>
        </is>
      </c>
      <c r="U198" s="19" t="inlineStr">
        <is>
          <t>lista google</t>
        </is>
      </c>
      <c r="V198" s="20" t="inlineStr">
        <is>
          <t>SÍ</t>
        </is>
      </c>
    </row>
    <row r="199" ht="46" customHeight="1">
      <c r="A199" s="9" t="inlineStr">
        <is>
          <t>6½ Avenue</t>
        </is>
      </c>
      <c r="B199" s="10" t="inlineStr">
        <is>
          <t>Casa y calle histórica</t>
        </is>
      </c>
      <c r="C199" s="11" t="inlineStr">
        <is>
          <t>Arquitectura</t>
        </is>
      </c>
      <c r="D199" s="11" t="inlineStr">
        <is>
          <t>Midtown</t>
        </is>
      </c>
      <c r="E199" s="11" t="inlineStr">
        <is>
          <t>Manhattan</t>
        </is>
      </c>
      <c r="F199" s="12" t="n">
        <v>1</v>
      </c>
      <c r="G199" s="12" t="n">
        <v>1</v>
      </c>
      <c r="H199" s="13">
        <f>IF(AND(F199=2,G199=2),"AMBOS",IF(AND(F199=2,G199&lt;2),"solo JP",IF(AND(F199&lt;2,G199=2),"solo Thais","-")))</f>
        <v/>
      </c>
      <c r="I199" s="14" t="n">
        <v>0</v>
      </c>
      <c r="J199" s="15" t="n">
        <v>0.4</v>
      </c>
      <c r="K199" s="13" t="inlineStr">
        <is>
          <t>no</t>
        </is>
      </c>
      <c r="L199" s="16" t="inlineStr">
        <is>
          <t>—</t>
        </is>
      </c>
      <c r="M199" s="11" t="inlineStr">
        <is>
          <t>—</t>
        </is>
      </c>
      <c r="N199" s="16" t="inlineStr">
        <is>
          <t>—</t>
        </is>
      </c>
      <c r="O199" s="16" t="inlineStr">
        <is>
          <t>—</t>
        </is>
      </c>
      <c r="P199" s="16" t="inlineStr">
        <is>
          <t>57 St (F), 7 Av (B,D,E)</t>
        </is>
      </c>
      <c r="Q199" s="16" t="inlineStr">
        <is>
          <t>la única avenida fraccionaria de la grilla de Nueva York, oficializada con cartel de calle por el Departamento de Transporte en julio de 2012.</t>
        </is>
      </c>
      <c r="R199" s="16" t="inlineStr">
        <is>
          <t>6 1/2 Ave &amp; W 53rd St</t>
        </is>
      </c>
      <c r="S199" s="16" t="inlineStr">
        <is>
          <t>—</t>
        </is>
      </c>
      <c r="T199" s="18" t="inlineStr">
        <is>
          <t>Abrir ↗</t>
        </is>
      </c>
      <c r="U199" s="21" t="inlineStr">
        <is>
          <t>otros</t>
        </is>
      </c>
      <c r="V199" s="20" t="inlineStr"/>
    </row>
    <row r="200" ht="46" customHeight="1">
      <c r="A200" s="9" t="inlineStr">
        <is>
          <t>75½ Bedford Street</t>
        </is>
      </c>
      <c r="B200" s="10" t="inlineStr">
        <is>
          <t>Casa y calle histórica</t>
        </is>
      </c>
      <c r="C200" s="11" t="inlineStr">
        <is>
          <t>Arquitectura</t>
        </is>
      </c>
      <c r="D200" s="11" t="inlineStr">
        <is>
          <t>West Village</t>
        </is>
      </c>
      <c r="E200" s="11" t="inlineStr">
        <is>
          <t>Manhattan</t>
        </is>
      </c>
      <c r="F200" s="12" t="n">
        <v>1</v>
      </c>
      <c r="G200" s="12" t="n">
        <v>1</v>
      </c>
      <c r="H200" s="13">
        <f>IF(AND(F200=2,G200=2),"AMBOS",IF(AND(F200=2,G200&lt;2),"solo JP",IF(AND(F200&lt;2,G200=2),"solo Thais","-")))</f>
        <v/>
      </c>
      <c r="I200" s="14" t="n">
        <v>0</v>
      </c>
      <c r="J200" s="15" t="n">
        <v>0.2</v>
      </c>
      <c r="K200" s="13" t="inlineStr">
        <is>
          <t>no</t>
        </is>
      </c>
      <c r="L200" s="16" t="inlineStr">
        <is>
          <t>—</t>
        </is>
      </c>
      <c r="M200" s="11" t="inlineStr">
        <is>
          <t>—</t>
        </is>
      </c>
      <c r="N200" s="16" t="inlineStr">
        <is>
          <t>—</t>
        </is>
      </c>
      <c r="O200" s="16" t="inlineStr">
        <is>
          <t>—</t>
        </is>
      </c>
      <c r="P200" s="16" t="inlineStr">
        <is>
          <t>Christopher St (1)</t>
        </is>
      </c>
      <c r="Q200" s="16" t="inlineStr">
        <is>
          <t>2,90 metros de ancho en el frente, 2,60 adentro y 60 centímetros en su punto más angosto: la casa más flaca de Nueva York, construida en 1873 sobre lo que era la entrada de carruajes de la casa de al lado. Vivieron ahí Edna St.</t>
        </is>
      </c>
      <c r="R200" s="16" t="inlineStr">
        <is>
          <t>75 Bedford St</t>
        </is>
      </c>
      <c r="S200" s="16" t="inlineStr">
        <is>
          <t>—</t>
        </is>
      </c>
      <c r="T200" s="18" t="inlineStr">
        <is>
          <t>Abrir ↗</t>
        </is>
      </c>
      <c r="U200" s="21" t="inlineStr">
        <is>
          <t>otros</t>
        </is>
      </c>
      <c r="V200" s="20" t="inlineStr"/>
    </row>
    <row r="201" ht="46" customHeight="1">
      <c r="A201" s="9" t="inlineStr">
        <is>
          <t>Amster Yard (Instituto Cervantes)</t>
        </is>
      </c>
      <c r="B201" s="10" t="inlineStr">
        <is>
          <t>Casa y calle histórica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 Lexington Av-53 St (E,M)</t>
        </is>
      </c>
      <c r="Q201" s="16" t="inlineStr">
        <is>
          <t>un patio en L escondido detrás de una fila de conventillos, que el decorador James Amster armó entre 1944 y 1946 juntando varios fondos de casa. Isamu Noguchi tuvo su taller acá.</t>
        </is>
      </c>
      <c r="R201" s="16" t="inlineStr">
        <is>
          <t>211 E 49th St</t>
        </is>
      </c>
      <c r="S201" s="16" t="inlineStr">
        <is>
          <t>—</t>
        </is>
      </c>
      <c r="T201" s="18" t="inlineStr">
        <is>
          <t>Abrir ↗</t>
        </is>
      </c>
      <c r="U201" s="21" t="inlineStr">
        <is>
          <t>otros</t>
        </is>
      </c>
      <c r="V201" s="20" t="inlineStr"/>
    </row>
    <row r="202" ht="46" customHeight="1">
      <c r="A202" s="9" t="inlineStr">
        <is>
          <t>Apollo Theater</t>
        </is>
      </c>
      <c r="B202" s="10" t="inlineStr">
        <is>
          <t>Casa y calle histórica</t>
        </is>
      </c>
      <c r="C202" s="11" t="inlineStr">
        <is>
          <t>Arquitectura</t>
        </is>
      </c>
      <c r="D202" s="11" t="inlineStr">
        <is>
          <t>Harlem</t>
        </is>
      </c>
      <c r="E202" s="11" t="inlineStr">
        <is>
          <t>Manhattan</t>
        </is>
      </c>
      <c r="F202" s="12" t="n">
        <v>1</v>
      </c>
      <c r="G202" s="12" t="n">
        <v>1</v>
      </c>
      <c r="H202" s="13">
        <f>IF(AND(F202=2,G202=2),"AMBOS",IF(AND(F202=2,G202&lt;2),"solo JP",IF(AND(F202&lt;2,G202=2),"solo Thais","-")))</f>
        <v/>
      </c>
      <c r="I202" s="14" t="n">
        <v>0</v>
      </c>
      <c r="J202" s="15" t="n">
        <v>0.3</v>
      </c>
      <c r="K202" s="13" t="inlineStr">
        <is>
          <t>no</t>
        </is>
      </c>
      <c r="L202" s="16" t="inlineStr">
        <is>
          <t>—</t>
        </is>
      </c>
      <c r="M202" s="11" t="inlineStr">
        <is>
          <t>—</t>
        </is>
      </c>
      <c r="N202" s="16" t="inlineStr">
        <is>
          <t>—</t>
        </is>
      </c>
      <c r="O202" s="16" t="inlineStr">
        <is>
          <t>—</t>
        </is>
      </c>
      <c r="P202" s="16" t="inlineStr">
        <is>
          <t>125 St (A,B,C,D)</t>
        </is>
      </c>
      <c r="Q202" s="16" t="inlineStr">
        <is>
          <t>1934: la Amateur Night que lanzo a Ella Fitzgerald y James Brown. La marquesina se ve desde la vereda.</t>
        </is>
      </c>
      <c r="R202" s="16" t="inlineStr">
        <is>
          <t>253 W 125th St</t>
        </is>
      </c>
      <c r="S202" s="16" t="inlineStr">
        <is>
          <t>—</t>
        </is>
      </c>
      <c r="T202" s="18" t="inlineStr">
        <is>
          <t>Abrir ↗</t>
        </is>
      </c>
      <c r="U202" s="21" t="inlineStr">
        <is>
          <t>otros</t>
        </is>
      </c>
      <c r="V202" s="20" t="inlineStr"/>
    </row>
    <row r="203" ht="46" customHeight="1">
      <c r="A203" s="9" t="inlineStr">
        <is>
          <t>Cannon's Walk</t>
        </is>
      </c>
      <c r="B203" s="10" t="inlineStr">
        <is>
          <t>Casa y calle histórica</t>
        </is>
      </c>
      <c r="C203" s="11" t="inlineStr">
        <is>
          <t>Arquitectura</t>
        </is>
      </c>
      <c r="D203" s="11" t="inlineStr">
        <is>
          <t>South Street Seaport</t>
        </is>
      </c>
      <c r="E203" s="11" t="inlineStr">
        <is>
          <t>Manhattan</t>
        </is>
      </c>
      <c r="F203" s="12" t="n">
        <v>1</v>
      </c>
      <c r="G203" s="12" t="n">
        <v>1</v>
      </c>
      <c r="H203" s="13">
        <f>IF(AND(F203=2,G203=2),"AMBOS",IF(AND(F203=2,G203&lt;2),"solo JP",IF(AND(F203&lt;2,G203=2),"solo Thais","-")))</f>
        <v/>
      </c>
      <c r="I203" s="14" t="n">
        <v>0</v>
      </c>
      <c r="J203" s="15" t="n">
        <v>0.3</v>
      </c>
      <c r="K203" s="13" t="inlineStr">
        <is>
          <t>no</t>
        </is>
      </c>
      <c r="L203" s="16" t="inlineStr">
        <is>
          <t>—</t>
        </is>
      </c>
      <c r="M203" s="11" t="inlineStr">
        <is>
          <t>—</t>
        </is>
      </c>
      <c r="N203" s="16" t="inlineStr">
        <is>
          <t>—</t>
        </is>
      </c>
      <c r="O203" s="16" t="inlineStr">
        <is>
          <t>—</t>
        </is>
      </c>
      <c r="P203" s="16" t="inlineStr">
        <is>
          <t>Fulton St (2,3,4,5,A,C,J,Z)</t>
        </is>
      </c>
      <c r="Q203" s="16" t="inlineStr">
        <is>
          <t>Callejón adoquinado del Seaport entre edificios del siglo XIX. Atajo con encanto.</t>
        </is>
      </c>
      <c r="R203" s="16" t="inlineStr"/>
      <c r="S203" s="16" t="inlineStr">
        <is>
          <t>—</t>
        </is>
      </c>
      <c r="T203" s="18" t="inlineStr">
        <is>
          <t>Abrir ↗</t>
        </is>
      </c>
      <c r="U203" s="19" t="inlineStr">
        <is>
          <t>lista google</t>
        </is>
      </c>
      <c r="V203" s="20" t="inlineStr"/>
    </row>
    <row r="204" ht="46" customHeight="1">
      <c r="A204" s="9" t="inlineStr">
        <is>
          <t>Charging Bull</t>
        </is>
      </c>
      <c r="B204" s="10" t="inlineStr">
        <is>
          <t>Casa y calle histórica</t>
        </is>
      </c>
      <c r="C204" s="11" t="inlineStr">
        <is>
          <t>Arquitectura</t>
        </is>
      </c>
      <c r="D204" s="11" t="inlineStr">
        <is>
          <t>Financial District</t>
        </is>
      </c>
      <c r="E204" s="11" t="inlineStr">
        <is>
          <t>Manhattan</t>
        </is>
      </c>
      <c r="F204" s="12" t="n">
        <v>1</v>
      </c>
      <c r="G204" s="12" t="n">
        <v>1</v>
      </c>
      <c r="H204" s="13">
        <f>IF(AND(F204=2,G204=2),"AMBOS",IF(AND(F204=2,G204&lt;2),"solo JP",IF(AND(F204&lt;2,G204=2),"solo Thais","-")))</f>
        <v/>
      </c>
      <c r="I204" s="14" t="n">
        <v>0</v>
      </c>
      <c r="J204" s="15" t="n">
        <v>0.2</v>
      </c>
      <c r="K204" s="13" t="inlineStr">
        <is>
          <t>no</t>
        </is>
      </c>
      <c r="L204" s="16" t="inlineStr">
        <is>
          <t>—</t>
        </is>
      </c>
      <c r="M204" s="11" t="inlineStr">
        <is>
          <t>—</t>
        </is>
      </c>
      <c r="N204" s="16" t="inlineStr">
        <is>
          <t>—</t>
        </is>
      </c>
      <c r="O204" s="16" t="inlineStr">
        <is>
          <t>—</t>
        </is>
      </c>
      <c r="P204" s="16" t="inlineStr">
        <is>
          <t>Bowling Green (4,5)</t>
        </is>
      </c>
      <c r="Q204" s="16" t="inlineStr">
        <is>
          <t>El toro de 1989 que aparecio una noche sin permiso. Con Fearless Girl enfrente, a dos cuadras.</t>
        </is>
      </c>
      <c r="R204" s="16" t="inlineStr">
        <is>
          <t>Broadway y Morris St</t>
        </is>
      </c>
      <c r="S204" s="16" t="inlineStr">
        <is>
          <t>—</t>
        </is>
      </c>
      <c r="T204" s="18" t="inlineStr">
        <is>
          <t>Abrir ↗</t>
        </is>
      </c>
      <c r="U204" s="21" t="inlineStr">
        <is>
          <t>otros</t>
        </is>
      </c>
      <c r="V204" s="20" t="inlineStr"/>
    </row>
    <row r="205" ht="46" customHeight="1">
      <c r="A205" s="9" t="inlineStr">
        <is>
          <t>Cushman Row</t>
        </is>
      </c>
      <c r="B205" s="10" t="inlineStr">
        <is>
          <t>Casa y calle histórica</t>
        </is>
      </c>
      <c r="C205" s="11" t="inlineStr">
        <is>
          <t>Arquitectura</t>
        </is>
      </c>
      <c r="D205" s="11" t="inlineStr">
        <is>
          <t>Chelsea</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23 St (C,E)</t>
        </is>
      </c>
      <c r="Q205" s="16" t="inlineStr">
        <is>
          <t>Don Alonzo Cushman construyó estas seis casas en 1839-40 en tierra que le compró a Clement Clarke Moore, el que escribió "'Twas the night before Christmas".</t>
        </is>
      </c>
      <c r="R205" s="16" t="inlineStr">
        <is>
          <t>406 W 20th St</t>
        </is>
      </c>
      <c r="S205" s="16" t="inlineStr">
        <is>
          <t>—</t>
        </is>
      </c>
      <c r="T205" s="18" t="inlineStr">
        <is>
          <t>Abrir ↗</t>
        </is>
      </c>
      <c r="U205" s="21" t="inlineStr">
        <is>
          <t>otros</t>
        </is>
      </c>
      <c r="V205" s="20" t="inlineStr"/>
    </row>
    <row r="206" ht="46" customHeight="1">
      <c r="A206" s="9" t="inlineStr">
        <is>
          <t>Doyers St</t>
        </is>
      </c>
      <c r="B206" s="10" t="inlineStr">
        <is>
          <t>Casa y calle histórica</t>
        </is>
      </c>
      <c r="C206" s="11" t="inlineStr">
        <is>
          <t>Arquitectura</t>
        </is>
      </c>
      <c r="D206" s="11" t="inlineStr">
        <is>
          <t>Chinatown</t>
        </is>
      </c>
      <c r="E206" s="11" t="inlineStr">
        <is>
          <t>Manhattan</t>
        </is>
      </c>
      <c r="F206" s="12" t="n">
        <v>1</v>
      </c>
      <c r="G206" s="12" t="n">
        <v>1</v>
      </c>
      <c r="H206" s="13">
        <f>IF(AND(F206=2,G206=2),"AMBOS",IF(AND(F206=2,G206&lt;2),"solo JP",IF(AND(F206&lt;2,G206=2),"solo Thais","-")))</f>
        <v/>
      </c>
      <c r="I206" s="14" t="n">
        <v>0</v>
      </c>
      <c r="J206" s="15" t="n">
        <v>0.25</v>
      </c>
      <c r="K206" s="13" t="inlineStr">
        <is>
          <t>no</t>
        </is>
      </c>
      <c r="L206" s="16" t="inlineStr">
        <is>
          <t>—</t>
        </is>
      </c>
      <c r="M206" s="11" t="inlineStr">
        <is>
          <t>—</t>
        </is>
      </c>
      <c r="N206" s="16" t="inlineStr">
        <is>
          <t>—</t>
        </is>
      </c>
      <c r="O206" s="16" t="inlineStr">
        <is>
          <t>—</t>
        </is>
      </c>
      <c r="P206" s="16" t="inlineStr">
        <is>
          <t>Canal St (6,N,Q,R,W,J,Z)</t>
        </is>
      </c>
      <c r="Q206" s="16" t="inlineStr">
        <is>
          <t>La curva imposible del 'Bloody Angle', con el mural. Media cuadra que resume Chinatown.</t>
        </is>
      </c>
      <c r="R206" s="16" t="inlineStr"/>
      <c r="S206" s="16" t="inlineStr">
        <is>
          <t>—</t>
        </is>
      </c>
      <c r="T206" s="18" t="inlineStr">
        <is>
          <t>Abrir ↗</t>
        </is>
      </c>
      <c r="U206" s="19" t="inlineStr">
        <is>
          <t>lista google</t>
        </is>
      </c>
      <c r="V206" s="20" t="inlineStr"/>
    </row>
    <row r="207" ht="46" customHeight="1">
      <c r="A207" s="9" t="inlineStr">
        <is>
          <t>Fraunces Tavern</t>
        </is>
      </c>
      <c r="B207" s="10" t="inlineStr">
        <is>
          <t>Casa y calle histórica</t>
        </is>
      </c>
      <c r="C207" s="11" t="inlineStr">
        <is>
          <t>Arquitectura</t>
        </is>
      </c>
      <c r="D207" s="11" t="inlineStr">
        <is>
          <t>Financial District</t>
        </is>
      </c>
      <c r="E207" s="11" t="inlineStr">
        <is>
          <t>Manhattan</t>
        </is>
      </c>
      <c r="F207" s="12" t="n">
        <v>1</v>
      </c>
      <c r="G207" s="12" t="n">
        <v>1</v>
      </c>
      <c r="H207" s="13">
        <f>IF(AND(F207=2,G207=2),"AMBOS",IF(AND(F207=2,G207&lt;2),"solo JP",IF(AND(F207&lt;2,G207=2),"solo Thais","-")))</f>
        <v/>
      </c>
      <c r="I207" s="14" t="n">
        <v>20</v>
      </c>
      <c r="J207" s="15" t="n">
        <v>1</v>
      </c>
      <c r="K207" s="13" t="inlineStr">
        <is>
          <t>no</t>
        </is>
      </c>
      <c r="L207" s="16" t="inlineStr">
        <is>
          <t>—</t>
        </is>
      </c>
      <c r="M207" s="11" t="inlineStr">
        <is>
          <t>—</t>
        </is>
      </c>
      <c r="N207" s="16" t="inlineStr">
        <is>
          <t>—</t>
        </is>
      </c>
      <c r="O207" s="16" t="inlineStr">
        <is>
          <t>—</t>
        </is>
      </c>
      <c r="P207" s="16" t="inlineStr">
        <is>
          <t>Broad St (J,Z)</t>
        </is>
      </c>
      <c r="Q207" s="16" t="inlineStr">
        <is>
          <t>La taberna de 1762 donde Washington se despidió de sus oficiales. Museo arriba, bar funcionando abajo.</t>
        </is>
      </c>
      <c r="R207" s="16" t="inlineStr">
        <is>
          <t>54 Pearl St</t>
        </is>
      </c>
      <c r="S207" s="16" t="inlineStr">
        <is>
          <t>—</t>
        </is>
      </c>
      <c r="T207" s="18" t="inlineStr">
        <is>
          <t>Abrir ↗</t>
        </is>
      </c>
      <c r="U207" s="19" t="inlineStr">
        <is>
          <t>lista google</t>
        </is>
      </c>
      <c r="V207" s="20" t="inlineStr"/>
    </row>
    <row r="208" ht="46" customHeight="1">
      <c r="A208" s="9" t="inlineStr">
        <is>
          <t>Grove Court</t>
        </is>
      </c>
      <c r="B208" s="10" t="inlineStr">
        <is>
          <t>Casa y calle histórica</t>
        </is>
      </c>
      <c r="C208" s="11" t="inlineStr">
        <is>
          <t>Arquitectura</t>
        </is>
      </c>
      <c r="D208" s="11" t="inlineStr">
        <is>
          <t>West Village</t>
        </is>
      </c>
      <c r="E208" s="11" t="inlineStr">
        <is>
          <t>Manhattan</t>
        </is>
      </c>
      <c r="F208" s="12" t="n">
        <v>1</v>
      </c>
      <c r="G208" s="12" t="n">
        <v>1</v>
      </c>
      <c r="H208" s="13">
        <f>IF(AND(F208=2,G208=2),"AMBOS",IF(AND(F208=2,G208&lt;2),"solo JP",IF(AND(F208&lt;2,G208=2),"solo Thais","-")))</f>
        <v/>
      </c>
      <c r="I208" s="14" t="n">
        <v>0</v>
      </c>
      <c r="J208" s="15" t="n">
        <v>0.2</v>
      </c>
      <c r="K208" s="13" t="inlineStr">
        <is>
          <t>no</t>
        </is>
      </c>
      <c r="L208" s="16" t="inlineStr">
        <is>
          <t>—</t>
        </is>
      </c>
      <c r="M208" s="11" t="inlineStr">
        <is>
          <t>—</t>
        </is>
      </c>
      <c r="N208" s="16" t="inlineStr">
        <is>
          <t>—</t>
        </is>
      </c>
      <c r="O208" s="16" t="inlineStr">
        <is>
          <t>—</t>
        </is>
      </c>
      <c r="P208" s="16" t="inlineStr">
        <is>
          <t>Christopher St (1)</t>
        </is>
      </c>
      <c r="Q208" s="16" t="inlineStr">
        <is>
          <t>Seis casitas de 1854 alrededor de un patio privado. La postal del West Village que no sale en las guias.</t>
        </is>
      </c>
      <c r="R208" s="16" t="inlineStr">
        <is>
          <t>10-12 Grove St</t>
        </is>
      </c>
      <c r="S208" s="16" t="inlineStr">
        <is>
          <t>—</t>
        </is>
      </c>
      <c r="T208" s="18" t="inlineStr">
        <is>
          <t>Abrir ↗</t>
        </is>
      </c>
      <c r="U208" s="21" t="inlineStr">
        <is>
          <t>otros</t>
        </is>
      </c>
      <c r="V208" s="20" t="inlineStr"/>
    </row>
    <row r="209" ht="46" customHeight="1">
      <c r="A209" s="9" t="inlineStr">
        <is>
          <t>Henderson Place</t>
        </is>
      </c>
      <c r="B209" s="10" t="inlineStr">
        <is>
          <t>Casa y calle histórica</t>
        </is>
      </c>
      <c r="C209" s="11" t="inlineStr">
        <is>
          <t>Arquitectura</t>
        </is>
      </c>
      <c r="D209" s="11" t="inlineStr">
        <is>
          <t>Upper East Side</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86 St (4,5,6) + M86</t>
        </is>
      </c>
      <c r="Q209"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09" s="16" t="inlineStr">
        <is>
          <t>Henderson Pl, E 86th St</t>
        </is>
      </c>
      <c r="S209" s="16" t="inlineStr">
        <is>
          <t>—</t>
        </is>
      </c>
      <c r="T209" s="18" t="inlineStr">
        <is>
          <t>Abrir ↗</t>
        </is>
      </c>
      <c r="U209" s="21" t="inlineStr">
        <is>
          <t>otros</t>
        </is>
      </c>
      <c r="V209" s="20" t="inlineStr"/>
    </row>
    <row r="210" ht="46" customHeight="1">
      <c r="A210" s="9" t="inlineStr">
        <is>
          <t>Hotel Chelsea</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0.3</v>
      </c>
      <c r="K210" s="13" t="inlineStr">
        <is>
          <t>no</t>
        </is>
      </c>
      <c r="L210" s="16" t="inlineStr">
        <is>
          <t>—</t>
        </is>
      </c>
      <c r="M210" s="11" t="inlineStr">
        <is>
          <t>—</t>
        </is>
      </c>
      <c r="N210" s="16" t="inlineStr">
        <is>
          <t>—</t>
        </is>
      </c>
      <c r="O210" s="16" t="inlineStr">
        <is>
          <t>—</t>
        </is>
      </c>
      <c r="P210" s="16" t="inlineStr">
        <is>
          <t>23 St (1,C,E,F,M)</t>
        </is>
      </c>
      <c r="Q210" s="16" t="inlineStr">
        <is>
          <t>Donde vivieron Dylan, Patti Smith, Warhol y Leonard Cohen. Reabrio como hotel; el lobby se puede ver.</t>
        </is>
      </c>
      <c r="R210" s="16" t="inlineStr">
        <is>
          <t>222 W 23rd St</t>
        </is>
      </c>
      <c r="S210" s="16" t="inlineStr">
        <is>
          <t>—</t>
        </is>
      </c>
      <c r="T210" s="18" t="inlineStr">
        <is>
          <t>Abrir ↗</t>
        </is>
      </c>
      <c r="U210" s="21" t="inlineStr">
        <is>
          <t>otros</t>
        </is>
      </c>
      <c r="V210" s="20" t="inlineStr"/>
    </row>
    <row r="211" ht="46" customHeight="1">
      <c r="A211" s="9" t="inlineStr">
        <is>
          <t>Irish Hunger Memorial</t>
        </is>
      </c>
      <c r="B211" s="10" t="inlineStr">
        <is>
          <t>Casa y calle histórica</t>
        </is>
      </c>
      <c r="C211" s="11" t="inlineStr">
        <is>
          <t>Arquitectura</t>
        </is>
      </c>
      <c r="D211" s="11" t="inlineStr">
        <is>
          <t>Battery Park City</t>
        </is>
      </c>
      <c r="E211" s="11" t="inlineStr">
        <is>
          <t>Manhattan</t>
        </is>
      </c>
      <c r="F211" s="12" t="n">
        <v>1</v>
      </c>
      <c r="G211" s="12" t="n">
        <v>1</v>
      </c>
      <c r="H211" s="13">
        <f>IF(AND(F211=2,G211=2),"AMBOS",IF(AND(F211=2,G211&lt;2),"solo JP",IF(AND(F211&lt;2,G211=2),"solo Thais","-")))</f>
        <v/>
      </c>
      <c r="I211" s="14" t="n">
        <v>0</v>
      </c>
      <c r="J211" s="15" t="n">
        <v>0.4</v>
      </c>
      <c r="K211" s="13" t="inlineStr">
        <is>
          <t>no</t>
        </is>
      </c>
      <c r="L211" s="16" t="inlineStr">
        <is>
          <t>—</t>
        </is>
      </c>
      <c r="M211" s="11" t="inlineStr">
        <is>
          <t>—</t>
        </is>
      </c>
      <c r="N211" s="16" t="inlineStr">
        <is>
          <t>—</t>
        </is>
      </c>
      <c r="O211" s="16" t="inlineStr">
        <is>
          <t>—</t>
        </is>
      </c>
      <c r="P211" s="16" t="inlineStr">
        <is>
          <t>Chambers St (1,2,3)</t>
        </is>
      </c>
      <c r="Q211" s="16" t="inlineStr">
        <is>
          <t>media hectárea de campo irlandés levantada y trasplantada a Manhattan, con una casa de piedra real de la época de la hambruna donada por la familia Slack de Attymass, condado de Mayo, desarmada y rearmada acá piedra por piedra.</t>
        </is>
      </c>
      <c r="R211" s="16" t="inlineStr">
        <is>
          <t>Vesey St &amp; North End Ave</t>
        </is>
      </c>
      <c r="S211" s="16" t="inlineStr">
        <is>
          <t>—</t>
        </is>
      </c>
      <c r="T211" s="18" t="inlineStr">
        <is>
          <t>Abrir ↗</t>
        </is>
      </c>
      <c r="U211" s="21" t="inlineStr">
        <is>
          <t>otros</t>
        </is>
      </c>
      <c r="V211" s="20" t="inlineStr"/>
    </row>
    <row r="212" ht="46" customHeight="1">
      <c r="A212" s="9" t="inlineStr">
        <is>
          <t>Jane's Carousel</t>
        </is>
      </c>
      <c r="B212" s="10" t="inlineStr">
        <is>
          <t>Casa y calle histórica</t>
        </is>
      </c>
      <c r="C212" s="11" t="inlineStr">
        <is>
          <t>Arquitectura</t>
        </is>
      </c>
      <c r="D212" s="11" t="inlineStr">
        <is>
          <t>DUMBO</t>
        </is>
      </c>
      <c r="E212" s="11" t="inlineStr">
        <is>
          <t>Brooklyn</t>
        </is>
      </c>
      <c r="F212" s="12" t="n">
        <v>1</v>
      </c>
      <c r="G212" s="12" t="n">
        <v>1</v>
      </c>
      <c r="H212" s="13">
        <f>IF(AND(F212=2,G212=2),"AMBOS",IF(AND(F212=2,G212&lt;2),"solo JP",IF(AND(F212&lt;2,G212=2),"solo Thais","-")))</f>
        <v/>
      </c>
      <c r="I212" s="14" t="n">
        <v>2</v>
      </c>
      <c r="J212" s="15" t="n">
        <v>0.4</v>
      </c>
      <c r="K212" s="13" t="inlineStr">
        <is>
          <t>no</t>
        </is>
      </c>
      <c r="L212" s="16" t="inlineStr">
        <is>
          <t>—</t>
        </is>
      </c>
      <c r="M212" s="11" t="inlineStr">
        <is>
          <t>—</t>
        </is>
      </c>
      <c r="N212" s="16" t="inlineStr">
        <is>
          <t>—</t>
        </is>
      </c>
      <c r="O212" s="16" t="inlineStr">
        <is>
          <t>—</t>
        </is>
      </c>
      <c r="P212" s="16" t="inlineStr">
        <is>
          <t>High St (A,C), York St (F)</t>
        </is>
      </c>
      <c r="Q212" s="16" t="inlineStr">
        <is>
          <t>Calesita de 1922 restaurada, dentro de una caja de vidrio de Jean Nouvel frente al skyline. Dos dolares.</t>
        </is>
      </c>
      <c r="R212" s="16" t="inlineStr">
        <is>
          <t>Brooklyn Bridge Park, Old Dock St</t>
        </is>
      </c>
      <c r="S212" s="16" t="inlineStr">
        <is>
          <t>—</t>
        </is>
      </c>
      <c r="T212" s="18" t="inlineStr">
        <is>
          <t>Abrir ↗</t>
        </is>
      </c>
      <c r="U212" s="21" t="inlineStr">
        <is>
          <t>otros</t>
        </is>
      </c>
      <c r="V212" s="20" t="inlineStr"/>
    </row>
    <row r="213" ht="46" customHeight="1">
      <c r="A213" s="9" t="inlineStr">
        <is>
          <t>Patchin Place</t>
        </is>
      </c>
      <c r="B213" s="10" t="inlineStr">
        <is>
          <t>Casa y calle histórica</t>
        </is>
      </c>
      <c r="C213" s="11" t="inlineStr">
        <is>
          <t>Arquitectura</t>
        </is>
      </c>
      <c r="D213" s="11" t="inlineStr">
        <is>
          <t>Greenwich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W 4 St (A,C,E,B,D,F,M)</t>
        </is>
      </c>
      <c r="Q213" s="16" t="inlineStr">
        <is>
          <t>diez casitas de 1848 en un callejón con portón de 1929, justo enfrente de la Jefferson Market Library que ya tienen agendada. E.E. Cummings vivió en el número 4 durante cuarenta años; Djuna Barnes, en el 5, del otro lado del callejón.</t>
        </is>
      </c>
      <c r="R213" s="16" t="inlineStr">
        <is>
          <t>Patchin Place, W 10th St</t>
        </is>
      </c>
      <c r="S213" s="16" t="inlineStr">
        <is>
          <t>—</t>
        </is>
      </c>
      <c r="T213" s="18" t="inlineStr">
        <is>
          <t>Abrir ↗</t>
        </is>
      </c>
      <c r="U213" s="21" t="inlineStr">
        <is>
          <t>otros</t>
        </is>
      </c>
      <c r="V213" s="20" t="inlineStr"/>
    </row>
    <row r="214" ht="46" customHeight="1">
      <c r="A214" s="9" t="inlineStr">
        <is>
          <t>Pomander Walk</t>
        </is>
      </c>
      <c r="B214" s="10" t="inlineStr">
        <is>
          <t>Casa y calle histórica</t>
        </is>
      </c>
      <c r="C214" s="11" t="inlineStr">
        <is>
          <t>Arquitectura</t>
        </is>
      </c>
      <c r="D214" s="11" t="inlineStr">
        <is>
          <t>Upper West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96 St (1,2,3)</t>
        </is>
      </c>
      <c r="Q214" s="16" t="inlineStr">
        <is>
          <t>27 casas Tudor de dos pisos con fachadas pastel y jardincitos, en un pasaje privado en el medio de la manzana.</t>
        </is>
      </c>
      <c r="R214" s="16" t="inlineStr">
        <is>
          <t>261 W 94th St</t>
        </is>
      </c>
      <c r="S214" s="16" t="inlineStr">
        <is>
          <t>—</t>
        </is>
      </c>
      <c r="T214" s="18" t="inlineStr">
        <is>
          <t>Abrir ↗</t>
        </is>
      </c>
      <c r="U214" s="21" t="inlineStr">
        <is>
          <t>otros</t>
        </is>
      </c>
      <c r="V214" s="20" t="inlineStr"/>
    </row>
    <row r="215" ht="46" customHeight="1">
      <c r="A215" s="9" t="inlineStr">
        <is>
          <t>Prince St</t>
        </is>
      </c>
      <c r="B215" s="10" t="inlineStr">
        <is>
          <t>Casa y calle histórica</t>
        </is>
      </c>
      <c r="C215" s="11" t="inlineStr">
        <is>
          <t>Arquitectura</t>
        </is>
      </c>
      <c r="D215" s="11" t="inlineStr">
        <is>
          <t>SoHo</t>
        </is>
      </c>
      <c r="E215" s="11" t="inlineStr">
        <is>
          <t>Manhattan</t>
        </is>
      </c>
      <c r="F215" s="12" t="n">
        <v>1</v>
      </c>
      <c r="G215" s="12" t="n">
        <v>1</v>
      </c>
      <c r="H215" s="13">
        <f>IF(AND(F215=2,G215=2),"AMBOS",IF(AND(F215=2,G215&lt;2),"solo JP",IF(AND(F215&lt;2,G215=2),"solo Thais","-")))</f>
        <v/>
      </c>
      <c r="I215" s="14" t="n">
        <v>0</v>
      </c>
      <c r="J215" s="15" t="n">
        <v>0.5</v>
      </c>
      <c r="K215" s="13" t="inlineStr">
        <is>
          <t>SÍ</t>
        </is>
      </c>
      <c r="L215" s="16" t="inlineStr">
        <is>
          <t>—</t>
        </is>
      </c>
      <c r="M215" s="11" t="inlineStr">
        <is>
          <t>—</t>
        </is>
      </c>
      <c r="N215" s="16" t="inlineStr">
        <is>
          <t>—</t>
        </is>
      </c>
      <c r="O215" s="16" t="inlineStr">
        <is>
          <t>—</t>
        </is>
      </c>
      <c r="P215" s="16" t="inlineStr">
        <is>
          <t>Prince St (N,R,W)</t>
        </is>
      </c>
      <c r="Q215" s="16" t="inlineStr">
        <is>
          <t>El eje comercial del SoHo, entre fachadas de hierro fundido y puestos de arte en la vereda.</t>
        </is>
      </c>
      <c r="R215" s="16" t="inlineStr"/>
      <c r="S215" s="16" t="inlineStr">
        <is>
          <t>—</t>
        </is>
      </c>
      <c r="T215" s="18" t="inlineStr">
        <is>
          <t>Abrir ↗</t>
        </is>
      </c>
      <c r="U215" s="19" t="inlineStr">
        <is>
          <t>lista google</t>
        </is>
      </c>
      <c r="V215" s="20" t="inlineStr"/>
    </row>
    <row r="216" ht="46" customHeight="1">
      <c r="A216" s="9" t="inlineStr">
        <is>
          <t>Roosevelt Island Lighthouse</t>
        </is>
      </c>
      <c r="B216" s="10" t="inlineStr">
        <is>
          <t>Casa y calle histórica</t>
        </is>
      </c>
      <c r="C216" s="11" t="inlineStr">
        <is>
          <t>Arquitectura</t>
        </is>
      </c>
      <c r="D216" s="11" t="inlineStr">
        <is>
          <t>Roosevelt Island</t>
        </is>
      </c>
      <c r="E216" s="11" t="inlineStr">
        <is>
          <t>Manhattan</t>
        </is>
      </c>
      <c r="F216" s="12" t="n">
        <v>2</v>
      </c>
      <c r="G216" s="12" t="n">
        <v>2</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Teleférico o F a Roosevelt Island</t>
        </is>
      </c>
      <c r="Q216" s="16" t="inlineStr">
        <is>
          <t>Faro de 1872 en la punta NORTE de la isla (el FDR Park está en la sur): 20 minutos de caminata y casi nadie.</t>
        </is>
      </c>
      <c r="R216" s="16" t="inlineStr"/>
      <c r="S216" s="16" t="inlineStr">
        <is>
          <t>—</t>
        </is>
      </c>
      <c r="T216" s="18" t="inlineStr">
        <is>
          <t>Abrir ↗</t>
        </is>
      </c>
      <c r="U216" s="19" t="inlineStr">
        <is>
          <t>lista google</t>
        </is>
      </c>
      <c r="V216" s="20" t="inlineStr"/>
    </row>
    <row r="217" ht="46" customHeight="1">
      <c r="A217" s="9" t="inlineStr">
        <is>
          <t>Smallpox Memorial Hospital</t>
        </is>
      </c>
      <c r="B217" s="10" t="inlineStr">
        <is>
          <t>Casa y calle histórica</t>
        </is>
      </c>
      <c r="C217" s="11" t="inlineStr">
        <is>
          <t>Arquitectura</t>
        </is>
      </c>
      <c r="D217" s="11" t="inlineStr">
        <is>
          <t>Roosevelt Island</t>
        </is>
      </c>
      <c r="E217" s="11" t="inlineStr">
        <is>
          <t>Manhattan</t>
        </is>
      </c>
      <c r="F217" s="12" t="n">
        <v>1</v>
      </c>
      <c r="G217" s="12" t="n">
        <v>1</v>
      </c>
      <c r="H217" s="13">
        <f>IF(AND(F217=2,G217=2),"AMBOS",IF(AND(F217=2,G217&lt;2),"solo JP",IF(AND(F217&lt;2,G217=2),"solo Thais","-")))</f>
        <v/>
      </c>
      <c r="I217" s="14" t="n">
        <v>0</v>
      </c>
      <c r="J217" s="15" t="n">
        <v>0.3</v>
      </c>
      <c r="K217" s="13" t="inlineStr">
        <is>
          <t>no</t>
        </is>
      </c>
      <c r="L217" s="16" t="inlineStr">
        <is>
          <t>—</t>
        </is>
      </c>
      <c r="M217" s="11" t="inlineStr">
        <is>
          <t>—</t>
        </is>
      </c>
      <c r="N217" s="16" t="inlineStr">
        <is>
          <t>—</t>
        </is>
      </c>
      <c r="O217" s="16" t="inlineStr">
        <is>
          <t>—</t>
        </is>
      </c>
      <c r="P217" s="16" t="inlineStr">
        <is>
          <t>Teleférico o F a Roosevelt Island</t>
        </is>
      </c>
      <c r="Q217" s="16" t="inlineStr">
        <is>
          <t>La única ruina oficialmente protegida de NY: hospital gótico de 1856, iluminado de noche. Se pasa camino al FDR Park.</t>
        </is>
      </c>
      <c r="R217" s="16" t="inlineStr"/>
      <c r="S217" s="16" t="inlineStr">
        <is>
          <t>—</t>
        </is>
      </c>
      <c r="T217" s="18" t="inlineStr">
        <is>
          <t>Abrir ↗</t>
        </is>
      </c>
      <c r="U217" s="19" t="inlineStr">
        <is>
          <t>lista google</t>
        </is>
      </c>
      <c r="V217" s="20" t="inlineStr"/>
    </row>
    <row r="218" ht="46" customHeight="1">
      <c r="A218" s="9" t="inlineStr">
        <is>
          <t>Sniffen Court</t>
        </is>
      </c>
      <c r="B218" s="10" t="inlineStr">
        <is>
          <t>Casa y calle histórica</t>
        </is>
      </c>
      <c r="C218" s="11" t="inlineStr">
        <is>
          <t>Arquitectura</t>
        </is>
      </c>
      <c r="D218" s="11" t="inlineStr">
        <is>
          <t>Murray Hill</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33 St (6)</t>
        </is>
      </c>
      <c r="Q218" s="16" t="inlineStr">
        <is>
          <t>diez caballerizas de ladrillo de 1863-64, construidas por John Sniffen y convertidas en casas en los años 20. Es el callejón privado más intacto de Manhattan y no se ve desde ningún lado salvo parado justo enfrente.</t>
        </is>
      </c>
      <c r="R218" s="16" t="inlineStr">
        <is>
          <t>150 E 36th St</t>
        </is>
      </c>
      <c r="S218" s="16" t="inlineStr">
        <is>
          <t>—</t>
        </is>
      </c>
      <c r="T218" s="18" t="inlineStr">
        <is>
          <t>Abrir ↗</t>
        </is>
      </c>
      <c r="U218" s="21" t="inlineStr">
        <is>
          <t>otros</t>
        </is>
      </c>
      <c r="V218" s="20" t="inlineStr"/>
    </row>
    <row r="219" ht="46" customHeight="1">
      <c r="A219" s="9" t="inlineStr">
        <is>
          <t>Stone St</t>
        </is>
      </c>
      <c r="B219" s="10" t="inlineStr">
        <is>
          <t>Casa y calle histórica</t>
        </is>
      </c>
      <c r="C219" s="11" t="inlineStr">
        <is>
          <t>Arquitectura</t>
        </is>
      </c>
      <c r="D219" s="11" t="inlineStr">
        <is>
          <t>Financial District</t>
        </is>
      </c>
      <c r="E219" s="11" t="inlineStr">
        <is>
          <t>Manhattan</t>
        </is>
      </c>
      <c r="F219" s="12" t="n">
        <v>2</v>
      </c>
      <c r="G219" s="12" t="n">
        <v>1</v>
      </c>
      <c r="H219" s="13">
        <f>IF(AND(F219=2,G219=2),"AMBOS",IF(AND(F219=2,G219&lt;2),"solo JP",IF(AND(F219&lt;2,G219=2),"solo Thais","-")))</f>
        <v/>
      </c>
      <c r="I219" s="14" t="n">
        <v>0</v>
      </c>
      <c r="J219" s="15" t="n">
        <v>0.5</v>
      </c>
      <c r="K219" s="13" t="inlineStr">
        <is>
          <t>no</t>
        </is>
      </c>
      <c r="L219" s="16" t="inlineStr">
        <is>
          <t>—</t>
        </is>
      </c>
      <c r="M219" s="11" t="inlineStr">
        <is>
          <t>—</t>
        </is>
      </c>
      <c r="N219" s="16" t="inlineStr">
        <is>
          <t>—</t>
        </is>
      </c>
      <c r="O219" s="16" t="inlineStr">
        <is>
          <t>—</t>
        </is>
      </c>
      <c r="P219" s="16" t="inlineStr">
        <is>
          <t>Broad St (J,Z)</t>
        </is>
      </c>
      <c r="Q219" s="16" t="inlineStr">
        <is>
          <t>Calle adoquinada peatonal, con las mesas de los bares afuera. De 5 a 8 PM es el after office más lindo de FiDi.</t>
        </is>
      </c>
      <c r="R219" s="16" t="inlineStr"/>
      <c r="S219" s="17" t="inlineStr">
        <is>
          <t>Día 6 · jue 3/9</t>
        </is>
      </c>
      <c r="T219" s="18" t="inlineStr">
        <is>
          <t>Abrir ↗</t>
        </is>
      </c>
      <c r="U219" s="19" t="inlineStr">
        <is>
          <t>lista google</t>
        </is>
      </c>
      <c r="V219" s="20" t="inlineStr">
        <is>
          <t>SÍ</t>
        </is>
      </c>
    </row>
    <row r="220" ht="46" customHeight="1">
      <c r="A220" s="9" t="inlineStr">
        <is>
          <t>Stonewall National Monument</t>
        </is>
      </c>
      <c r="B220" s="10" t="inlineStr">
        <is>
          <t>Casa y calle histórica</t>
        </is>
      </c>
      <c r="C220" s="11" t="inlineStr">
        <is>
          <t>Arquitectura</t>
        </is>
      </c>
      <c r="D220" s="11" t="inlineStr">
        <is>
          <t>West Village</t>
        </is>
      </c>
      <c r="E220" s="11" t="inlineStr">
        <is>
          <t>Manhattan</t>
        </is>
      </c>
      <c r="F220" s="12" t="n">
        <v>1</v>
      </c>
      <c r="G220" s="12" t="n">
        <v>1</v>
      </c>
      <c r="H220" s="13">
        <f>IF(AND(F220=2,G220=2),"AMBOS",IF(AND(F220=2,G220&lt;2),"solo JP",IF(AND(F220&lt;2,G220=2),"solo Thais","-")))</f>
        <v/>
      </c>
      <c r="I220" s="14" t="n">
        <v>0</v>
      </c>
      <c r="J220" s="15" t="n">
        <v>0.4</v>
      </c>
      <c r="K220" s="13" t="inlineStr">
        <is>
          <t>no</t>
        </is>
      </c>
      <c r="L220" s="16" t="inlineStr">
        <is>
          <t>—</t>
        </is>
      </c>
      <c r="M220" s="11" t="inlineStr">
        <is>
          <t>—</t>
        </is>
      </c>
      <c r="N220" s="16" t="inlineStr">
        <is>
          <t>—</t>
        </is>
      </c>
      <c r="O220" s="16" t="inlineStr">
        <is>
          <t>—</t>
        </is>
      </c>
      <c r="P220" s="16" t="inlineStr">
        <is>
          <t>Christopher St (1)</t>
        </is>
      </c>
      <c r="Q220" s="16" t="inlineStr">
        <is>
          <t>Donde arranco todo en 1969. Primer monumento nacional de EE.UU. dedicado a los derechos LGBT; el bar sigue funcionando al lado.</t>
        </is>
      </c>
      <c r="R220" s="16" t="inlineStr">
        <is>
          <t>53 Christopher St</t>
        </is>
      </c>
      <c r="S220" s="16" t="inlineStr">
        <is>
          <t>—</t>
        </is>
      </c>
      <c r="T220" s="18" t="inlineStr">
        <is>
          <t>Abrir ↗</t>
        </is>
      </c>
      <c r="U220" s="21" t="inlineStr">
        <is>
          <t>otros</t>
        </is>
      </c>
      <c r="V220" s="20" t="inlineStr"/>
    </row>
    <row r="221" ht="46" customHeight="1">
      <c r="A221" s="9" t="inlineStr">
        <is>
          <t>Strivers' Row</t>
        </is>
      </c>
      <c r="B221" s="10" t="inlineStr">
        <is>
          <t>Casa y calle histórica</t>
        </is>
      </c>
      <c r="C221" s="11" t="inlineStr">
        <is>
          <t>Arquitectura</t>
        </is>
      </c>
      <c r="D221" s="11" t="inlineStr">
        <is>
          <t>Harlem</t>
        </is>
      </c>
      <c r="E221" s="11" t="inlineStr">
        <is>
          <t>Manhattan</t>
        </is>
      </c>
      <c r="F221" s="12" t="n">
        <v>0</v>
      </c>
      <c r="G221" s="12" t="n">
        <v>0</v>
      </c>
      <c r="H221" s="13">
        <f>IF(AND(F221=2,G221=2),"AMBOS",IF(AND(F221=2,G221&lt;2),"solo JP",IF(AND(F221&lt;2,G221=2),"solo Thais","-")))</f>
        <v/>
      </c>
      <c r="I221" s="14" t="n">
        <v>0</v>
      </c>
      <c r="J221" s="15" t="n">
        <v>0.5</v>
      </c>
      <c r="K221" s="13" t="inlineStr">
        <is>
          <t>no</t>
        </is>
      </c>
      <c r="L221" s="16" t="inlineStr">
        <is>
          <t>—</t>
        </is>
      </c>
      <c r="M221" s="11" t="inlineStr">
        <is>
          <t>—</t>
        </is>
      </c>
      <c r="N221" s="16" t="inlineStr">
        <is>
          <t>—</t>
        </is>
      </c>
      <c r="O221" s="16" t="inlineStr">
        <is>
          <t>—</t>
        </is>
      </c>
      <c r="P221" s="16" t="inlineStr">
        <is>
          <t>135 St (B,C)</t>
        </is>
      </c>
      <c r="Q221" s="16" t="inlineStr">
        <is>
          <t>Dos cuadras de casas de 1891 disenadas por tres estudios distintos, con callejones traseros para caballos. Es la mejor arquitectura residencial de Manhattan y no hay nadie mirandola.</t>
        </is>
      </c>
      <c r="R221" s="16" t="inlineStr">
        <is>
          <t>W 138th-139th St entre Adam Clayton Powell y Frederick Douglass</t>
        </is>
      </c>
      <c r="S221" s="16" t="inlineStr">
        <is>
          <t>—</t>
        </is>
      </c>
      <c r="T221" s="18" t="inlineStr">
        <is>
          <t>Abrir ↗</t>
        </is>
      </c>
      <c r="U221" s="21" t="inlineStr">
        <is>
          <t>otros</t>
        </is>
      </c>
      <c r="V221" s="20" t="inlineStr"/>
    </row>
    <row r="222" ht="46" customHeight="1">
      <c r="A222" s="9" t="inlineStr">
        <is>
          <t>The Girl Puzzle (Nellie Bly)</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0.4</v>
      </c>
      <c r="K222" s="13" t="inlineStr">
        <is>
          <t>no</t>
        </is>
      </c>
      <c r="L222" s="16" t="inlineStr">
        <is>
          <t>—</t>
        </is>
      </c>
      <c r="M222" s="11" t="inlineStr">
        <is>
          <t>—</t>
        </is>
      </c>
      <c r="N222" s="16" t="inlineStr">
        <is>
          <t>—</t>
        </is>
      </c>
      <c r="O222" s="16" t="inlineStr">
        <is>
          <t>—</t>
        </is>
      </c>
      <c r="P222" s="16" t="inlineStr">
        <is>
          <t>Roosevelt Island (F) + Red Bus</t>
        </is>
      </c>
      <c r="Q222" s="16" t="inlineStr">
        <is>
          <t>cinco caras de bronce de tres metros, de Amanda Matthews, inauguradas en diciembre de 2021 — algunas partidas en pedazos, otras con las grietas reparadas a la vista.</t>
        </is>
      </c>
      <c r="R222" s="16" t="inlineStr">
        <is>
          <t>Lighthouse Park, Roosevelt Island</t>
        </is>
      </c>
      <c r="S222" s="16" t="inlineStr">
        <is>
          <t>—</t>
        </is>
      </c>
      <c r="T222" s="18" t="inlineStr">
        <is>
          <t>Abrir ↗</t>
        </is>
      </c>
      <c r="U222" s="21" t="inlineStr">
        <is>
          <t>otros</t>
        </is>
      </c>
      <c r="V222" s="20" t="inlineStr"/>
    </row>
    <row r="223" ht="46" customHeight="1">
      <c r="A223" s="9" t="inlineStr">
        <is>
          <t>The Octagon</t>
        </is>
      </c>
      <c r="B223" s="10" t="inlineStr">
        <is>
          <t>Casa y calle histórica</t>
        </is>
      </c>
      <c r="C223" s="11" t="inlineStr">
        <is>
          <t>Arquitectura</t>
        </is>
      </c>
      <c r="D223" s="11" t="inlineStr">
        <is>
          <t>Roosevelt Island</t>
        </is>
      </c>
      <c r="E223" s="11" t="inlineStr">
        <is>
          <t>Manhattan</t>
        </is>
      </c>
      <c r="F223" s="12" t="n">
        <v>1</v>
      </c>
      <c r="G223" s="12" t="n">
        <v>1</v>
      </c>
      <c r="H223" s="13">
        <f>IF(AND(F223=2,G223=2),"AMBOS",IF(AND(F223=2,G223&lt;2),"solo JP",IF(AND(F223&lt;2,G223=2),"solo Thais","-")))</f>
        <v/>
      </c>
      <c r="I223" s="14" t="n">
        <v>0</v>
      </c>
      <c r="J223" s="15" t="n">
        <v>0.3</v>
      </c>
      <c r="K223" s="13" t="inlineStr">
        <is>
          <t>no</t>
        </is>
      </c>
      <c r="L223" s="16" t="inlineStr">
        <is>
          <t>—</t>
        </is>
      </c>
      <c r="M223" s="11" t="inlineStr">
        <is>
          <t>—</t>
        </is>
      </c>
      <c r="N223" s="16" t="inlineStr">
        <is>
          <t>—</t>
        </is>
      </c>
      <c r="O223" s="16" t="inlineStr">
        <is>
          <t>—</t>
        </is>
      </c>
      <c r="P223" s="16" t="inlineStr">
        <is>
          <t>Roosevelt Island (F)</t>
        </is>
      </c>
      <c r="Q223" s="16" t="inlineStr">
        <is>
          <t>es la entrada original del New York City Lunatic Asylum, de Alexander Jackson Davis, inaugurado en 1841 — el manicomio que Nellie Bly denunció.</t>
        </is>
      </c>
      <c r="R223" s="16" t="inlineStr">
        <is>
          <t>888 Main St, Roosevelt Island</t>
        </is>
      </c>
      <c r="S223" s="16" t="inlineStr">
        <is>
          <t>—</t>
        </is>
      </c>
      <c r="T223" s="18" t="inlineStr">
        <is>
          <t>Abrir ↗</t>
        </is>
      </c>
      <c r="U223" s="21" t="inlineStr">
        <is>
          <t>otros</t>
        </is>
      </c>
      <c r="V223" s="20" t="inlineStr"/>
    </row>
    <row r="224" ht="46" customHeight="1">
      <c r="A224" s="9" t="inlineStr">
        <is>
          <t>Vander Ende-Onderdonk House</t>
        </is>
      </c>
      <c r="B224" s="10" t="inlineStr">
        <is>
          <t>Casa y calle histórica</t>
        </is>
      </c>
      <c r="C224" s="11" t="inlineStr">
        <is>
          <t>Arquitectura</t>
        </is>
      </c>
      <c r="D224" s="11" t="inlineStr">
        <is>
          <t>Ridgewood</t>
        </is>
      </c>
      <c r="E224" s="11" t="inlineStr">
        <is>
          <t>Queens</t>
        </is>
      </c>
      <c r="F224" s="12" t="n">
        <v>0</v>
      </c>
      <c r="G224" s="12" t="n">
        <v>0</v>
      </c>
      <c r="H224" s="13">
        <f>IF(AND(F224=2,G224=2),"AMBOS",IF(AND(F224=2,G224&lt;2),"solo JP",IF(AND(F224&lt;2,G224=2),"solo Thais","-")))</f>
        <v/>
      </c>
      <c r="I224" s="14" t="n">
        <v>5</v>
      </c>
      <c r="J224" s="15" t="n">
        <v>0.75</v>
      </c>
      <c r="K224" s="13" t="inlineStr">
        <is>
          <t>no</t>
        </is>
      </c>
      <c r="L224" s="16" t="inlineStr">
        <is>
          <t>—</t>
        </is>
      </c>
      <c r="M224" s="11" t="inlineStr">
        <is>
          <t>—</t>
        </is>
      </c>
      <c r="N224" s="16" t="inlineStr">
        <is>
          <t>—</t>
        </is>
      </c>
      <c r="O224" s="16" t="inlineStr">
        <is>
          <t>—</t>
        </is>
      </c>
      <c r="P224" s="16" t="inlineStr">
        <is>
          <t>Jefferson St (L)</t>
        </is>
      </c>
      <c r="Q224" s="16" t="inlineStr">
        <is>
          <t>Casa de piedra holandesa de 1709, la construccion mas antigua de la ciudad, rodeada de galpones industriales. El contraste es todo el punto.</t>
        </is>
      </c>
      <c r="R224" s="16" t="inlineStr">
        <is>
          <t>1820 Flushing Ave, Ridgewood</t>
        </is>
      </c>
      <c r="S224" s="16" t="inlineStr">
        <is>
          <t>—</t>
        </is>
      </c>
      <c r="T224" s="18" t="inlineStr">
        <is>
          <t>Abrir ↗</t>
        </is>
      </c>
      <c r="U224" s="21" t="inlineStr">
        <is>
          <t>otros</t>
        </is>
      </c>
      <c r="V224" s="20" t="inlineStr"/>
    </row>
    <row r="225" ht="46" customHeight="1">
      <c r="A225" s="9" t="inlineStr">
        <is>
          <t>Wall St</t>
        </is>
      </c>
      <c r="B225" s="10" t="inlineStr">
        <is>
          <t>Casa y calle histórica</t>
        </is>
      </c>
      <c r="C225" s="11" t="inlineStr">
        <is>
          <t>Arquitectura</t>
        </is>
      </c>
      <c r="D225" s="11" t="inlineStr">
        <is>
          <t>Financial District</t>
        </is>
      </c>
      <c r="E225" s="11" t="inlineStr">
        <is>
          <t>Manhattan</t>
        </is>
      </c>
      <c r="F225" s="12" t="n">
        <v>2</v>
      </c>
      <c r="G225" s="12" t="n">
        <v>1</v>
      </c>
      <c r="H225" s="13">
        <f>IF(AND(F225=2,G225=2),"AMBOS",IF(AND(F225=2,G225&lt;2),"solo JP",IF(AND(F225&lt;2,G225=2),"solo Thais","-")))</f>
        <v/>
      </c>
      <c r="I225" s="14" t="n">
        <v>0</v>
      </c>
      <c r="J225" s="15" t="n">
        <v>0.4</v>
      </c>
      <c r="K225" s="13" t="inlineStr">
        <is>
          <t>SÍ</t>
        </is>
      </c>
      <c r="L225" s="16" t="inlineStr">
        <is>
          <t>—</t>
        </is>
      </c>
      <c r="M225" s="11" t="inlineStr">
        <is>
          <t>—</t>
        </is>
      </c>
      <c r="N225" s="16" t="inlineStr">
        <is>
          <t>—</t>
        </is>
      </c>
      <c r="O225" s="16" t="inlineStr">
        <is>
          <t>—</t>
        </is>
      </c>
      <c r="P225" s="16" t="inlineStr">
        <is>
          <t>Wall St (4,5)</t>
        </is>
      </c>
      <c r="Q225" s="16" t="inlineStr">
        <is>
          <t>El cañón de piedra: la Bolsa, Federal Hall y Trinity al fondo. Se ve en veinte minutos.</t>
        </is>
      </c>
      <c r="R225" s="16" t="inlineStr"/>
      <c r="S225" s="16" t="inlineStr">
        <is>
          <t>—</t>
        </is>
      </c>
      <c r="T225" s="18" t="inlineStr">
        <is>
          <t>Abrir ↗</t>
        </is>
      </c>
      <c r="U225" s="19" t="inlineStr">
        <is>
          <t>lista google</t>
        </is>
      </c>
      <c r="V225" s="20" t="inlineStr"/>
    </row>
    <row r="226" ht="46" customHeight="1">
      <c r="A226" s="9" t="inlineStr">
        <is>
          <t>Washington Mews</t>
        </is>
      </c>
      <c r="B226" s="10" t="inlineStr">
        <is>
          <t>Casa y calle histórica</t>
        </is>
      </c>
      <c r="C226" s="11" t="inlineStr">
        <is>
          <t>Arquitectura</t>
        </is>
      </c>
      <c r="D226" s="11" t="inlineStr">
        <is>
          <t>Greenwich Village</t>
        </is>
      </c>
      <c r="E226" s="11" t="inlineStr">
        <is>
          <t>Manhattan</t>
        </is>
      </c>
      <c r="F226" s="12" t="n">
        <v>1</v>
      </c>
      <c r="G226" s="12" t="n">
        <v>1</v>
      </c>
      <c r="H226" s="13">
        <f>IF(AND(F226=2,G226=2),"AMBOS",IF(AND(F226=2,G226&lt;2),"solo JP",IF(AND(F226&lt;2,G226=2),"solo Thais","-")))</f>
        <v/>
      </c>
      <c r="I226" s="14" t="n">
        <v>0</v>
      </c>
      <c r="J226" s="15" t="n">
        <v>0.2</v>
      </c>
      <c r="K226" s="13" t="inlineStr">
        <is>
          <t>no</t>
        </is>
      </c>
      <c r="L226" s="16" t="inlineStr">
        <is>
          <t>—</t>
        </is>
      </c>
      <c r="M226" s="11" t="inlineStr">
        <is>
          <t>—</t>
        </is>
      </c>
      <c r="N226" s="16" t="inlineStr">
        <is>
          <t>—</t>
        </is>
      </c>
      <c r="O226" s="16" t="inlineStr">
        <is>
          <t>—</t>
        </is>
      </c>
      <c r="P226" s="16" t="inlineStr">
        <is>
          <t>8 St-NYU (N,R,W)</t>
        </is>
      </c>
      <c r="Q226" s="16" t="inlineStr">
        <is>
          <t>Callejon adoquinado de caballerizas reconvertidas, cerrado al transito. Dos minutos de desvio desde Washington Square.</t>
        </is>
      </c>
      <c r="R226" s="16" t="inlineStr">
        <is>
          <t>Washington Mews, entre 5th Ave y University Pl</t>
        </is>
      </c>
      <c r="S226" s="16" t="inlineStr">
        <is>
          <t>—</t>
        </is>
      </c>
      <c r="T226" s="18" t="inlineStr">
        <is>
          <t>Abrir ↗</t>
        </is>
      </c>
      <c r="U226" s="21" t="inlineStr">
        <is>
          <t>otros</t>
        </is>
      </c>
      <c r="V226" s="20" t="inlineStr"/>
    </row>
    <row r="227" ht="46" customHeight="1">
      <c r="A227" s="9" t="inlineStr">
        <is>
          <t>Washington St (la foto de DUMBO)</t>
        </is>
      </c>
      <c r="B227" s="10" t="inlineStr">
        <is>
          <t>Casa y calle histórica</t>
        </is>
      </c>
      <c r="C227" s="11" t="inlineStr">
        <is>
          <t>Arquitectura</t>
        </is>
      </c>
      <c r="D227" s="11" t="inlineStr">
        <is>
          <t>DUMBO</t>
        </is>
      </c>
      <c r="E227" s="11" t="inlineStr">
        <is>
          <t>Brooklyn</t>
        </is>
      </c>
      <c r="F227" s="12" t="n">
        <v>1</v>
      </c>
      <c r="G227" s="12" t="n">
        <v>1</v>
      </c>
      <c r="H227" s="13">
        <f>IF(AND(F227=2,G227=2),"AMBOS",IF(AND(F227=2,G227&lt;2),"solo JP",IF(AND(F227&lt;2,G227=2),"solo Thais","-")))</f>
        <v/>
      </c>
      <c r="I227" s="14" t="n">
        <v>0</v>
      </c>
      <c r="J227" s="15" t="n">
        <v>0.25</v>
      </c>
      <c r="K227" s="13" t="inlineStr">
        <is>
          <t>SÍ</t>
        </is>
      </c>
      <c r="L227" s="16" t="inlineStr">
        <is>
          <t>—</t>
        </is>
      </c>
      <c r="M227" s="11" t="inlineStr">
        <is>
          <t>—</t>
        </is>
      </c>
      <c r="N227" s="16" t="inlineStr">
        <is>
          <t>—</t>
        </is>
      </c>
      <c r="O227" s="16" t="inlineStr">
        <is>
          <t>—</t>
        </is>
      </c>
      <c r="P227" s="16" t="inlineStr">
        <is>
          <t>High St (A,C), York St (F)</t>
        </is>
      </c>
      <c r="Q227" s="16" t="inlineStr">
        <is>
          <t>El encuadre exacto del puente de Manhattan entre los edificios. Llegar temprano o hay cola para la foto.</t>
        </is>
      </c>
      <c r="R227" s="16" t="inlineStr">
        <is>
          <t>Washington St &amp; Water St</t>
        </is>
      </c>
      <c r="S227" s="16" t="inlineStr">
        <is>
          <t>—</t>
        </is>
      </c>
      <c r="T227" s="18" t="inlineStr">
        <is>
          <t>Abrir ↗</t>
        </is>
      </c>
      <c r="U227" s="19" t="inlineStr">
        <is>
          <t>lista google</t>
        </is>
      </c>
      <c r="V227" s="20" t="inlineStr"/>
    </row>
    <row r="228" ht="46" customHeight="1">
      <c r="A228" s="9" t="inlineStr">
        <is>
          <t>Westbeth Artists Housing</t>
        </is>
      </c>
      <c r="B228" s="10" t="inlineStr">
        <is>
          <t>Casa y calle histórica</t>
        </is>
      </c>
      <c r="C228" s="11" t="inlineStr">
        <is>
          <t>Arquitectura</t>
        </is>
      </c>
      <c r="D228" s="11" t="inlineStr">
        <is>
          <t>West Village</t>
        </is>
      </c>
      <c r="E228" s="11" t="inlineStr">
        <is>
          <t>Manhattan</t>
        </is>
      </c>
      <c r="F228" s="12" t="n">
        <v>1</v>
      </c>
      <c r="G228" s="12" t="n">
        <v>1</v>
      </c>
      <c r="H228" s="13">
        <f>IF(AND(F228=2,G228=2),"AMBOS",IF(AND(F228=2,G228&lt;2),"solo JP",IF(AND(F228&lt;2,G228=2),"solo Thais","-")))</f>
        <v/>
      </c>
      <c r="I228" s="14" t="n">
        <v>0</v>
      </c>
      <c r="J228" s="15" t="n">
        <v>0.4</v>
      </c>
      <c r="K228" s="13" t="inlineStr">
        <is>
          <t>no</t>
        </is>
      </c>
      <c r="L228" s="16" t="inlineStr">
        <is>
          <t>—</t>
        </is>
      </c>
      <c r="M228" s="11" t="inlineStr">
        <is>
          <t>—</t>
        </is>
      </c>
      <c r="N228" s="16" t="inlineStr">
        <is>
          <t>—</t>
        </is>
      </c>
      <c r="O228" s="16" t="inlineStr">
        <is>
          <t>—</t>
        </is>
      </c>
      <c r="P228" s="16" t="inlineStr">
        <is>
          <t>14 St (A,C,E), 8 Av (L)</t>
        </is>
      </c>
      <c r="Q228" s="16" t="inlineStr">
        <is>
          <t>acá estaban los Bell Labs. En este edificio se inventó el transistor, se hizo la primera transmisión de televisión y Claude Shannon escribió la teoría de la información.</t>
        </is>
      </c>
      <c r="R228" s="16" t="inlineStr">
        <is>
          <t>55 Bethune St</t>
        </is>
      </c>
      <c r="S228" s="16" t="inlineStr">
        <is>
          <t>—</t>
        </is>
      </c>
      <c r="T228" s="18" t="inlineStr">
        <is>
          <t>Abrir ↗</t>
        </is>
      </c>
      <c r="U228" s="21" t="inlineStr">
        <is>
          <t>otros</t>
        </is>
      </c>
      <c r="V228" s="20" t="inlineStr"/>
    </row>
    <row r="229" ht="46" customHeight="1">
      <c r="A229" s="9" t="inlineStr">
        <is>
          <t>Ford Foundation Atrium</t>
        </is>
      </c>
      <c r="B229" s="10" t="inlineStr">
        <is>
          <t>Interior monumental</t>
        </is>
      </c>
      <c r="C229" s="11" t="inlineStr">
        <is>
          <t>Arquitectura</t>
        </is>
      </c>
      <c r="D229" s="11" t="inlineStr">
        <is>
          <t>Midtown East</t>
        </is>
      </c>
      <c r="E229" s="11" t="inlineStr">
        <is>
          <t>Manhattan</t>
        </is>
      </c>
      <c r="F229" s="12" t="n">
        <v>2</v>
      </c>
      <c r="G229" s="12" t="n">
        <v>2</v>
      </c>
      <c r="H229" s="13">
        <f>IF(AND(F229=2,G229=2),"AMBOS",IF(AND(F229=2,G229&lt;2),"solo JP",IF(AND(F229&lt;2,G229=2),"solo Thais","-")))</f>
        <v/>
      </c>
      <c r="I229" s="14" t="n">
        <v>0</v>
      </c>
      <c r="J229" s="15" t="n">
        <v>0.75</v>
      </c>
      <c r="K229" s="13" t="inlineStr">
        <is>
          <t>no</t>
        </is>
      </c>
      <c r="L229" s="16" t="inlineStr">
        <is>
          <t>lunes a viernes: 11:00–18:00 · sábado a domingo: cerrado</t>
        </is>
      </c>
      <c r="M229" s="11" t="inlineStr">
        <is>
          <t>fines de semana. CIERRA el 5, 6, 7 y 9 de septiembre; cierra temprano el 4</t>
        </is>
      </c>
      <c r="N229" s="16" t="inlineStr">
        <is>
          <t>—</t>
        </is>
      </c>
      <c r="O229" s="16" t="inlineStr">
        <is>
          <t>preinscripcion obligatoria</t>
        </is>
      </c>
      <c r="P229" s="16" t="inlineStr">
        <is>
          <t>Grand Central-42 St</t>
        </is>
      </c>
      <c r="Q229" s="16" t="inlineStr">
        <is>
          <t>Atrio-jardin de 12 pisos de altura de Kevin Roche (1967), con ~40 especies de arboles y espejo de agua, dentro de un edificio de oficinas. En este viaje solo se puede entrar del 31 de agosto al 3 de septiembre.</t>
        </is>
      </c>
      <c r="R229" s="16" t="inlineStr">
        <is>
          <t>320 E 43rd St</t>
        </is>
      </c>
      <c r="S229" s="17" t="inlineStr">
        <is>
          <t>Día 3 · lun 31/8</t>
        </is>
      </c>
      <c r="T229" s="18" t="inlineStr">
        <is>
          <t>Abrir ↗</t>
        </is>
      </c>
      <c r="U229" s="19" t="inlineStr">
        <is>
          <t>lista google</t>
        </is>
      </c>
      <c r="V229" s="20" t="inlineStr">
        <is>
          <t>SÍ</t>
        </is>
      </c>
    </row>
    <row r="230" ht="46" customHeight="1">
      <c r="A230" s="9" t="inlineStr">
        <is>
          <t>Globo del Daily News Building</t>
        </is>
      </c>
      <c r="B230" s="10" t="inlineStr">
        <is>
          <t>Interior monumental</t>
        </is>
      </c>
      <c r="C230" s="11" t="inlineStr">
        <is>
          <t>Arquitectura</t>
        </is>
      </c>
      <c r="D230" s="11" t="inlineStr">
        <is>
          <t>Midtown East</t>
        </is>
      </c>
      <c r="E230" s="11" t="inlineStr">
        <is>
          <t>Manhattan</t>
        </is>
      </c>
      <c r="F230" s="12" t="n">
        <v>1</v>
      </c>
      <c r="G230" s="12" t="n">
        <v>1</v>
      </c>
      <c r="H230" s="13">
        <f>IF(AND(F230=2,G230=2),"AMBOS",IF(AND(F230=2,G230&lt;2),"solo JP",IF(AND(F230&lt;2,G230=2),"solo Thais","-")))</f>
        <v/>
      </c>
      <c r="I230" s="14" t="n">
        <v>0</v>
      </c>
      <c r="J230" s="15" t="n">
        <v>0.2</v>
      </c>
      <c r="K230" s="13" t="inlineStr">
        <is>
          <t>no</t>
        </is>
      </c>
      <c r="L230" s="16" t="inlineStr">
        <is>
          <t>—</t>
        </is>
      </c>
      <c r="M230" s="11" t="inlineStr">
        <is>
          <t>—</t>
        </is>
      </c>
      <c r="N230" s="16" t="inlineStr">
        <is>
          <t>—</t>
        </is>
      </c>
      <c r="O230" s="16" t="inlineStr">
        <is>
          <t>—</t>
        </is>
      </c>
      <c r="P230" s="16" t="inlineStr">
        <is>
          <t>Grand Central-42 St (4,5,6,7,S)</t>
        </is>
      </c>
      <c r="Q230" s="16" t="inlineStr">
        <is>
          <t>el globo terráqueo interior más grande del mundo — 3,6 metros de diámetro, 1.800 kilos — girando en un pozo espejado bajo una cúpula de vidrio negro, con el piso de terrazo marcando distancias y rumbos a las grandes ciudades.</t>
        </is>
      </c>
      <c r="R230" s="16" t="inlineStr">
        <is>
          <t>220 E 42nd St</t>
        </is>
      </c>
      <c r="S230" s="16" t="inlineStr">
        <is>
          <t>—</t>
        </is>
      </c>
      <c r="T230" s="18" t="inlineStr">
        <is>
          <t>Abrir ↗</t>
        </is>
      </c>
      <c r="U230" s="21" t="inlineStr">
        <is>
          <t>otros</t>
        </is>
      </c>
      <c r="V230" s="20" t="inlineStr"/>
    </row>
    <row r="231" ht="46" customHeight="1">
      <c r="A231" s="9" t="inlineStr">
        <is>
          <t>Grand Central Terminal</t>
        </is>
      </c>
      <c r="B231" s="10" t="inlineStr">
        <is>
          <t>Interior monumental</t>
        </is>
      </c>
      <c r="C231" s="11" t="inlineStr">
        <is>
          <t>Arquitectura</t>
        </is>
      </c>
      <c r="D231" s="11" t="inlineStr">
        <is>
          <t>Midtown East</t>
        </is>
      </c>
      <c r="E231" s="11" t="inlineStr">
        <is>
          <t>Manhattan</t>
        </is>
      </c>
      <c r="F231" s="12" t="n">
        <v>2</v>
      </c>
      <c r="G231" s="12" t="n">
        <v>0</v>
      </c>
      <c r="H231" s="13">
        <f>IF(AND(F231=2,G231=2),"AMBOS",IF(AND(F231=2,G231&lt;2),"solo JP",IF(AND(F231&lt;2,G231=2),"solo Thais","-")))</f>
        <v/>
      </c>
      <c r="I231" s="14" t="n">
        <v>0</v>
      </c>
      <c r="J231" s="15" t="n">
        <v>1</v>
      </c>
      <c r="K231" s="13" t="inlineStr">
        <is>
          <t>SÍ</t>
        </is>
      </c>
      <c r="L231" s="16" t="inlineStr">
        <is>
          <t>lunes a domingo: 05:15–02:00</t>
        </is>
      </c>
      <c r="M231" s="11" t="inlineStr">
        <is>
          <t>—</t>
        </is>
      </c>
      <c r="N231" s="16" t="inlineStr">
        <is>
          <t>—</t>
        </is>
      </c>
      <c r="O231" s="16" t="inlineStr">
        <is>
          <t>—</t>
        </is>
      </c>
      <c r="P231" s="16" t="inlineStr">
        <is>
          <t>Grand Central-42 St (4,5,6,7,S)</t>
        </is>
      </c>
      <c r="Q231" s="16" t="inlineStr">
        <is>
          <t>Beaux-Arts de 1913: el techo celeste pintado al reves, la Whispering Gallery frente al Oyster Bar (dos personas en esquinas opuestas se escuchan susurrar), las escaleras de marmol. AVISO: el tour gratuito semanal esta suspendido.</t>
        </is>
      </c>
      <c r="R231" s="16" t="inlineStr">
        <is>
          <t>89 E 42nd St</t>
        </is>
      </c>
      <c r="S231" s="17" t="inlineStr">
        <is>
          <t>Día 3 · lun 31/8</t>
        </is>
      </c>
      <c r="T231" s="18" t="inlineStr">
        <is>
          <t>Abrir ↗</t>
        </is>
      </c>
      <c r="U231" s="19" t="inlineStr">
        <is>
          <t>lista google</t>
        </is>
      </c>
      <c r="V231" s="20" t="inlineStr">
        <is>
          <t>SÍ</t>
        </is>
      </c>
    </row>
    <row r="232" ht="46" customHeight="1">
      <c r="A232" s="9" t="inlineStr">
        <is>
          <t>Lobby de 70 Pine Street</t>
        </is>
      </c>
      <c r="B232" s="10" t="inlineStr">
        <is>
          <t>Interior monumental</t>
        </is>
      </c>
      <c r="C232" s="11" t="inlineStr">
        <is>
          <t>Arquitectura</t>
        </is>
      </c>
      <c r="D232" s="11" t="inlineStr">
        <is>
          <t>Financial District</t>
        </is>
      </c>
      <c r="E232" s="11" t="inlineStr">
        <is>
          <t>Manhattan</t>
        </is>
      </c>
      <c r="F232" s="12" t="n">
        <v>1</v>
      </c>
      <c r="G232" s="12" t="n">
        <v>1</v>
      </c>
      <c r="H232" s="13">
        <f>IF(AND(F232=2,G232=2),"AMBOS",IF(AND(F232=2,G232&lt;2),"solo JP",IF(AND(F232&lt;2,G232=2),"solo Thais","-")))</f>
        <v/>
      </c>
      <c r="I232" s="14" t="n">
        <v>0</v>
      </c>
      <c r="J232" s="15" t="n">
        <v>0.2</v>
      </c>
      <c r="K232" s="13" t="inlineStr">
        <is>
          <t>no</t>
        </is>
      </c>
      <c r="L232" s="16" t="inlineStr">
        <is>
          <t>—</t>
        </is>
      </c>
      <c r="M232" s="11" t="inlineStr">
        <is>
          <t>—</t>
        </is>
      </c>
      <c r="N232" s="16" t="inlineStr">
        <is>
          <t>—</t>
        </is>
      </c>
      <c r="O232" s="16" t="inlineStr">
        <is>
          <t>—</t>
        </is>
      </c>
      <c r="P232" s="16" t="inlineStr">
        <is>
          <t>Wall St (2,3)</t>
        </is>
      </c>
      <c r="Q232"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2" s="16" t="inlineStr">
        <is>
          <t>70 Pine St</t>
        </is>
      </c>
      <c r="S232" s="16" t="inlineStr">
        <is>
          <t>—</t>
        </is>
      </c>
      <c r="T232" s="18" t="inlineStr">
        <is>
          <t>Abrir ↗</t>
        </is>
      </c>
      <c r="U232" s="21" t="inlineStr">
        <is>
          <t>otros</t>
        </is>
      </c>
      <c r="V232" s="20" t="inlineStr"/>
    </row>
    <row r="233" ht="46" customHeight="1">
      <c r="A233" s="9" t="inlineStr">
        <is>
          <t>Lobby del Chanin Building</t>
        </is>
      </c>
      <c r="B233" s="10" t="inlineStr">
        <is>
          <t>Interior monumental</t>
        </is>
      </c>
      <c r="C233" s="11" t="inlineStr">
        <is>
          <t>Arquitectura</t>
        </is>
      </c>
      <c r="D233" s="11" t="inlineStr">
        <is>
          <t>Midtown East</t>
        </is>
      </c>
      <c r="E233" s="11" t="inlineStr">
        <is>
          <t>Manhattan</t>
        </is>
      </c>
      <c r="F233" s="12" t="n">
        <v>1</v>
      </c>
      <c r="G233" s="12" t="n">
        <v>1</v>
      </c>
      <c r="H233" s="13">
        <f>IF(AND(F233=2,G233=2),"AMBOS",IF(AND(F233=2,G233&lt;2),"solo JP",IF(AND(F233&lt;2,G233=2),"solo Thais","-")))</f>
        <v/>
      </c>
      <c r="I233" s="14" t="n">
        <v>0</v>
      </c>
      <c r="J233" s="15" t="n">
        <v>0.2</v>
      </c>
      <c r="K233" s="13" t="inlineStr">
        <is>
          <t>no</t>
        </is>
      </c>
      <c r="L233" s="16" t="inlineStr">
        <is>
          <t>—</t>
        </is>
      </c>
      <c r="M233" s="11" t="inlineStr">
        <is>
          <t>—</t>
        </is>
      </c>
      <c r="N233" s="16" t="inlineStr">
        <is>
          <t>—</t>
        </is>
      </c>
      <c r="O233" s="16" t="inlineStr">
        <is>
          <t>—</t>
        </is>
      </c>
      <c r="P233" s="16" t="inlineStr">
        <is>
          <t>Grand Central-42 St (4,5,6,7,S)</t>
        </is>
      </c>
      <c r="Q233" s="16" t="inlineStr">
        <is>
          <t>1929, a media cuadra de Grand Central y enfrente del Chrysler, y nadie entra.</t>
        </is>
      </c>
      <c r="R233" s="16" t="inlineStr">
        <is>
          <t>122 E 42nd St</t>
        </is>
      </c>
      <c r="S233" s="16" t="inlineStr">
        <is>
          <t>—</t>
        </is>
      </c>
      <c r="T233" s="18" t="inlineStr">
        <is>
          <t>Abrir ↗</t>
        </is>
      </c>
      <c r="U233" s="21" t="inlineStr">
        <is>
          <t>otros</t>
        </is>
      </c>
      <c r="V233" s="20" t="inlineStr"/>
    </row>
    <row r="234" ht="46" customHeight="1">
      <c r="A234" s="9" t="inlineStr">
        <is>
          <t>Lobby del Chrysler Building</t>
        </is>
      </c>
      <c r="B234" s="10" t="inlineStr">
        <is>
          <t>Interior monumental</t>
        </is>
      </c>
      <c r="C234" s="11" t="inlineStr">
        <is>
          <t>Arquitectura</t>
        </is>
      </c>
      <c r="D234" s="11" t="inlineStr">
        <is>
          <t>Midtown East</t>
        </is>
      </c>
      <c r="E234" s="11" t="inlineStr">
        <is>
          <t>Manhattan</t>
        </is>
      </c>
      <c r="F234" s="12" t="n">
        <v>2</v>
      </c>
      <c r="G234" s="12" t="n">
        <v>1</v>
      </c>
      <c r="H234" s="13">
        <f>IF(AND(F234=2,G234=2),"AMBOS",IF(AND(F234=2,G234&lt;2),"solo JP",IF(AND(F234&lt;2,G234=2),"solo Thais","-")))</f>
        <v/>
      </c>
      <c r="I234" s="14" t="n">
        <v>0</v>
      </c>
      <c r="J234" s="15" t="n">
        <v>0.35</v>
      </c>
      <c r="K234" s="13" t="inlineStr">
        <is>
          <t>no</t>
        </is>
      </c>
      <c r="L234" s="16" t="inlineStr">
        <is>
          <t>lunes a viernes: 08:00–18:00 · sábado a domingo: cerrado</t>
        </is>
      </c>
      <c r="M234" s="11" t="inlineStr">
        <is>
          <t>sabados y domingos</t>
        </is>
      </c>
      <c r="N234" s="16" t="inlineStr">
        <is>
          <t>—</t>
        </is>
      </c>
      <c r="O234" s="16" t="inlineStr">
        <is>
          <t>—</t>
        </is>
      </c>
      <c r="P234" s="16" t="inlineStr">
        <is>
          <t>Grand Central-42 St (4,5,6,7,S)</t>
        </is>
      </c>
      <c r="Q234" s="16" t="inlineStr">
        <is>
          <t>Art deco de 1930 en estado puro: mural del techo y puertas de ascensor con marqueteria de maderas exoticas. NO hay observatorio: el lobby es todo lo que se puede ver, y alcanza.</t>
        </is>
      </c>
      <c r="R234" s="16" t="inlineStr">
        <is>
          <t>405 Lexington Ave</t>
        </is>
      </c>
      <c r="S234" s="17" t="inlineStr">
        <is>
          <t>Día 3 · lun 31/8</t>
        </is>
      </c>
      <c r="T234" s="18" t="inlineStr">
        <is>
          <t>Abrir ↗</t>
        </is>
      </c>
      <c r="U234" s="21" t="inlineStr">
        <is>
          <t>otros</t>
        </is>
      </c>
      <c r="V234" s="20" t="inlineStr">
        <is>
          <t>SÍ</t>
        </is>
      </c>
    </row>
    <row r="235" ht="46" customHeight="1">
      <c r="A235" s="9" t="inlineStr">
        <is>
          <t>New York Public Library (Schwarzman)</t>
        </is>
      </c>
      <c r="B235" s="10" t="inlineStr">
        <is>
          <t>Interior monumental</t>
        </is>
      </c>
      <c r="C235" s="11" t="inlineStr">
        <is>
          <t>Arquitectura</t>
        </is>
      </c>
      <c r="D235" s="11" t="inlineStr">
        <is>
          <t>Midtown</t>
        </is>
      </c>
      <c r="E235" s="11" t="inlineStr">
        <is>
          <t>Manhattan</t>
        </is>
      </c>
      <c r="F235" s="12" t="n">
        <v>2</v>
      </c>
      <c r="G235" s="12" t="n">
        <v>0</v>
      </c>
      <c r="H235" s="13">
        <f>IF(AND(F235=2,G235=2),"AMBOS",IF(AND(F235=2,G235&lt;2),"solo JP",IF(AND(F235&lt;2,G235=2),"solo Thais","-")))</f>
        <v/>
      </c>
      <c r="I235" s="14" t="n">
        <v>0</v>
      </c>
      <c r="J235" s="15" t="n">
        <v>1.25</v>
      </c>
      <c r="K235" s="13" t="inlineStr">
        <is>
          <t>SÍ</t>
        </is>
      </c>
      <c r="L235" s="16" t="inlineStr">
        <is>
          <t>lunes: 10:00–18:00 · martes a miércoles: 10:00–20:00 · jueves a sábado: 10:00–18:00 · domingo: 13:00–17:00</t>
        </is>
      </c>
      <c r="M235" s="11" t="inlineStr">
        <is>
          <t>—</t>
        </is>
      </c>
      <c r="N235" s="16" t="inlineStr">
        <is>
          <t>—</t>
        </is>
      </c>
      <c r="O235" s="16" t="inlineStr">
        <is>
          <t>—</t>
        </is>
      </c>
      <c r="P235" s="16" t="inlineStr">
        <is>
          <t>5 Av-Bryant Pk (7,B,D,F,M)</t>
        </is>
      </c>
      <c r="Q235" s="16" t="inlineStr">
        <is>
          <t>La Rose Main Reading Room: 90 metros de largo, techos de 15. Y no es un museo: hay gente trabajando ahi. Entrar y sentarse un rato es parte de la experiencia.</t>
        </is>
      </c>
      <c r="R235" s="16" t="inlineStr">
        <is>
          <t>476 5th Ave</t>
        </is>
      </c>
      <c r="S235" s="17" t="inlineStr">
        <is>
          <t>Día 3 · lun 31/8</t>
        </is>
      </c>
      <c r="T235" s="18" t="inlineStr">
        <is>
          <t>Abrir ↗</t>
        </is>
      </c>
      <c r="U235" s="19" t="inlineStr">
        <is>
          <t>lista google</t>
        </is>
      </c>
      <c r="V235" s="20" t="inlineStr">
        <is>
          <t>SÍ</t>
        </is>
      </c>
    </row>
    <row r="236" ht="46" customHeight="1">
      <c r="A236" s="9" t="inlineStr">
        <is>
          <t>Park Avenue Armory</t>
        </is>
      </c>
      <c r="B236" s="10" t="inlineStr">
        <is>
          <t>Interior monumental</t>
        </is>
      </c>
      <c r="C236" s="11" t="inlineStr">
        <is>
          <t>Arquitectura</t>
        </is>
      </c>
      <c r="D236" s="11" t="inlineStr">
        <is>
          <t>Upper East Side</t>
        </is>
      </c>
      <c r="E236" s="11" t="inlineStr">
        <is>
          <t>Manhattan</t>
        </is>
      </c>
      <c r="F236" s="12" t="n">
        <v>1</v>
      </c>
      <c r="G236" s="12" t="n">
        <v>1</v>
      </c>
      <c r="H236" s="13">
        <f>IF(AND(F236=2,G236=2),"AMBOS",IF(AND(F236=2,G236&lt;2),"solo JP",IF(AND(F236&lt;2,G236=2),"solo Thais","-")))</f>
        <v/>
      </c>
      <c r="I236" s="14" t="n">
        <v>0</v>
      </c>
      <c r="J236" s="15" t="n">
        <v>1</v>
      </c>
      <c r="K236" s="13" t="inlineStr">
        <is>
          <t>no</t>
        </is>
      </c>
      <c r="L236" s="16" t="inlineStr">
        <is>
          <t>—</t>
        </is>
      </c>
      <c r="M236" s="11" t="inlineStr">
        <is>
          <t>—</t>
        </is>
      </c>
      <c r="N236" s="16" t="inlineStr">
        <is>
          <t>—</t>
        </is>
      </c>
      <c r="O236" s="16" t="inlineStr">
        <is>
          <t>—</t>
        </is>
      </c>
      <c r="P236" s="16" t="inlineStr">
        <is>
          <t>68 St-Hunter College (6)</t>
        </is>
      </c>
      <c r="Q236"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36" s="16" t="inlineStr">
        <is>
          <t>643 Park Ave</t>
        </is>
      </c>
      <c r="S236" s="16" t="inlineStr">
        <is>
          <t>—</t>
        </is>
      </c>
      <c r="T236" s="18" t="inlineStr">
        <is>
          <t>Abrir ↗</t>
        </is>
      </c>
      <c r="U236" s="21" t="inlineStr">
        <is>
          <t>otros</t>
        </is>
      </c>
      <c r="V236" s="20" t="inlineStr"/>
    </row>
    <row r="237" ht="46" customHeight="1">
      <c r="A237" s="9" t="inlineStr">
        <is>
          <t>Wild Table of Love</t>
        </is>
      </c>
      <c r="B237" s="10" t="inlineStr">
        <is>
          <t>Parque de esculturas</t>
        </is>
      </c>
      <c r="C237" s="11" t="inlineStr">
        <is>
          <t>Arquitectura</t>
        </is>
      </c>
      <c r="D237" s="11" t="inlineStr">
        <is>
          <t>Manhattan</t>
        </is>
      </c>
      <c r="E237" s="11" t="inlineStr">
        <is>
          <t>Manhattan</t>
        </is>
      </c>
      <c r="F237" s="12" t="n">
        <v>1</v>
      </c>
      <c r="G237" s="12" t="n">
        <v>1</v>
      </c>
      <c r="H237" s="13">
        <f>IF(AND(F237=2,G237=2),"AMBOS",IF(AND(F237=2,G237&lt;2),"solo JP",IF(AND(F237&lt;2,G237=2),"solo Thais","-")))</f>
        <v/>
      </c>
      <c r="I237" s="14" t="n">
        <v>0</v>
      </c>
      <c r="J237" s="15" t="n">
        <v>0.25</v>
      </c>
      <c r="K237" s="13" t="inlineStr">
        <is>
          <t>no</t>
        </is>
      </c>
      <c r="L237" s="16" t="inlineStr">
        <is>
          <t>—</t>
        </is>
      </c>
      <c r="M237" s="11" t="inlineStr">
        <is>
          <t>—</t>
        </is>
      </c>
      <c r="N237" s="16" t="inlineStr">
        <is>
          <t>—</t>
        </is>
      </c>
      <c r="O237" s="16" t="inlineStr">
        <is>
          <t>—</t>
        </is>
      </c>
      <c r="P237" s="16" t="inlineStr">
        <is>
          <t>-</t>
        </is>
      </c>
      <c r="Q237" s="16" t="inlineStr">
        <is>
          <t>Instalación escultórica al aire libre. Parada de foto de cinco minutos.</t>
        </is>
      </c>
      <c r="R237" s="16" t="inlineStr"/>
      <c r="S237" s="16" t="inlineStr">
        <is>
          <t>—</t>
        </is>
      </c>
      <c r="T237" s="18" t="inlineStr">
        <is>
          <t>Abrir ↗</t>
        </is>
      </c>
      <c r="U237" s="19" t="inlineStr">
        <is>
          <t>lista google</t>
        </is>
      </c>
      <c r="V237" s="20" t="inlineStr"/>
    </row>
    <row r="238" ht="46" customHeight="1">
      <c r="A238" s="9" t="inlineStr">
        <is>
          <t>Puente de Brooklyn</t>
        </is>
      </c>
      <c r="B238" s="10" t="inlineStr">
        <is>
          <t>Puente</t>
        </is>
      </c>
      <c r="C238" s="11" t="inlineStr">
        <is>
          <t>Arquitectura</t>
        </is>
      </c>
      <c r="D238" s="11" t="inlineStr">
        <is>
          <t>Civic Center</t>
        </is>
      </c>
      <c r="E238" s="11" t="inlineStr">
        <is>
          <t>Manhattan</t>
        </is>
      </c>
      <c r="F238" s="12" t="n">
        <v>2</v>
      </c>
      <c r="G238" s="12" t="n">
        <v>1</v>
      </c>
      <c r="H238" s="13">
        <f>IF(AND(F238=2,G238=2),"AMBOS",IF(AND(F238=2,G238&lt;2),"solo JP",IF(AND(F238&lt;2,G238=2),"solo Thais","-")))</f>
        <v/>
      </c>
      <c r="I238" s="14" t="n">
        <v>0</v>
      </c>
      <c r="J238" s="15" t="n">
        <v>1</v>
      </c>
      <c r="K238" s="13" t="inlineStr">
        <is>
          <t>SÍ</t>
        </is>
      </c>
      <c r="L238" s="16" t="inlineStr">
        <is>
          <t>—</t>
        </is>
      </c>
      <c r="M238" s="11" t="inlineStr">
        <is>
          <t>—</t>
        </is>
      </c>
      <c r="N238" s="16" t="inlineStr">
        <is>
          <t>—</t>
        </is>
      </c>
      <c r="O238" s="16" t="inlineStr">
        <is>
          <t>—</t>
        </is>
      </c>
      <c r="P238" s="16" t="inlineStr">
        <is>
          <t>Brooklyn Bridge-City Hall (4,5,6)</t>
        </is>
      </c>
      <c r="Q238" s="16" t="inlineStr">
        <is>
          <t>Cruzarlo a pie es el clásico que sí lo vale. Entrada peatonal frente a City Hall; después de las 16 se llena.</t>
        </is>
      </c>
      <c r="R238" s="16" t="inlineStr"/>
      <c r="S238" s="16" t="inlineStr">
        <is>
          <t>—</t>
        </is>
      </c>
      <c r="T238" s="18" t="inlineStr">
        <is>
          <t>Abrir ↗</t>
        </is>
      </c>
      <c r="U238" s="19" t="inlineStr">
        <is>
          <t>lista google</t>
        </is>
      </c>
      <c r="V238" s="20" t="inlineStr"/>
    </row>
    <row r="239" ht="46" customHeight="1">
      <c r="A239" s="9" t="inlineStr">
        <is>
          <t>Basilica of St. Patrick's Old Cathedral</t>
        </is>
      </c>
      <c r="B239" s="10" t="inlineStr">
        <is>
          <t>Templo</t>
        </is>
      </c>
      <c r="C239" s="11" t="inlineStr">
        <is>
          <t>Arquitectura</t>
        </is>
      </c>
      <c r="D239" s="11" t="inlineStr">
        <is>
          <t>Nolita</t>
        </is>
      </c>
      <c r="E239" s="11" t="inlineStr">
        <is>
          <t>Manhattan</t>
        </is>
      </c>
      <c r="F239" s="12" t="n">
        <v>2</v>
      </c>
      <c r="G239" s="12" t="n">
        <v>1</v>
      </c>
      <c r="H239" s="13">
        <f>IF(AND(F239=2,G239=2),"AMBOS",IF(AND(F239=2,G239&lt;2),"solo JP",IF(AND(F239&lt;2,G239=2),"solo Thais","-")))</f>
        <v/>
      </c>
      <c r="I239" s="14" t="n">
        <v>0</v>
      </c>
      <c r="J239" s="15" t="n">
        <v>0.5</v>
      </c>
      <c r="K239" s="13" t="inlineStr">
        <is>
          <t>no</t>
        </is>
      </c>
      <c r="L239" s="16" t="inlineStr">
        <is>
          <t>—</t>
        </is>
      </c>
      <c r="M239" s="11" t="inlineStr">
        <is>
          <t>—</t>
        </is>
      </c>
      <c r="N239" s="16" t="inlineStr">
        <is>
          <t>—</t>
        </is>
      </c>
      <c r="O239" s="16" t="inlineStr">
        <is>
          <t>—</t>
        </is>
      </c>
      <c r="P239" s="16" t="inlineStr">
        <is>
          <t>Spring St (6)</t>
        </is>
      </c>
      <c r="Q239" s="16" t="inlineStr">
        <is>
          <t>La catedral ORIGINAL de San Patricio (1815), no la de la Quinta: cementerio amurallado y catacumbas visitables. A tres cuadras del JGStay.</t>
        </is>
      </c>
      <c r="R239" s="16" t="inlineStr">
        <is>
          <t>263 Mulberry St</t>
        </is>
      </c>
      <c r="S239" s="16" t="inlineStr">
        <is>
          <t>—</t>
        </is>
      </c>
      <c r="T239" s="18" t="inlineStr">
        <is>
          <t>Abrir ↗</t>
        </is>
      </c>
      <c r="U239" s="19" t="inlineStr">
        <is>
          <t>lista google</t>
        </is>
      </c>
      <c r="V239" s="20" t="inlineStr"/>
    </row>
    <row r="240" ht="46" customHeight="1">
      <c r="A240" s="9" t="inlineStr">
        <is>
          <t>Catedral de la Transfiguración</t>
        </is>
      </c>
      <c r="B240" s="10" t="inlineStr">
        <is>
          <t>Templo</t>
        </is>
      </c>
      <c r="C240" s="11" t="inlineStr">
        <is>
          <t>Arquitectura</t>
        </is>
      </c>
      <c r="D240" s="11" t="inlineStr">
        <is>
          <t>Williamsburg</t>
        </is>
      </c>
      <c r="E240" s="11" t="inlineStr">
        <is>
          <t>Brooklyn</t>
        </is>
      </c>
      <c r="F240" s="12" t="n">
        <v>1</v>
      </c>
      <c r="G240" s="12" t="n">
        <v>1</v>
      </c>
      <c r="H240" s="13">
        <f>IF(AND(F240=2,G240=2),"AMBOS",IF(AND(F240=2,G240&lt;2),"solo JP",IF(AND(F240&lt;2,G240=2),"solo Thais","-")))</f>
        <v/>
      </c>
      <c r="I240" s="14" t="n">
        <v>0</v>
      </c>
      <c r="J240" s="15" t="n">
        <v>0.3</v>
      </c>
      <c r="K240" s="13" t="inlineStr">
        <is>
          <t>no</t>
        </is>
      </c>
      <c r="L240" s="16" t="inlineStr">
        <is>
          <t>—</t>
        </is>
      </c>
      <c r="M240" s="11" t="inlineStr">
        <is>
          <t>—</t>
        </is>
      </c>
      <c r="N240" s="16" t="inlineStr">
        <is>
          <t>—</t>
        </is>
      </c>
      <c r="O240" s="16" t="inlineStr">
        <is>
          <t>—</t>
        </is>
      </c>
      <c r="P240" s="16" t="inlineStr">
        <is>
          <t>Bedford Av (L)</t>
        </is>
      </c>
      <c r="Q240"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0" s="16" t="inlineStr">
        <is>
          <t>228 N 12th St, Brooklyn</t>
        </is>
      </c>
      <c r="S240" s="16" t="inlineStr">
        <is>
          <t>—</t>
        </is>
      </c>
      <c r="T240" s="18" t="inlineStr">
        <is>
          <t>Abrir ↗</t>
        </is>
      </c>
      <c r="U240" s="21" t="inlineStr">
        <is>
          <t>otros</t>
        </is>
      </c>
      <c r="V240" s="20" t="inlineStr"/>
    </row>
    <row r="241" ht="46" customHeight="1">
      <c r="A241" s="9" t="inlineStr">
        <is>
          <t>Cathedral of St. John the Divine</t>
        </is>
      </c>
      <c r="B241" s="10" t="inlineStr">
        <is>
          <t>Templo</t>
        </is>
      </c>
      <c r="C241" s="11" t="inlineStr">
        <is>
          <t>Arquitectura</t>
        </is>
      </c>
      <c r="D241" s="11" t="inlineStr">
        <is>
          <t>Morningside Heights</t>
        </is>
      </c>
      <c r="E241" s="11" t="inlineStr">
        <is>
          <t>Manhattan</t>
        </is>
      </c>
      <c r="F241" s="12" t="n">
        <v>1</v>
      </c>
      <c r="G241" s="12" t="n">
        <v>1</v>
      </c>
      <c r="H241" s="13">
        <f>IF(AND(F241=2,G241=2),"AMBOS",IF(AND(F241=2,G241&lt;2),"solo JP",IF(AND(F241&lt;2,G241=2),"solo Thais","-")))</f>
        <v/>
      </c>
      <c r="I241" s="14" t="n">
        <v>5</v>
      </c>
      <c r="J241" s="15" t="n">
        <v>1</v>
      </c>
      <c r="K241" s="13" t="inlineStr">
        <is>
          <t>no</t>
        </is>
      </c>
      <c r="L241" s="16" t="inlineStr">
        <is>
          <t>—</t>
        </is>
      </c>
      <c r="M241" s="11" t="inlineStr">
        <is>
          <t>—</t>
        </is>
      </c>
      <c r="N241" s="16" t="inlineStr">
        <is>
          <t>—</t>
        </is>
      </c>
      <c r="O241" s="16" t="inlineStr">
        <is>
          <t>—</t>
        </is>
      </c>
      <c r="P241" s="16" t="inlineStr">
        <is>
          <t>Cathedral Pkwy-110 St (1)</t>
        </is>
      </c>
      <c r="Q241" s="16" t="inlineStr">
        <is>
          <t>La catedral gotica mas grande del mundo, y todavia sin terminar. La nave es mas larga que dos canchas de futbol.</t>
        </is>
      </c>
      <c r="R241" s="16" t="inlineStr">
        <is>
          <t>1047 Amsterdam Ave</t>
        </is>
      </c>
      <c r="S241" s="16" t="inlineStr">
        <is>
          <t>—</t>
        </is>
      </c>
      <c r="T241" s="18" t="inlineStr">
        <is>
          <t>Abrir ↗</t>
        </is>
      </c>
      <c r="U241" s="21" t="inlineStr">
        <is>
          <t>otros</t>
        </is>
      </c>
      <c r="V241" s="20" t="inlineStr"/>
    </row>
    <row r="242" ht="46" customHeight="1">
      <c r="A242" s="9" t="inlineStr">
        <is>
          <t>Mahayana Buddhist Temple</t>
        </is>
      </c>
      <c r="B242" s="10" t="inlineStr">
        <is>
          <t>Templo</t>
        </is>
      </c>
      <c r="C242" s="11" t="inlineStr">
        <is>
          <t>Arquitectura</t>
        </is>
      </c>
      <c r="D242" s="11" t="inlineStr">
        <is>
          <t>Chinatown</t>
        </is>
      </c>
      <c r="E242" s="11" t="inlineStr">
        <is>
          <t>Manhattan</t>
        </is>
      </c>
      <c r="F242" s="12" t="n">
        <v>1</v>
      </c>
      <c r="G242" s="12" t="n">
        <v>1</v>
      </c>
      <c r="H242" s="13">
        <f>IF(AND(F242=2,G242=2),"AMBOS",IF(AND(F242=2,G242&lt;2),"solo JP",IF(AND(F242&lt;2,G242=2),"solo Thais","-")))</f>
        <v/>
      </c>
      <c r="I242" s="14" t="n">
        <v>0</v>
      </c>
      <c r="J242" s="15" t="n">
        <v>0.3</v>
      </c>
      <c r="K242" s="13" t="inlineStr">
        <is>
          <t>no</t>
        </is>
      </c>
      <c r="L242" s="16" t="inlineStr">
        <is>
          <t>—</t>
        </is>
      </c>
      <c r="M242" s="11" t="inlineStr">
        <is>
          <t>—</t>
        </is>
      </c>
      <c r="N242" s="16" t="inlineStr">
        <is>
          <t>—</t>
        </is>
      </c>
      <c r="O242" s="16" t="inlineStr">
        <is>
          <t>—</t>
        </is>
      </c>
      <c r="P242" s="16" t="inlineStr">
        <is>
          <t>Canal St (J,N,Q,R,W,6)</t>
        </is>
      </c>
      <c r="Q242" s="16" t="inlineStr">
        <is>
          <t>El Buda dorado mas grande de la ciudad, 5 metros, en lo que era un cine porno al pie del puente de Manhattan.</t>
        </is>
      </c>
      <c r="R242" s="16" t="inlineStr">
        <is>
          <t>133 Canal St</t>
        </is>
      </c>
      <c r="S242" s="16" t="inlineStr">
        <is>
          <t>—</t>
        </is>
      </c>
      <c r="T242" s="18" t="inlineStr">
        <is>
          <t>Abrir ↗</t>
        </is>
      </c>
      <c r="U242" s="21" t="inlineStr">
        <is>
          <t>otros</t>
        </is>
      </c>
      <c r="V242" s="20" t="inlineStr"/>
    </row>
    <row r="243" ht="46" customHeight="1">
      <c r="A243" s="9" t="inlineStr">
        <is>
          <t>Museum at Eldridge Street</t>
        </is>
      </c>
      <c r="B243" s="10" t="inlineStr">
        <is>
          <t>Templo</t>
        </is>
      </c>
      <c r="C243" s="11" t="inlineStr">
        <is>
          <t>Arquitectura</t>
        </is>
      </c>
      <c r="D243" s="11" t="inlineStr">
        <is>
          <t>Chinatown / LES</t>
        </is>
      </c>
      <c r="E243" s="11" t="inlineStr">
        <is>
          <t>Manhattan</t>
        </is>
      </c>
      <c r="F243" s="12" t="n">
        <v>2</v>
      </c>
      <c r="G243" s="12" t="n">
        <v>2</v>
      </c>
      <c r="H243" s="13">
        <f>IF(AND(F243=2,G243=2),"AMBOS",IF(AND(F243=2,G243&lt;2),"solo JP",IF(AND(F243&lt;2,G243=2),"solo Thais","-")))</f>
        <v/>
      </c>
      <c r="I243" s="14" t="n">
        <v>15</v>
      </c>
      <c r="J243" s="15" t="n">
        <v>1</v>
      </c>
      <c r="K243" s="13" t="inlineStr">
        <is>
          <t>no</t>
        </is>
      </c>
      <c r="L243" s="16" t="inlineStr">
        <is>
          <t>lunes a viernes: 10:00–17:00 · sábado: cerrado · domingo: 10:00–17:00</t>
        </is>
      </c>
      <c r="M243" s="11" t="inlineStr">
        <is>
          <t>SABADOS (es sinagoga)</t>
        </is>
      </c>
      <c r="N243" s="16" t="inlineStr">
        <is>
          <t>—</t>
        </is>
      </c>
      <c r="O243" s="16" t="inlineStr">
        <is>
          <t>—</t>
        </is>
      </c>
      <c r="P243" s="16" t="inlineStr">
        <is>
          <t>East Broadway (F), Grand St (B,D)</t>
        </is>
      </c>
      <c r="Q243" s="16" t="inlineStr">
        <is>
          <t>Sinagoga de 1887 restaurada por $20 millones, con un roseton nuevo de Kiki Smith. Que hoy este en el medio de Chinatown es la mitad del punto.</t>
        </is>
      </c>
      <c r="R243" s="16" t="inlineStr">
        <is>
          <t>12 Eldridge St</t>
        </is>
      </c>
      <c r="S243" s="17" t="inlineStr">
        <is>
          <t>Día 2 · dom 30/8</t>
        </is>
      </c>
      <c r="T243" s="18" t="inlineStr">
        <is>
          <t>Abrir ↗</t>
        </is>
      </c>
      <c r="U243" s="19" t="inlineStr">
        <is>
          <t>lista google</t>
        </is>
      </c>
      <c r="V243" s="20" t="inlineStr"/>
    </row>
    <row r="244" ht="46" customHeight="1">
      <c r="A244" s="9" t="inlineStr">
        <is>
          <t>Plymouth Church</t>
        </is>
      </c>
      <c r="B244" s="10" t="inlineStr">
        <is>
          <t>Templo</t>
        </is>
      </c>
      <c r="C244" s="11" t="inlineStr">
        <is>
          <t>Arquitectura</t>
        </is>
      </c>
      <c r="D244" s="11" t="inlineStr">
        <is>
          <t>Brooklyn Heights</t>
        </is>
      </c>
      <c r="E244" s="11" t="inlineStr">
        <is>
          <t>Brooklyn</t>
        </is>
      </c>
      <c r="F244" s="12" t="n">
        <v>1</v>
      </c>
      <c r="G244" s="12" t="n">
        <v>1</v>
      </c>
      <c r="H244" s="13">
        <f>IF(AND(F244=2,G244=2),"AMBOS",IF(AND(F244=2,G244&lt;2),"solo JP",IF(AND(F244&lt;2,G244=2),"solo Thais","-")))</f>
        <v/>
      </c>
      <c r="I244" s="14" t="n">
        <v>0</v>
      </c>
      <c r="J244" s="15" t="n">
        <v>0.4</v>
      </c>
      <c r="K244" s="13" t="inlineStr">
        <is>
          <t>no</t>
        </is>
      </c>
      <c r="L244" s="16" t="inlineStr">
        <is>
          <t>—</t>
        </is>
      </c>
      <c r="M244" s="11" t="inlineStr">
        <is>
          <t>—</t>
        </is>
      </c>
      <c r="N244" s="16" t="inlineStr">
        <is>
          <t>—</t>
        </is>
      </c>
      <c r="O244" s="16" t="inlineStr">
        <is>
          <t>—</t>
        </is>
      </c>
      <c r="P244" s="16" t="inlineStr">
        <is>
          <t>Clark St (2,3), High St (A,C)</t>
        </is>
      </c>
      <c r="Q244" s="16" t="inlineStr">
        <is>
          <t>Parada del Ferrocarril Subterraneo: aca Beecher remataba esclavos para liberarlos, y hablo Lincoln.</t>
        </is>
      </c>
      <c r="R244" s="16" t="inlineStr">
        <is>
          <t>57 Orange St, Brooklyn</t>
        </is>
      </c>
      <c r="S244" s="16" t="inlineStr">
        <is>
          <t>—</t>
        </is>
      </c>
      <c r="T244" s="18" t="inlineStr">
        <is>
          <t>Abrir ↗</t>
        </is>
      </c>
      <c r="U244" s="21" t="inlineStr">
        <is>
          <t>otros</t>
        </is>
      </c>
      <c r="V244" s="20" t="inlineStr"/>
    </row>
    <row r="245" ht="46" customHeight="1">
      <c r="A245" s="9" t="inlineStr">
        <is>
          <t>St. Bartholomew's Church</t>
        </is>
      </c>
      <c r="B245" s="10" t="inlineStr">
        <is>
          <t>Templo</t>
        </is>
      </c>
      <c r="C245" s="11" t="inlineStr">
        <is>
          <t>Arquitectura</t>
        </is>
      </c>
      <c r="D245" s="11" t="inlineStr">
        <is>
          <t>Midtown East</t>
        </is>
      </c>
      <c r="E245" s="11" t="inlineStr">
        <is>
          <t>Manhattan</t>
        </is>
      </c>
      <c r="F245" s="12" t="n">
        <v>1</v>
      </c>
      <c r="G245" s="12" t="n">
        <v>1</v>
      </c>
      <c r="H245" s="13">
        <f>IF(AND(F245=2,G245=2),"AMBOS",IF(AND(F245=2,G245&lt;2),"solo JP",IF(AND(F245&lt;2,G245=2),"solo Thais","-")))</f>
        <v/>
      </c>
      <c r="I245" s="14" t="n">
        <v>0</v>
      </c>
      <c r="J245" s="15" t="n">
        <v>0.4</v>
      </c>
      <c r="K245" s="13" t="inlineStr">
        <is>
          <t>no</t>
        </is>
      </c>
      <c r="L245" s="16" t="inlineStr">
        <is>
          <t>—</t>
        </is>
      </c>
      <c r="M245" s="11" t="inlineStr">
        <is>
          <t>—</t>
        </is>
      </c>
      <c r="N245" s="16" t="inlineStr">
        <is>
          <t>—</t>
        </is>
      </c>
      <c r="O245" s="16" t="inlineStr">
        <is>
          <t>—</t>
        </is>
      </c>
      <c r="P245" s="16" t="inlineStr">
        <is>
          <t>51 St (6)</t>
        </is>
      </c>
      <c r="Q245" s="16" t="inlineStr">
        <is>
          <t>Bizantino en pleno Park Avenue, con el portico que sobrevivio a la iglesia anterior. La terraza del cafe da a la avenida.</t>
        </is>
      </c>
      <c r="R245" s="16" t="inlineStr">
        <is>
          <t>325 Park Ave</t>
        </is>
      </c>
      <c r="S245" s="16" t="inlineStr">
        <is>
          <t>—</t>
        </is>
      </c>
      <c r="T245" s="18" t="inlineStr">
        <is>
          <t>Abrir ↗</t>
        </is>
      </c>
      <c r="U245" s="21" t="inlineStr">
        <is>
          <t>otros</t>
        </is>
      </c>
      <c r="V245" s="20" t="inlineStr"/>
    </row>
    <row r="246" ht="46" customHeight="1">
      <c r="A246" s="9" t="inlineStr">
        <is>
          <t>St. Patrick's Cathedral</t>
        </is>
      </c>
      <c r="B246" s="10" t="inlineStr">
        <is>
          <t>Templo</t>
        </is>
      </c>
      <c r="C246" s="11" t="inlineStr">
        <is>
          <t>Arquitectura</t>
        </is>
      </c>
      <c r="D246" s="11" t="inlineStr">
        <is>
          <t>Midtown</t>
        </is>
      </c>
      <c r="E246" s="11" t="inlineStr">
        <is>
          <t>Manhattan</t>
        </is>
      </c>
      <c r="F246" s="12" t="n">
        <v>1</v>
      </c>
      <c r="G246" s="12" t="n">
        <v>1</v>
      </c>
      <c r="H246" s="13">
        <f>IF(AND(F246=2,G246=2),"AMBOS",IF(AND(F246=2,G246&lt;2),"solo JP",IF(AND(F246&lt;2,G246=2),"solo Thais","-")))</f>
        <v/>
      </c>
      <c r="I246" s="14" t="n">
        <v>0</v>
      </c>
      <c r="J246" s="15" t="n">
        <v>0.5</v>
      </c>
      <c r="K246" s="13" t="inlineStr">
        <is>
          <t>no</t>
        </is>
      </c>
      <c r="L246" s="16" t="inlineStr">
        <is>
          <t>—</t>
        </is>
      </c>
      <c r="M246" s="11" t="inlineStr">
        <is>
          <t>—</t>
        </is>
      </c>
      <c r="N246" s="16" t="inlineStr">
        <is>
          <t>—</t>
        </is>
      </c>
      <c r="O246" s="16" t="inlineStr">
        <is>
          <t>—</t>
        </is>
      </c>
      <c r="P246" s="16" t="inlineStr">
        <is>
          <t>5 Av-53 St (E,M), 47-50 Sts (B,D,F,M)</t>
        </is>
      </c>
      <c r="Q246" s="16" t="inlineStr">
        <is>
          <t>Neogotica de 1878 entre rascacielos, restaurada por 180 millones. Gratis y siempre abierta.</t>
        </is>
      </c>
      <c r="R246" s="16" t="inlineStr">
        <is>
          <t>5th Ave y E 50th St</t>
        </is>
      </c>
      <c r="S246" s="16" t="inlineStr">
        <is>
          <t>—</t>
        </is>
      </c>
      <c r="T246" s="18" t="inlineStr">
        <is>
          <t>Abrir ↗</t>
        </is>
      </c>
      <c r="U246" s="21" t="inlineStr">
        <is>
          <t>otros</t>
        </is>
      </c>
      <c r="V246" s="20" t="inlineStr"/>
    </row>
    <row r="247" ht="46" customHeight="1">
      <c r="A247" s="9" t="inlineStr">
        <is>
          <t>St. Paul's Chapel</t>
        </is>
      </c>
      <c r="B247" s="10" t="inlineStr">
        <is>
          <t>Templo</t>
        </is>
      </c>
      <c r="C247" s="11" t="inlineStr">
        <is>
          <t>Arquitectura</t>
        </is>
      </c>
      <c r="D247" s="11" t="inlineStr">
        <is>
          <t>Financial District</t>
        </is>
      </c>
      <c r="E247" s="11" t="inlineStr">
        <is>
          <t>Manhattan</t>
        </is>
      </c>
      <c r="F247" s="12" t="n">
        <v>1</v>
      </c>
      <c r="G247" s="12" t="n">
        <v>1</v>
      </c>
      <c r="H247" s="13">
        <f>IF(AND(F247=2,G247=2),"AMBOS",IF(AND(F247=2,G247&lt;2),"solo JP",IF(AND(F247&lt;2,G247=2),"solo Thais","-")))</f>
        <v/>
      </c>
      <c r="I247" s="14" t="n">
        <v>0</v>
      </c>
      <c r="J247" s="15" t="n">
        <v>0.5</v>
      </c>
      <c r="K247" s="13" t="inlineStr">
        <is>
          <t>no</t>
        </is>
      </c>
      <c r="L247" s="16" t="inlineStr">
        <is>
          <t>—</t>
        </is>
      </c>
      <c r="M247" s="11" t="inlineStr">
        <is>
          <t>—</t>
        </is>
      </c>
      <c r="N247" s="16" t="inlineStr">
        <is>
          <t>—</t>
        </is>
      </c>
      <c r="O247" s="16" t="inlineStr">
        <is>
          <t>—</t>
        </is>
      </c>
      <c r="P247" s="16" t="inlineStr">
        <is>
          <t>Fulton St (2,3,4,5,A,C,J,Z)</t>
        </is>
      </c>
      <c r="Q247" s="16" t="inlineStr">
        <is>
          <t>1766, es la iglesia más vieja que queda en pie en Manhattan y el edificio público en uso continuo más antiguo de la isla. Adentro está el banco donde rezó George Washington el día de su asunción, el 30 de abril de 1789.</t>
        </is>
      </c>
      <c r="R247" s="16" t="inlineStr">
        <is>
          <t>209 Broadway</t>
        </is>
      </c>
      <c r="S247" s="16" t="inlineStr">
        <is>
          <t>—</t>
        </is>
      </c>
      <c r="T247" s="18" t="inlineStr">
        <is>
          <t>Abrir ↗</t>
        </is>
      </c>
      <c r="U247" s="21" t="inlineStr">
        <is>
          <t>otros</t>
        </is>
      </c>
      <c r="V247" s="20" t="inlineStr"/>
    </row>
    <row r="248" ht="46" customHeight="1">
      <c r="A248" s="9" t="inlineStr">
        <is>
          <t>Trinity Church</t>
        </is>
      </c>
      <c r="B248" s="10" t="inlineStr">
        <is>
          <t>Templo</t>
        </is>
      </c>
      <c r="C248" s="11" t="inlineStr">
        <is>
          <t>Arquitectura</t>
        </is>
      </c>
      <c r="D248" s="11" t="inlineStr">
        <is>
          <t>Financial District</t>
        </is>
      </c>
      <c r="E248" s="11" t="inlineStr">
        <is>
          <t>Manhattan</t>
        </is>
      </c>
      <c r="F248" s="12" t="n">
        <v>2</v>
      </c>
      <c r="G248" s="12" t="n">
        <v>1</v>
      </c>
      <c r="H248" s="13">
        <f>IF(AND(F248=2,G248=2),"AMBOS",IF(AND(F248=2,G248&lt;2),"solo JP",IF(AND(F248&lt;2,G248=2),"solo Thais","-")))</f>
        <v/>
      </c>
      <c r="I248" s="14" t="n">
        <v>0</v>
      </c>
      <c r="J248" s="15" t="n">
        <v>0.5</v>
      </c>
      <c r="K248" s="13" t="inlineStr">
        <is>
          <t>no</t>
        </is>
      </c>
      <c r="L248" s="16" t="inlineStr">
        <is>
          <t>—</t>
        </is>
      </c>
      <c r="M248" s="11" t="inlineStr">
        <is>
          <t>—</t>
        </is>
      </c>
      <c r="N248" s="16" t="inlineStr">
        <is>
          <t>—</t>
        </is>
      </c>
      <c r="O248" s="16" t="inlineStr">
        <is>
          <t>—</t>
        </is>
      </c>
      <c r="P248" s="16" t="inlineStr">
        <is>
          <t>Wall St (4,5)</t>
        </is>
      </c>
      <c r="Q248" s="16" t="inlineStr">
        <is>
          <t>Neogótica de 1846, la torre más alta de NY durante medio siglo. En su cementerio está Alexander Hamilton.</t>
        </is>
      </c>
      <c r="R248" s="16" t="inlineStr">
        <is>
          <t>89 Broadway</t>
        </is>
      </c>
      <c r="S248" s="16" t="inlineStr">
        <is>
          <t>—</t>
        </is>
      </c>
      <c r="T248" s="18" t="inlineStr">
        <is>
          <t>Abrir ↗</t>
        </is>
      </c>
      <c r="U248" s="19" t="inlineStr">
        <is>
          <t>lista google</t>
        </is>
      </c>
      <c r="V248" s="20" t="inlineStr"/>
    </row>
    <row r="249" ht="46" customHeight="1">
      <c r="A249" s="9" t="inlineStr">
        <is>
          <t>Artists &amp; Fleas Williamsburg</t>
        </is>
      </c>
      <c r="B249" s="10" t="inlineStr">
        <is>
          <t>Tienda con historia</t>
        </is>
      </c>
      <c r="C249" s="11" t="inlineStr">
        <is>
          <t>Arquitectura</t>
        </is>
      </c>
      <c r="D249" s="11" t="inlineStr">
        <is>
          <t>Williamsburg</t>
        </is>
      </c>
      <c r="E249" s="11" t="inlineStr">
        <is>
          <t>Brooklyn</t>
        </is>
      </c>
      <c r="F249" s="12" t="n">
        <v>1</v>
      </c>
      <c r="G249" s="12" t="n">
        <v>1</v>
      </c>
      <c r="H249" s="13">
        <f>IF(AND(F249=2,G249=2),"AMBOS",IF(AND(F249=2,G249&lt;2),"solo JP",IF(AND(F249&lt;2,G249=2),"solo Thais","-")))</f>
        <v/>
      </c>
      <c r="I249" s="14" t="n">
        <v>0</v>
      </c>
      <c r="J249" s="15" t="n">
        <v>0.75</v>
      </c>
      <c r="K249" s="13" t="inlineStr">
        <is>
          <t>no</t>
        </is>
      </c>
      <c r="L249" s="16" t="inlineStr">
        <is>
          <t>—</t>
        </is>
      </c>
      <c r="M249" s="11" t="inlineStr">
        <is>
          <t>—</t>
        </is>
      </c>
      <c r="N249" s="16" t="inlineStr">
        <is>
          <t>—</t>
        </is>
      </c>
      <c r="O249" s="16" t="inlineStr">
        <is>
          <t>—</t>
        </is>
      </c>
      <c r="P249" s="16" t="inlineStr">
        <is>
          <t>Bedford Av (L)</t>
        </is>
      </c>
      <c r="Q249" s="16" t="inlineStr">
        <is>
          <t>Mercado de diseñadores y vintage, fines de semana. Está en el camino del sábado de Brooklyn.</t>
        </is>
      </c>
      <c r="R249" s="16" t="inlineStr">
        <is>
          <t>70 N 7th St</t>
        </is>
      </c>
      <c r="S249" s="16" t="inlineStr">
        <is>
          <t>—</t>
        </is>
      </c>
      <c r="T249" s="18" t="inlineStr">
        <is>
          <t>Abrir ↗</t>
        </is>
      </c>
      <c r="U249" s="19" t="inlineStr">
        <is>
          <t>lista google</t>
        </is>
      </c>
      <c r="V249" s="20" t="inlineStr"/>
    </row>
    <row r="250" ht="46" customHeight="1">
      <c r="A250" s="9" t="inlineStr">
        <is>
          <t>B&amp;H Photo Video</t>
        </is>
      </c>
      <c r="B250" s="10" t="inlineStr">
        <is>
          <t>Tienda con historia</t>
        </is>
      </c>
      <c r="C250" s="11" t="inlineStr">
        <is>
          <t>Arquitectura</t>
        </is>
      </c>
      <c r="D250" s="11" t="inlineStr">
        <is>
          <t>Midtown West</t>
        </is>
      </c>
      <c r="E250" s="11" t="inlineStr">
        <is>
          <t>Manhattan</t>
        </is>
      </c>
      <c r="F250" s="12" t="n">
        <v>1</v>
      </c>
      <c r="G250" s="12" t="n">
        <v>1</v>
      </c>
      <c r="H250" s="13">
        <f>IF(AND(F250=2,G250=2),"AMBOS",IF(AND(F250=2,G250&lt;2),"solo JP",IF(AND(F250&lt;2,G250=2),"solo Thais","-")))</f>
        <v/>
      </c>
      <c r="I250" s="14" t="n">
        <v>0</v>
      </c>
      <c r="J250" s="15" t="n">
        <v>1</v>
      </c>
      <c r="K250" s="13" t="inlineStr">
        <is>
          <t>no</t>
        </is>
      </c>
      <c r="L250" s="16" t="inlineStr">
        <is>
          <t>—</t>
        </is>
      </c>
      <c r="M250" s="11" t="inlineStr">
        <is>
          <t>—</t>
        </is>
      </c>
      <c r="N250" s="16" t="inlineStr">
        <is>
          <t>—</t>
        </is>
      </c>
      <c r="O250" s="16" t="inlineStr">
        <is>
          <t>—</t>
        </is>
      </c>
      <c r="P250" s="16" t="inlineStr">
        <is>
          <t>34 St-Penn Station (1,2,3,A,C,E)</t>
        </is>
      </c>
      <c r="Q250" s="16" t="inlineStr">
        <is>
          <t>La tienda de fotografía mítica: cintas transportadoras cruzando el techo y vendedores jasídicos que saben todo. CIERRA sábados.</t>
        </is>
      </c>
      <c r="R250" s="16" t="inlineStr">
        <is>
          <t>420 9th Ave</t>
        </is>
      </c>
      <c r="S250" s="16" t="inlineStr">
        <is>
          <t>—</t>
        </is>
      </c>
      <c r="T250" s="18" t="inlineStr">
        <is>
          <t>Abrir ↗</t>
        </is>
      </c>
      <c r="U250" s="19" t="inlineStr">
        <is>
          <t>lista google</t>
        </is>
      </c>
      <c r="V250" s="20" t="inlineStr"/>
    </row>
    <row r="251" ht="46" customHeight="1">
      <c r="A251" s="9" t="inlineStr">
        <is>
          <t>Books Are Magic</t>
        </is>
      </c>
      <c r="B251" s="10" t="inlineStr">
        <is>
          <t>Tienda con historia</t>
        </is>
      </c>
      <c r="C251" s="11" t="inlineStr">
        <is>
          <t>Arquitectura</t>
        </is>
      </c>
      <c r="D251" s="11" t="inlineStr">
        <is>
          <t>Brooklyn Heights</t>
        </is>
      </c>
      <c r="E251" s="11" t="inlineStr">
        <is>
          <t>Brooklyn</t>
        </is>
      </c>
      <c r="F251" s="12" t="n">
        <v>1</v>
      </c>
      <c r="G251" s="12" t="n">
        <v>1</v>
      </c>
      <c r="H251" s="13">
        <f>IF(AND(F251=2,G251=2),"AMBOS",IF(AND(F251=2,G251&lt;2),"solo JP",IF(AND(F251&lt;2,G251=2),"solo Thais","-")))</f>
        <v/>
      </c>
      <c r="I251" s="14" t="n">
        <v>0</v>
      </c>
      <c r="J251" s="15" t="n">
        <v>0.4</v>
      </c>
      <c r="K251" s="13" t="inlineStr">
        <is>
          <t>no</t>
        </is>
      </c>
      <c r="L251" s="16" t="inlineStr">
        <is>
          <t>—</t>
        </is>
      </c>
      <c r="M251" s="11" t="inlineStr">
        <is>
          <t>—</t>
        </is>
      </c>
      <c r="N251" s="16" t="inlineStr">
        <is>
          <t>—</t>
        </is>
      </c>
      <c r="O251" s="16" t="inlineStr">
        <is>
          <t>—</t>
        </is>
      </c>
      <c r="P251" s="16" t="inlineStr">
        <is>
          <t>Court St (R), Borough Hall (2,3,4,5)</t>
        </is>
      </c>
      <c r="Q251" s="16" t="inlineStr">
        <is>
          <t>La libreria de Emma Straub, con el mural que es la foto obligada de Brooklyn.</t>
        </is>
      </c>
      <c r="R251" s="16" t="inlineStr">
        <is>
          <t>122 Montague St, Brooklyn</t>
        </is>
      </c>
      <c r="S251" s="16" t="inlineStr">
        <is>
          <t>—</t>
        </is>
      </c>
      <c r="T251" s="18" t="inlineStr">
        <is>
          <t>Abrir ↗</t>
        </is>
      </c>
      <c r="U251" s="21" t="inlineStr">
        <is>
          <t>otros</t>
        </is>
      </c>
      <c r="V251" s="20" t="inlineStr"/>
    </row>
    <row r="252" ht="46" customHeight="1">
      <c r="A252" s="9" t="inlineStr">
        <is>
          <t>C.O. Bigelow Chemists</t>
        </is>
      </c>
      <c r="B252" s="10" t="inlineStr">
        <is>
          <t>Tienda con historia</t>
        </is>
      </c>
      <c r="C252" s="11" t="inlineStr">
        <is>
          <t>Arquitectura</t>
        </is>
      </c>
      <c r="D252" s="11" t="inlineStr">
        <is>
          <t>West Village</t>
        </is>
      </c>
      <c r="E252" s="11" t="inlineStr">
        <is>
          <t>Manhattan</t>
        </is>
      </c>
      <c r="F252" s="12" t="n">
        <v>1</v>
      </c>
      <c r="G252" s="12" t="n">
        <v>1</v>
      </c>
      <c r="H252" s="13">
        <f>IF(AND(F252=2,G252=2),"AMBOS",IF(AND(F252=2,G252&lt;2),"solo JP",IF(AND(F252&lt;2,G252=2),"solo Thais","-")))</f>
        <v/>
      </c>
      <c r="I252" s="14" t="n">
        <v>0</v>
      </c>
      <c r="J252" s="15" t="n">
        <v>0.3</v>
      </c>
      <c r="K252" s="13" t="inlineStr">
        <is>
          <t>no</t>
        </is>
      </c>
      <c r="L252" s="16" t="inlineStr">
        <is>
          <t>—</t>
        </is>
      </c>
      <c r="M252" s="11" t="inlineStr">
        <is>
          <t>—</t>
        </is>
      </c>
      <c r="N252" s="16" t="inlineStr">
        <is>
          <t>—</t>
        </is>
      </c>
      <c r="O252" s="16" t="inlineStr">
        <is>
          <t>—</t>
        </is>
      </c>
      <c r="P252" s="16" t="inlineStr">
        <is>
          <t>Christopher St-Sheridan Sq (1)</t>
        </is>
      </c>
      <c r="Q252" s="16" t="inlineStr">
        <is>
          <t>La farmacia más antigua de Estados Unidos (1838), con el mobiliario original. Entrar es gratis.</t>
        </is>
      </c>
      <c r="R252" s="16" t="inlineStr">
        <is>
          <t>414 6th Ave</t>
        </is>
      </c>
      <c r="S252" s="16" t="inlineStr">
        <is>
          <t>—</t>
        </is>
      </c>
      <c r="T252" s="18" t="inlineStr">
        <is>
          <t>Abrir ↗</t>
        </is>
      </c>
      <c r="U252" s="19" t="inlineStr">
        <is>
          <t>lista google</t>
        </is>
      </c>
      <c r="V252" s="20" t="inlineStr"/>
    </row>
    <row r="253" ht="46" customHeight="1">
      <c r="A253" s="9" t="inlineStr">
        <is>
          <t>Economy Candy</t>
        </is>
      </c>
      <c r="B253" s="10" t="inlineStr">
        <is>
          <t>Tienda con historia</t>
        </is>
      </c>
      <c r="C253" s="11" t="inlineStr">
        <is>
          <t>Arquitectura</t>
        </is>
      </c>
      <c r="D253" s="11" t="inlineStr">
        <is>
          <t>Lower East Side</t>
        </is>
      </c>
      <c r="E253" s="11" t="inlineStr">
        <is>
          <t>Manhattan</t>
        </is>
      </c>
      <c r="F253" s="12" t="n">
        <v>1</v>
      </c>
      <c r="G253" s="12" t="n">
        <v>1</v>
      </c>
      <c r="H253" s="13">
        <f>IF(AND(F253=2,G253=2),"AMBOS",IF(AND(F253=2,G253&lt;2),"solo JP",IF(AND(F253&lt;2,G253=2),"solo Thais","-")))</f>
        <v/>
      </c>
      <c r="I253" s="14" t="n">
        <v>0</v>
      </c>
      <c r="J253" s="15" t="n">
        <v>0.4</v>
      </c>
      <c r="K253" s="13" t="inlineStr">
        <is>
          <t>no</t>
        </is>
      </c>
      <c r="L253" s="16" t="inlineStr">
        <is>
          <t>—</t>
        </is>
      </c>
      <c r="M253" s="11" t="inlineStr">
        <is>
          <t>—</t>
        </is>
      </c>
      <c r="N253" s="16" t="inlineStr">
        <is>
          <t>—</t>
        </is>
      </c>
      <c r="O253" s="16" t="inlineStr">
        <is>
          <t>—</t>
        </is>
      </c>
      <c r="P253" s="16" t="inlineStr">
        <is>
          <t>Delancey St-Essex St (F,J,M,Z)</t>
        </is>
      </c>
      <c r="Q253" s="16" t="inlineStr">
        <is>
          <t>Kiosco de golosinas de 1937 con las paredes cubiertas hasta el techo. Es un museo donde se puede comprar.</t>
        </is>
      </c>
      <c r="R253" s="16" t="inlineStr">
        <is>
          <t>108 Rivington St</t>
        </is>
      </c>
      <c r="S253" s="16" t="inlineStr">
        <is>
          <t>—</t>
        </is>
      </c>
      <c r="T253" s="18" t="inlineStr">
        <is>
          <t>Abrir ↗</t>
        </is>
      </c>
      <c r="U253" s="21" t="inlineStr">
        <is>
          <t>otros</t>
        </is>
      </c>
      <c r="V253" s="20" t="inlineStr"/>
    </row>
    <row r="254" ht="46" customHeight="1">
      <c r="A254" s="9" t="inlineStr">
        <is>
          <t>Hell's Kitchen Flea Market</t>
        </is>
      </c>
      <c r="B254" s="10" t="inlineStr">
        <is>
          <t>Tienda con historia</t>
        </is>
      </c>
      <c r="C254" s="11" t="inlineStr">
        <is>
          <t>Arquitectura</t>
        </is>
      </c>
      <c r="D254" s="11" t="inlineStr">
        <is>
          <t>Hell's Kitchen</t>
        </is>
      </c>
      <c r="E254" s="11" t="inlineStr">
        <is>
          <t>Manhattan</t>
        </is>
      </c>
      <c r="F254" s="12" t="n">
        <v>1</v>
      </c>
      <c r="G254" s="12" t="n">
        <v>1</v>
      </c>
      <c r="H254" s="13">
        <f>IF(AND(F254=2,G254=2),"AMBOS",IF(AND(F254=2,G254&lt;2),"solo JP",IF(AND(F254&lt;2,G254=2),"solo Thais","-")))</f>
        <v/>
      </c>
      <c r="I254" s="14" t="n">
        <v>0</v>
      </c>
      <c r="J254" s="15" t="n">
        <v>0.8</v>
      </c>
      <c r="K254" s="13" t="inlineStr">
        <is>
          <t>no</t>
        </is>
      </c>
      <c r="L254" s="16" t="inlineStr">
        <is>
          <t>—</t>
        </is>
      </c>
      <c r="M254" s="11" t="inlineStr">
        <is>
          <t>—</t>
        </is>
      </c>
      <c r="N254" s="16" t="inlineStr">
        <is>
          <t>—</t>
        </is>
      </c>
      <c r="O254" s="16" t="inlineStr">
        <is>
          <t>—</t>
        </is>
      </c>
      <c r="P254" s="16" t="inlineStr">
        <is>
          <t>42 St-Port Authority (A,C,E)</t>
        </is>
      </c>
      <c r="Q254" s="16" t="inlineStr">
        <is>
          <t>Feria de antiguedades al aire libre, sabados y domingos. Vinilos, camaras y cosas que no vas a encontrar en otro lado.</t>
        </is>
      </c>
      <c r="R254" s="16" t="inlineStr">
        <is>
          <t>W 39th St entre 9th y 10th Ave</t>
        </is>
      </c>
      <c r="S254" s="16" t="inlineStr">
        <is>
          <t>—</t>
        </is>
      </c>
      <c r="T254" s="18" t="inlineStr">
        <is>
          <t>Abrir ↗</t>
        </is>
      </c>
      <c r="U254" s="21" t="inlineStr">
        <is>
          <t>otros</t>
        </is>
      </c>
      <c r="V254" s="20" t="inlineStr"/>
    </row>
    <row r="255" ht="46" customHeight="1">
      <c r="A255" s="9" t="inlineStr">
        <is>
          <t>Housing Works Bookstore</t>
        </is>
      </c>
      <c r="B255" s="10" t="inlineStr">
        <is>
          <t>Tienda con historia</t>
        </is>
      </c>
      <c r="C255" s="11" t="inlineStr">
        <is>
          <t>Arquitectura</t>
        </is>
      </c>
      <c r="D255" s="11" t="inlineStr">
        <is>
          <t>SoHo</t>
        </is>
      </c>
      <c r="E255" s="11" t="inlineStr">
        <is>
          <t>Manhattan</t>
        </is>
      </c>
      <c r="F255" s="12" t="n">
        <v>1</v>
      </c>
      <c r="G255" s="12" t="n">
        <v>1</v>
      </c>
      <c r="H255" s="13">
        <f>IF(AND(F255=2,G255=2),"AMBOS",IF(AND(F255=2,G255&lt;2),"solo JP",IF(AND(F255&lt;2,G255=2),"solo Thais","-")))</f>
        <v/>
      </c>
      <c r="I255" s="14" t="n">
        <v>0</v>
      </c>
      <c r="J255" s="15" t="n">
        <v>0.6</v>
      </c>
      <c r="K255" s="13" t="inlineStr">
        <is>
          <t>no</t>
        </is>
      </c>
      <c r="L255" s="16" t="inlineStr">
        <is>
          <t>—</t>
        </is>
      </c>
      <c r="M255" s="11" t="inlineStr">
        <is>
          <t>—</t>
        </is>
      </c>
      <c r="N255" s="16" t="inlineStr">
        <is>
          <t>—</t>
        </is>
      </c>
      <c r="O255" s="16" t="inlineStr">
        <is>
          <t>—</t>
        </is>
      </c>
      <c r="P255" s="16" t="inlineStr">
        <is>
          <t>Spring St (6)</t>
        </is>
      </c>
      <c r="Q255" s="16" t="inlineStr">
        <is>
          <t>Librería de dos pisos con café: todo lo donado y toda la ganancia va a personas con VIH sin hogar.</t>
        </is>
      </c>
      <c r="R255" s="16" t="inlineStr">
        <is>
          <t>126 Crosby St</t>
        </is>
      </c>
      <c r="S255" s="16" t="inlineStr">
        <is>
          <t>—</t>
        </is>
      </c>
      <c r="T255" s="18" t="inlineStr">
        <is>
          <t>Abrir ↗</t>
        </is>
      </c>
      <c r="U255" s="19" t="inlineStr">
        <is>
          <t>lista google</t>
        </is>
      </c>
      <c r="V255" s="20" t="inlineStr"/>
    </row>
    <row r="256" ht="46" customHeight="1">
      <c r="A256" s="9" t="inlineStr">
        <is>
          <t>Louis Vuitton</t>
        </is>
      </c>
      <c r="B256" s="10" t="inlineStr">
        <is>
          <t>Tienda con historia</t>
        </is>
      </c>
      <c r="C256" s="11" t="inlineStr">
        <is>
          <t>Arquitectura</t>
        </is>
      </c>
      <c r="D256" s="11" t="inlineStr">
        <is>
          <t>Midtown</t>
        </is>
      </c>
      <c r="E256" s="11" t="inlineStr">
        <is>
          <t>Manhattan</t>
        </is>
      </c>
      <c r="F256" s="12" t="n">
        <v>1</v>
      </c>
      <c r="G256" s="12" t="n">
        <v>2</v>
      </c>
      <c r="H256" s="13">
        <f>IF(AND(F256=2,G256=2),"AMBOS",IF(AND(F256=2,G256&lt;2),"solo JP",IF(AND(F256&lt;2,G256=2),"solo Thais","-")))</f>
        <v/>
      </c>
      <c r="I256" s="14" t="n">
        <v>0</v>
      </c>
      <c r="J256" s="15" t="n">
        <v>0.5</v>
      </c>
      <c r="K256" s="13" t="inlineStr">
        <is>
          <t>SÍ</t>
        </is>
      </c>
      <c r="L256" s="16" t="inlineStr">
        <is>
          <t>—</t>
        </is>
      </c>
      <c r="M256" s="11" t="inlineStr">
        <is>
          <t>—</t>
        </is>
      </c>
      <c r="N256" s="16" t="inlineStr">
        <is>
          <t>—</t>
        </is>
      </c>
      <c r="O256" s="16" t="inlineStr">
        <is>
          <t>—</t>
        </is>
      </c>
      <c r="P256" s="16" t="inlineStr">
        <is>
          <t>5 Av/53 St (E,M)</t>
        </is>
      </c>
      <c r="Q256" s="16" t="inlineStr">
        <is>
          <t>Flagship de la Quinta. En la lista de Google, presumiblemente para compras.</t>
        </is>
      </c>
      <c r="R256" s="16" t="inlineStr">
        <is>
          <t>1 E 57th St</t>
        </is>
      </c>
      <c r="S256" s="16" t="inlineStr">
        <is>
          <t>—</t>
        </is>
      </c>
      <c r="T256" s="18" t="inlineStr">
        <is>
          <t>Abrir ↗</t>
        </is>
      </c>
      <c r="U256" s="19" t="inlineStr">
        <is>
          <t>lista google</t>
        </is>
      </c>
      <c r="V256" s="20" t="inlineStr"/>
    </row>
    <row r="257" ht="46" customHeight="1">
      <c r="A257" s="9" t="inlineStr">
        <is>
          <t>M&amp;M'S World New York</t>
        </is>
      </c>
      <c r="B257" s="10" t="inlineStr">
        <is>
          <t>Tienda con historia</t>
        </is>
      </c>
      <c r="C257" s="11" t="inlineStr">
        <is>
          <t>Arquitectura</t>
        </is>
      </c>
      <c r="D257" s="11" t="inlineStr">
        <is>
          <t>Times Square</t>
        </is>
      </c>
      <c r="E257" s="11" t="inlineStr">
        <is>
          <t>Manhattan</t>
        </is>
      </c>
      <c r="F257" s="12" t="n">
        <v>1</v>
      </c>
      <c r="G257" s="12" t="n">
        <v>1</v>
      </c>
      <c r="H257" s="13">
        <f>IF(AND(F257=2,G257=2),"AMBOS",IF(AND(F257=2,G257&lt;2),"solo JP",IF(AND(F257&lt;2,G257=2),"solo Thais","-")))</f>
        <v/>
      </c>
      <c r="I257" s="14" t="n">
        <v>0</v>
      </c>
      <c r="J257" s="15" t="n">
        <v>0.5</v>
      </c>
      <c r="K257" s="13" t="inlineStr">
        <is>
          <t>SÍ</t>
        </is>
      </c>
      <c r="L257" s="16" t="inlineStr">
        <is>
          <t>—</t>
        </is>
      </c>
      <c r="M257" s="11" t="inlineStr">
        <is>
          <t>—</t>
        </is>
      </c>
      <c r="N257" s="16" t="inlineStr">
        <is>
          <t>—</t>
        </is>
      </c>
      <c r="O257" s="16" t="inlineStr">
        <is>
          <t>—</t>
        </is>
      </c>
      <c r="P257" s="16" t="inlineStr">
        <is>
          <t>42 St-Times Sq</t>
        </is>
      </c>
      <c r="Q257" s="16" t="inlineStr">
        <is>
          <t>Tres pisos de merchandising en Times Square. Es lo que promete, ni más ni menos.</t>
        </is>
      </c>
      <c r="R257" s="16" t="inlineStr">
        <is>
          <t>1600 Broadway</t>
        </is>
      </c>
      <c r="S257" s="16" t="inlineStr">
        <is>
          <t>—</t>
        </is>
      </c>
      <c r="T257" s="18" t="inlineStr">
        <is>
          <t>Abrir ↗</t>
        </is>
      </c>
      <c r="U257" s="19" t="inlineStr">
        <is>
          <t>lista google</t>
        </is>
      </c>
      <c r="V257" s="20" t="inlineStr"/>
    </row>
    <row r="258" ht="46" customHeight="1">
      <c r="A258" s="9" t="inlineStr">
        <is>
          <t>McNally Jackson Books</t>
        </is>
      </c>
      <c r="B258" s="10" t="inlineStr">
        <is>
          <t>Tienda con historia</t>
        </is>
      </c>
      <c r="C258" s="11" t="inlineStr">
        <is>
          <t>Arquitectura</t>
        </is>
      </c>
      <c r="D258" s="11" t="inlineStr">
        <is>
          <t>SoHo</t>
        </is>
      </c>
      <c r="E258" s="11" t="inlineStr">
        <is>
          <t>Manhattan</t>
        </is>
      </c>
      <c r="F258" s="12" t="n">
        <v>1</v>
      </c>
      <c r="G258" s="12" t="n">
        <v>1</v>
      </c>
      <c r="H258" s="13">
        <f>IF(AND(F258=2,G258=2),"AMBOS",IF(AND(F258=2,G258&lt;2),"solo JP",IF(AND(F258&lt;2,G258=2),"solo Thais","-")))</f>
        <v/>
      </c>
      <c r="I258" s="14" t="n">
        <v>0</v>
      </c>
      <c r="J258" s="15" t="n">
        <v>0.5</v>
      </c>
      <c r="K258" s="13" t="inlineStr">
        <is>
          <t>no</t>
        </is>
      </c>
      <c r="L258" s="16" t="inlineStr">
        <is>
          <t>—</t>
        </is>
      </c>
      <c r="M258" s="11" t="inlineStr">
        <is>
          <t>—</t>
        </is>
      </c>
      <c r="N258" s="16" t="inlineStr">
        <is>
          <t>—</t>
        </is>
      </c>
      <c r="O258" s="16" t="inlineStr">
        <is>
          <t>—</t>
        </is>
      </c>
      <c r="P258" s="16" t="inlineStr">
        <is>
          <t>Prince St (N,R,W)</t>
        </is>
      </c>
      <c r="Q258" s="16" t="inlineStr">
        <is>
          <t>La libreria independiente que definio el SoHo literario: mesas curadas a mano y una seccion de traduccion que no tiene nadie.</t>
        </is>
      </c>
      <c r="R258" s="16" t="inlineStr">
        <is>
          <t>134 Prince St</t>
        </is>
      </c>
      <c r="S258" s="16" t="inlineStr">
        <is>
          <t>—</t>
        </is>
      </c>
      <c r="T258" s="18" t="inlineStr">
        <is>
          <t>Abrir ↗</t>
        </is>
      </c>
      <c r="U258" s="21" t="inlineStr">
        <is>
          <t>otros</t>
        </is>
      </c>
      <c r="V258" s="20" t="inlineStr"/>
    </row>
    <row r="259" ht="46" customHeight="1">
      <c r="A259" s="9" t="inlineStr">
        <is>
          <t>Green-Wood Cemetery</t>
        </is>
      </c>
      <c r="B259" s="10" t="inlineStr">
        <is>
          <t>Cementerio-jardín</t>
        </is>
      </c>
      <c r="C259" s="11" t="inlineStr">
        <is>
          <t>Parque</t>
        </is>
      </c>
      <c r="D259" s="11" t="inlineStr">
        <is>
          <t>Greenwood Heights</t>
        </is>
      </c>
      <c r="E259" s="11" t="inlineStr">
        <is>
          <t>Brooklyn</t>
        </is>
      </c>
      <c r="F259" s="12" t="n">
        <v>0</v>
      </c>
      <c r="G259" s="12" t="n">
        <v>0</v>
      </c>
      <c r="H259" s="13">
        <f>IF(AND(F259=2,G259=2),"AMBOS",IF(AND(F259=2,G259&lt;2),"solo JP",IF(AND(F259&lt;2,G259=2),"solo Thais","-")))</f>
        <v/>
      </c>
      <c r="I259" s="14" t="n">
        <v>0</v>
      </c>
      <c r="J259" s="15" t="n">
        <v>2.5</v>
      </c>
      <c r="K259" s="13" t="inlineStr">
        <is>
          <t>no</t>
        </is>
      </c>
      <c r="L259" s="16" t="inlineStr">
        <is>
          <t>—</t>
        </is>
      </c>
      <c r="M259" s="11" t="inlineStr">
        <is>
          <t>—</t>
        </is>
      </c>
      <c r="N259" s="16" t="inlineStr">
        <is>
          <t>—</t>
        </is>
      </c>
      <c r="O259" s="16" t="inlineStr">
        <is>
          <t>—</t>
        </is>
      </c>
      <c r="P259" s="16" t="inlineStr">
        <is>
          <t>25 St (R)</t>
        </is>
      </c>
      <c r="Q259" s="16" t="inlineStr">
        <is>
          <t>190 hectareas de cementerio-jardin victoriano de 1838, con la colina mas alta de Brooklyn y vista de Manhattan. Hay guia gratuita en la app Bloomberg Connects. Es un parque enorme donde no hay nadie.</t>
        </is>
      </c>
      <c r="R259" s="16" t="inlineStr">
        <is>
          <t>500 25th St, Brooklyn</t>
        </is>
      </c>
      <c r="S259" s="16" t="inlineStr">
        <is>
          <t>—</t>
        </is>
      </c>
      <c r="T259" s="18" t="inlineStr">
        <is>
          <t>Abrir ↗</t>
        </is>
      </c>
      <c r="U259" s="21" t="inlineStr">
        <is>
          <t>otros</t>
        </is>
      </c>
      <c r="V259" s="20" t="inlineStr"/>
    </row>
    <row r="260" ht="46" customHeight="1">
      <c r="A260" s="9" t="inlineStr">
        <is>
          <t>Inwood Hill Park</t>
        </is>
      </c>
      <c r="B260" s="10" t="inlineStr">
        <is>
          <t>Naturaleza</t>
        </is>
      </c>
      <c r="C260" s="11" t="inlineStr">
        <is>
          <t>Parque</t>
        </is>
      </c>
      <c r="D260" s="11" t="inlineStr">
        <is>
          <t>Inwood</t>
        </is>
      </c>
      <c r="E260" s="11" t="inlineStr">
        <is>
          <t>Manhattan</t>
        </is>
      </c>
      <c r="F260" s="12" t="n">
        <v>1</v>
      </c>
      <c r="G260" s="12" t="n">
        <v>0</v>
      </c>
      <c r="H260" s="13">
        <f>IF(AND(F260=2,G260=2),"AMBOS",IF(AND(F260=2,G260&lt;2),"solo JP",IF(AND(F260&lt;2,G260=2),"solo Thais","-")))</f>
        <v/>
      </c>
      <c r="I260" s="14" t="n">
        <v>0</v>
      </c>
      <c r="J260" s="15" t="n">
        <v>2</v>
      </c>
      <c r="K260" s="13" t="inlineStr">
        <is>
          <t>no</t>
        </is>
      </c>
      <c r="L260" s="16" t="inlineStr">
        <is>
          <t>—</t>
        </is>
      </c>
      <c r="M260" s="11" t="inlineStr">
        <is>
          <t>—</t>
        </is>
      </c>
      <c r="N260" s="16" t="inlineStr">
        <is>
          <t>—</t>
        </is>
      </c>
      <c r="O260" s="16" t="inlineStr">
        <is>
          <t>—</t>
        </is>
      </c>
      <c r="P260" s="16" t="inlineStr">
        <is>
          <t>Dyckman St o 207 St (A)</t>
        </is>
      </c>
      <c r="Q260" s="16" t="inlineStr">
        <is>
          <t>El unico bosque primario que queda en Manhattan, con cuevas de roca usadas por los Lenape y vista del Hudson y los Palisades. Cuesta creer que sea la misma isla.</t>
        </is>
      </c>
      <c r="R260" s="16" t="inlineStr">
        <is>
          <t>Inwood Hill Park, Manhattan</t>
        </is>
      </c>
      <c r="S260" s="16" t="inlineStr">
        <is>
          <t>—</t>
        </is>
      </c>
      <c r="T260" s="18" t="inlineStr">
        <is>
          <t>Abrir ↗</t>
        </is>
      </c>
      <c r="U260" s="21" t="inlineStr">
        <is>
          <t>otros</t>
        </is>
      </c>
      <c r="V260" s="20" t="inlineStr"/>
    </row>
    <row r="261" ht="46" customHeight="1">
      <c r="A261" s="9" t="inlineStr">
        <is>
          <t>New York Botanical Garden</t>
        </is>
      </c>
      <c r="B261" s="10" t="inlineStr">
        <is>
          <t>Naturaleza</t>
        </is>
      </c>
      <c r="C261" s="11" t="inlineStr">
        <is>
          <t>Parque</t>
        </is>
      </c>
      <c r="D261" s="11" t="inlineStr">
        <is>
          <t>Bronx Park</t>
        </is>
      </c>
      <c r="E261" s="11" t="inlineStr">
        <is>
          <t>Bronx</t>
        </is>
      </c>
      <c r="F261" s="12" t="n">
        <v>1</v>
      </c>
      <c r="G261" s="12" t="n">
        <v>1</v>
      </c>
      <c r="H261" s="13">
        <f>IF(AND(F261=2,G261=2),"AMBOS",IF(AND(F261=2,G261&lt;2),"solo JP",IF(AND(F261&lt;2,G261=2),"solo Thais","-")))</f>
        <v/>
      </c>
      <c r="I261" s="14" t="n">
        <v>35</v>
      </c>
      <c r="J261" s="15" t="n">
        <v>3</v>
      </c>
      <c r="K261" s="13" t="inlineStr">
        <is>
          <t>no</t>
        </is>
      </c>
      <c r="L261" s="16" t="inlineStr">
        <is>
          <t>—</t>
        </is>
      </c>
      <c r="M261" s="11" t="inlineStr">
        <is>
          <t>—</t>
        </is>
      </c>
      <c r="N261" s="16" t="inlineStr">
        <is>
          <t>—</t>
        </is>
      </c>
      <c r="O261" s="16" t="inlineStr">
        <is>
          <t>—</t>
        </is>
      </c>
      <c r="P261" s="16" t="inlineStr">
        <is>
          <t>Metro-North a Botanical Garden, o Bx26</t>
        </is>
      </c>
      <c r="Q261" s="16" t="inlineStr">
        <is>
          <t>Un bosque original de 20 hectareas que nunca se talo, mas el invernadero victoriano. A diez cuadras de Arthur Avenue.</t>
        </is>
      </c>
      <c r="R261" s="16" t="inlineStr">
        <is>
          <t>2900 Southern Blvd, Bronx</t>
        </is>
      </c>
      <c r="S261" s="16" t="inlineStr">
        <is>
          <t>—</t>
        </is>
      </c>
      <c r="T261" s="18" t="inlineStr">
        <is>
          <t>Abrir ↗</t>
        </is>
      </c>
      <c r="U261" s="21" t="inlineStr">
        <is>
          <t>otros</t>
        </is>
      </c>
      <c r="V261" s="20" t="inlineStr"/>
    </row>
    <row r="262" ht="46" customHeight="1">
      <c r="A262" s="9" t="inlineStr">
        <is>
          <t>Wave Hill</t>
        </is>
      </c>
      <c r="B262" s="10" t="inlineStr">
        <is>
          <t>Naturaleza</t>
        </is>
      </c>
      <c r="C262" s="11" t="inlineStr">
        <is>
          <t>Parque</t>
        </is>
      </c>
      <c r="D262" s="11" t="inlineStr">
        <is>
          <t>Riverdale</t>
        </is>
      </c>
      <c r="E262" s="11" t="inlineStr">
        <is>
          <t>Bronx</t>
        </is>
      </c>
      <c r="F262" s="12" t="n">
        <v>1</v>
      </c>
      <c r="G262" s="12" t="n">
        <v>1</v>
      </c>
      <c r="H262" s="13">
        <f>IF(AND(F262=2,G262=2),"AMBOS",IF(AND(F262=2,G262&lt;2),"solo JP",IF(AND(F262&lt;2,G262=2),"solo Thais","-")))</f>
        <v/>
      </c>
      <c r="I262" s="14" t="n">
        <v>10</v>
      </c>
      <c r="J262" s="15" t="n">
        <v>2.5</v>
      </c>
      <c r="K262" s="13" t="inlineStr">
        <is>
          <t>no</t>
        </is>
      </c>
      <c r="L262" s="16" t="inlineStr">
        <is>
          <t>—</t>
        </is>
      </c>
      <c r="M262" s="11" t="inlineStr">
        <is>
          <t>lunes</t>
        </is>
      </c>
      <c r="N262" s="16" t="inlineStr">
        <is>
          <t>—</t>
        </is>
      </c>
      <c r="O262" s="16" t="inlineStr">
        <is>
          <t>—</t>
        </is>
      </c>
      <c r="P262" s="16" t="inlineStr">
        <is>
          <t>Metro-North a Riverdale + shuttle</t>
        </is>
      </c>
      <c r="Q262" s="16" t="inlineStr">
        <is>
          <t>Jardin botanico sobre un acantilado del Hudson, con los Palisades enfrente. Es el lugar mas tranquilo de los cinco boroughs.</t>
        </is>
      </c>
      <c r="R262" s="16" t="inlineStr">
        <is>
          <t>4900 Independence Ave, Bronx</t>
        </is>
      </c>
      <c r="S262" s="16" t="inlineStr">
        <is>
          <t>—</t>
        </is>
      </c>
      <c r="T262" s="18" t="inlineStr">
        <is>
          <t>Abrir ↗</t>
        </is>
      </c>
      <c r="U262" s="19" t="inlineStr">
        <is>
          <t>lista google</t>
        </is>
      </c>
      <c r="V262" s="20" t="inlineStr"/>
    </row>
    <row r="263" ht="46" customHeight="1">
      <c r="A263" s="9" t="inlineStr">
        <is>
          <t>Elizabeth Street Garden</t>
        </is>
      </c>
      <c r="B263" s="10" t="inlineStr">
        <is>
          <t>Parque de esculturas</t>
        </is>
      </c>
      <c r="C263" s="11" t="inlineStr">
        <is>
          <t>Parque</t>
        </is>
      </c>
      <c r="D263" s="11" t="inlineStr">
        <is>
          <t>Nolita</t>
        </is>
      </c>
      <c r="E263" s="11" t="inlineStr">
        <is>
          <t>Manhattan</t>
        </is>
      </c>
      <c r="F263" s="12" t="n">
        <v>1</v>
      </c>
      <c r="G263" s="12" t="n">
        <v>1</v>
      </c>
      <c r="H263" s="13">
        <f>IF(AND(F263=2,G263=2),"AMBOS",IF(AND(F263=2,G263&lt;2),"solo JP",IF(AND(F263&lt;2,G263=2),"solo Thais","-")))</f>
        <v/>
      </c>
      <c r="I263" s="14" t="n">
        <v>0</v>
      </c>
      <c r="J263" s="15" t="n">
        <v>0.4</v>
      </c>
      <c r="K263" s="13" t="inlineStr">
        <is>
          <t>no</t>
        </is>
      </c>
      <c r="L263" s="16" t="inlineStr">
        <is>
          <t>—</t>
        </is>
      </c>
      <c r="M263" s="11" t="inlineStr">
        <is>
          <t>—</t>
        </is>
      </c>
      <c r="N263" s="16" t="inlineStr">
        <is>
          <t>—</t>
        </is>
      </c>
      <c r="O263" s="16" t="inlineStr">
        <is>
          <t>—</t>
        </is>
      </c>
      <c r="P263" s="16" t="inlineStr">
        <is>
          <t>Spring St (6)</t>
        </is>
      </c>
      <c r="Q263" s="16" t="inlineStr">
        <is>
          <t>Jardin de esculturas metido entre edificios, con estatuas victorianas entre los yuyos. Gratis y lleno de vecinos, no de turistas.</t>
        </is>
      </c>
      <c r="R263" s="16" t="inlineStr">
        <is>
          <t>Elizabeth St entre Prince y Spring</t>
        </is>
      </c>
      <c r="S263" s="16" t="inlineStr">
        <is>
          <t>—</t>
        </is>
      </c>
      <c r="T263" s="18" t="inlineStr">
        <is>
          <t>Abrir ↗</t>
        </is>
      </c>
      <c r="U263" s="21" t="inlineStr">
        <is>
          <t>otros</t>
        </is>
      </c>
      <c r="V263" s="20" t="inlineStr"/>
    </row>
    <row r="264" ht="46" customHeight="1">
      <c r="A264" s="9" t="inlineStr">
        <is>
          <t>Socrates Sculpture Park</t>
        </is>
      </c>
      <c r="B264" s="10" t="inlineStr">
        <is>
          <t>Parque de esculturas</t>
        </is>
      </c>
      <c r="C264" s="11" t="inlineStr">
        <is>
          <t>Parque</t>
        </is>
      </c>
      <c r="D264" s="11" t="inlineStr">
        <is>
          <t>Long Island City</t>
        </is>
      </c>
      <c r="E264" s="11" t="inlineStr">
        <is>
          <t>Queens</t>
        </is>
      </c>
      <c r="F264" s="12" t="n">
        <v>0</v>
      </c>
      <c r="G264" s="12" t="n">
        <v>0</v>
      </c>
      <c r="H264" s="13">
        <f>IF(AND(F264=2,G264=2),"AMBOS",IF(AND(F264=2,G264&lt;2),"solo JP",IF(AND(F264&lt;2,G264=2),"solo Thais","-")))</f>
        <v/>
      </c>
      <c r="I264" s="14" t="n">
        <v>0</v>
      </c>
      <c r="J264" s="15" t="n">
        <v>1</v>
      </c>
      <c r="K264" s="13" t="inlineStr">
        <is>
          <t>no</t>
        </is>
      </c>
      <c r="L264" s="16" t="inlineStr">
        <is>
          <t>—</t>
        </is>
      </c>
      <c r="M264" s="11" t="inlineStr">
        <is>
          <t>—</t>
        </is>
      </c>
      <c r="N264" s="16" t="inlineStr">
        <is>
          <t>—</t>
        </is>
      </c>
      <c r="O264" s="16" t="inlineStr">
        <is>
          <t>—</t>
        </is>
      </c>
      <c r="P264" s="16" t="inlineStr">
        <is>
          <t>Broadway (N,W)</t>
        </is>
      </c>
      <c r="Q264" s="16" t="inlineStr">
        <is>
          <t>Ex basural convertido en parque de esculturas sobre el East River. 'Homecoming' de Chakaia Booker (esculturas de neumaticos) hasta abril 2027. A 5 minutos del Noguchi.</t>
        </is>
      </c>
      <c r="R264" s="16" t="inlineStr">
        <is>
          <t>32-01 Vernon Blvd, LIC</t>
        </is>
      </c>
      <c r="S264" s="16" t="inlineStr">
        <is>
          <t>—</t>
        </is>
      </c>
      <c r="T264" s="18" t="inlineStr">
        <is>
          <t>Abrir ↗</t>
        </is>
      </c>
      <c r="U264" s="21" t="inlineStr">
        <is>
          <t>otros</t>
        </is>
      </c>
      <c r="V264" s="20" t="inlineStr"/>
    </row>
    <row r="265" ht="46" customHeight="1">
      <c r="A265" s="9" t="inlineStr">
        <is>
          <t>Astoria Park</t>
        </is>
      </c>
      <c r="B265" s="10" t="inlineStr">
        <is>
          <t>Parque urbano</t>
        </is>
      </c>
      <c r="C265" s="11" t="inlineStr">
        <is>
          <t>Parque</t>
        </is>
      </c>
      <c r="D265" s="11" t="inlineStr">
        <is>
          <t>Astoria</t>
        </is>
      </c>
      <c r="E265" s="11" t="inlineStr">
        <is>
          <t>Queens</t>
        </is>
      </c>
      <c r="F265" s="12" t="n">
        <v>1</v>
      </c>
      <c r="G265" s="12" t="n">
        <v>1</v>
      </c>
      <c r="H265" s="13">
        <f>IF(AND(F265=2,G265=2),"AMBOS",IF(AND(F265=2,G265&lt;2),"solo JP",IF(AND(F265&lt;2,G265=2),"solo Thais","-")))</f>
        <v/>
      </c>
      <c r="I265" s="14" t="n">
        <v>0</v>
      </c>
      <c r="J265" s="15" t="n">
        <v>1</v>
      </c>
      <c r="K265" s="13" t="inlineStr">
        <is>
          <t>no</t>
        </is>
      </c>
      <c r="L265" s="16" t="inlineStr">
        <is>
          <t>—</t>
        </is>
      </c>
      <c r="M265" s="11" t="inlineStr">
        <is>
          <t>—</t>
        </is>
      </c>
      <c r="N265" s="16" t="inlineStr">
        <is>
          <t>—</t>
        </is>
      </c>
      <c r="O265" s="16" t="inlineStr">
        <is>
          <t>—</t>
        </is>
      </c>
      <c r="P265" s="16" t="inlineStr">
        <is>
          <t>Astoria Blvd (N,W) + caminata</t>
        </is>
      </c>
      <c r="Q265" s="16" t="inlineStr">
        <is>
          <t>Debajo del Hell Gate Bridge, con el Triborough al lado y Manhattan enfrente. Al atardecer es de los mejores lugares de la ciudad y solo hay vecinos corriendo.</t>
        </is>
      </c>
      <c r="R265" s="16" t="inlineStr">
        <is>
          <t>19th St &amp; 23rd Ave, Astoria</t>
        </is>
      </c>
      <c r="S265" s="16" t="inlineStr">
        <is>
          <t>—</t>
        </is>
      </c>
      <c r="T265" s="18" t="inlineStr">
        <is>
          <t>Abrir ↗</t>
        </is>
      </c>
      <c r="U265" s="21" t="inlineStr">
        <is>
          <t>otros</t>
        </is>
      </c>
      <c r="V265" s="20" t="inlineStr"/>
    </row>
    <row r="266" ht="46" customHeight="1">
      <c r="A266" s="9" t="inlineStr">
        <is>
          <t>Battery Park</t>
        </is>
      </c>
      <c r="B266" s="10" t="inlineStr">
        <is>
          <t>Parque urbano</t>
        </is>
      </c>
      <c r="C266" s="11" t="inlineStr">
        <is>
          <t>Parque</t>
        </is>
      </c>
      <c r="D266" s="11" t="inlineStr">
        <is>
          <t>Financial District</t>
        </is>
      </c>
      <c r="E266" s="11" t="inlineStr">
        <is>
          <t>Manhattan</t>
        </is>
      </c>
      <c r="F266" s="12" t="n">
        <v>1</v>
      </c>
      <c r="G266" s="12" t="n">
        <v>1</v>
      </c>
      <c r="H266" s="13">
        <f>IF(AND(F266=2,G266=2),"AMBOS",IF(AND(F266=2,G266&lt;2),"solo JP",IF(AND(F266&lt;2,G266=2),"solo Thais","-")))</f>
        <v/>
      </c>
      <c r="I266" s="14" t="n">
        <v>0</v>
      </c>
      <c r="J266" s="15" t="n">
        <v>0.75</v>
      </c>
      <c r="K266" s="13" t="inlineStr">
        <is>
          <t>SÍ</t>
        </is>
      </c>
      <c r="L266" s="16" t="inlineStr">
        <is>
          <t>—</t>
        </is>
      </c>
      <c r="M266" s="11" t="inlineStr">
        <is>
          <t>—</t>
        </is>
      </c>
      <c r="N266" s="16" t="inlineStr">
        <is>
          <t>—</t>
        </is>
      </c>
      <c r="O266" s="16" t="inlineStr">
        <is>
          <t>—</t>
        </is>
      </c>
      <c r="P266" s="16" t="inlineStr">
        <is>
          <t>Bowling Green (4,5), South Ferry (1)</t>
        </is>
      </c>
      <c r="Q266" s="16" t="inlineStr">
        <is>
          <t>La punta sur de la isla: la bahía, la Estatua a lo lejos y el embarcadero del ferry. Gratis.</t>
        </is>
      </c>
      <c r="R266" s="16" t="inlineStr"/>
      <c r="S266" s="16" t="inlineStr">
        <is>
          <t>—</t>
        </is>
      </c>
      <c r="T266" s="18" t="inlineStr">
        <is>
          <t>Abrir ↗</t>
        </is>
      </c>
      <c r="U266" s="19" t="inlineStr">
        <is>
          <t>lista google</t>
        </is>
      </c>
      <c r="V266" s="20" t="inlineStr"/>
    </row>
    <row r="267" ht="46" customHeight="1">
      <c r="A267" s="9" t="inlineStr">
        <is>
          <t>Brooklyn Bridge Park</t>
        </is>
      </c>
      <c r="B267" s="10" t="inlineStr">
        <is>
          <t>Parque urbano</t>
        </is>
      </c>
      <c r="C267" s="11" t="inlineStr">
        <is>
          <t>Parque</t>
        </is>
      </c>
      <c r="D267" s="11" t="inlineStr">
        <is>
          <t>DUMBO / Brooklyn Heights</t>
        </is>
      </c>
      <c r="E267" s="11" t="inlineStr">
        <is>
          <t>Brooklyn</t>
        </is>
      </c>
      <c r="F267" s="12" t="n">
        <v>2</v>
      </c>
      <c r="G267" s="12" t="n">
        <v>2</v>
      </c>
      <c r="H267" s="13">
        <f>IF(AND(F267=2,G267=2),"AMBOS",IF(AND(F267=2,G267&lt;2),"solo JP",IF(AND(F267&lt;2,G267=2),"solo Thais","-")))</f>
        <v/>
      </c>
      <c r="I267" s="14" t="n">
        <v>0</v>
      </c>
      <c r="J267" s="15" t="n">
        <v>1.5</v>
      </c>
      <c r="K267" s="13" t="inlineStr">
        <is>
          <t>SÍ</t>
        </is>
      </c>
      <c r="L267" s="16" t="inlineStr">
        <is>
          <t>—</t>
        </is>
      </c>
      <c r="M267" s="11" t="inlineStr">
        <is>
          <t>—</t>
        </is>
      </c>
      <c r="N267" s="16" t="inlineStr">
        <is>
          <t>—</t>
        </is>
      </c>
      <c r="O267" s="16" t="inlineStr">
        <is>
          <t>—</t>
        </is>
      </c>
      <c r="P267" s="16" t="inlineStr">
        <is>
          <t>York St (F), High St (A,C)</t>
        </is>
      </c>
      <c r="Q267" s="16" t="inlineStr">
        <is>
          <t>Muelles reconvertidos con el skyline de Lower Manhattan de frente. Woody De Othello, 'Guardian Spirit', en el Pier 1 hasta marzo 2027.</t>
        </is>
      </c>
      <c r="R267" s="16" t="inlineStr">
        <is>
          <t>334 Furman St, Brooklyn</t>
        </is>
      </c>
      <c r="S267" s="17" t="inlineStr">
        <is>
          <t>Día 8 · sáb 5/9</t>
        </is>
      </c>
      <c r="T267" s="18" t="inlineStr">
        <is>
          <t>Abrir ↗</t>
        </is>
      </c>
      <c r="U267" s="21" t="inlineStr">
        <is>
          <t>otros</t>
        </is>
      </c>
      <c r="V267" s="20" t="inlineStr">
        <is>
          <t>SÍ</t>
        </is>
      </c>
    </row>
    <row r="268" ht="46" customHeight="1">
      <c r="A268" s="9" t="inlineStr">
        <is>
          <t>Bryant Park</t>
        </is>
      </c>
      <c r="B268" s="10" t="inlineStr">
        <is>
          <t>Parque urbano</t>
        </is>
      </c>
      <c r="C268" s="11" t="inlineStr">
        <is>
          <t>Parque</t>
        </is>
      </c>
      <c r="D268" s="11" t="inlineStr">
        <is>
          <t>Midtown</t>
        </is>
      </c>
      <c r="E268" s="11" t="inlineStr">
        <is>
          <t>Manhattan</t>
        </is>
      </c>
      <c r="F268" s="12" t="n">
        <v>2</v>
      </c>
      <c r="G268" s="12" t="n">
        <v>0</v>
      </c>
      <c r="H268" s="13">
        <f>IF(AND(F268=2,G268=2),"AMBOS",IF(AND(F268=2,G268&lt;2),"solo JP",IF(AND(F268&lt;2,G268=2),"solo Thais","-")))</f>
        <v/>
      </c>
      <c r="I268" s="14" t="n">
        <v>0</v>
      </c>
      <c r="J268" s="15" t="n">
        <v>0.75</v>
      </c>
      <c r="K268" s="13" t="inlineStr">
        <is>
          <t>SÍ</t>
        </is>
      </c>
      <c r="L268" s="16" t="inlineStr">
        <is>
          <t>—</t>
        </is>
      </c>
      <c r="M268" s="11" t="inlineStr">
        <is>
          <t>—</t>
        </is>
      </c>
      <c r="N268" s="16" t="inlineStr">
        <is>
          <t>—</t>
        </is>
      </c>
      <c r="O268" s="16" t="inlineStr">
        <is>
          <t>—</t>
        </is>
      </c>
      <c r="P268" s="16" t="inlineStr">
        <is>
          <t>5 Av-Bryant Pk (7,B,D,F,M)</t>
        </is>
      </c>
      <c r="Q268" s="16" t="inlineStr">
        <is>
          <t>El patio trasero de la Biblioteca Publica. Picnic Performances gratis toda la temporada: sab 29/8 (Accordion Festival), jue 3 y vie 4/9 (Brass Festival).</t>
        </is>
      </c>
      <c r="R268" s="16" t="inlineStr">
        <is>
          <t>Bryant Park, New York</t>
        </is>
      </c>
      <c r="S268" s="17" t="inlineStr">
        <is>
          <t>Día 3 · lun 31/8</t>
        </is>
      </c>
      <c r="T268" s="18" t="inlineStr">
        <is>
          <t>Abrir ↗</t>
        </is>
      </c>
      <c r="U268" s="21" t="inlineStr">
        <is>
          <t>otros</t>
        </is>
      </c>
      <c r="V268" s="20" t="inlineStr">
        <is>
          <t>SÍ</t>
        </is>
      </c>
    </row>
    <row r="269" ht="46" customHeight="1">
      <c r="A269" s="9" t="inlineStr">
        <is>
          <t>Carl Schurz Park</t>
        </is>
      </c>
      <c r="B269" s="10" t="inlineStr">
        <is>
          <t>Parque urbano</t>
        </is>
      </c>
      <c r="C269" s="11" t="inlineStr">
        <is>
          <t>Parque</t>
        </is>
      </c>
      <c r="D269" s="11" t="inlineStr">
        <is>
          <t>Upper East Side</t>
        </is>
      </c>
      <c r="E269" s="11" t="inlineStr">
        <is>
          <t>Manhattan</t>
        </is>
      </c>
      <c r="F269" s="12" t="n">
        <v>1</v>
      </c>
      <c r="G269" s="12" t="n">
        <v>1</v>
      </c>
      <c r="H269" s="13">
        <f>IF(AND(F269=2,G269=2),"AMBOS",IF(AND(F269=2,G269&lt;2),"solo JP",IF(AND(F269&lt;2,G269=2),"solo Thais","-")))</f>
        <v/>
      </c>
      <c r="I269" s="14" t="n">
        <v>0</v>
      </c>
      <c r="J269" s="15" t="n">
        <v>0.6</v>
      </c>
      <c r="K269" s="13" t="inlineStr">
        <is>
          <t>no</t>
        </is>
      </c>
      <c r="L269" s="16" t="inlineStr">
        <is>
          <t>—</t>
        </is>
      </c>
      <c r="M269" s="11" t="inlineStr">
        <is>
          <t>—</t>
        </is>
      </c>
      <c r="N269" s="16" t="inlineStr">
        <is>
          <t>—</t>
        </is>
      </c>
      <c r="O269" s="16" t="inlineStr">
        <is>
          <t>—</t>
        </is>
      </c>
      <c r="P269" s="16" t="inlineStr">
        <is>
          <t>86 St (4,5,6) + M86 al este</t>
        </is>
      </c>
      <c r="Q269" s="16" t="inlineStr">
        <is>
          <t>Promenade sobre el East River con Gracie Mansion adentro, la casa del intendente. Lo usan los vecinos, no los turistas.</t>
        </is>
      </c>
      <c r="R269" s="16" t="inlineStr">
        <is>
          <t>East End Ave y E 86th St</t>
        </is>
      </c>
      <c r="S269" s="16" t="inlineStr">
        <is>
          <t>—</t>
        </is>
      </c>
      <c r="T269" s="18" t="inlineStr">
        <is>
          <t>Abrir ↗</t>
        </is>
      </c>
      <c r="U269" s="21" t="inlineStr">
        <is>
          <t>otros</t>
        </is>
      </c>
      <c r="V269" s="20" t="inlineStr"/>
    </row>
    <row r="270" ht="46" customHeight="1">
      <c r="A270" s="9" t="inlineStr">
        <is>
          <t>Central Park</t>
        </is>
      </c>
      <c r="B270" s="10" t="inlineStr">
        <is>
          <t>Parque urbano</t>
        </is>
      </c>
      <c r="C270" s="11" t="inlineStr">
        <is>
          <t>Parque</t>
        </is>
      </c>
      <c r="D270" s="11" t="inlineStr">
        <is>
          <t>Central Park</t>
        </is>
      </c>
      <c r="E270" s="11" t="inlineStr">
        <is>
          <t>Manhattan</t>
        </is>
      </c>
      <c r="F270" s="12" t="n">
        <v>2</v>
      </c>
      <c r="G270" s="12" t="n">
        <v>2</v>
      </c>
      <c r="H270" s="13">
        <f>IF(AND(F270=2,G270=2),"AMBOS",IF(AND(F270=2,G270&lt;2),"solo JP",IF(AND(F270&lt;2,G270=2),"solo Thais","-")))</f>
        <v/>
      </c>
      <c r="I270" s="14" t="n">
        <v>0</v>
      </c>
      <c r="J270" s="15" t="n">
        <v>3</v>
      </c>
      <c r="K270" s="13" t="inlineStr">
        <is>
          <t>SÍ</t>
        </is>
      </c>
      <c r="L270" s="16" t="inlineStr">
        <is>
          <t>—</t>
        </is>
      </c>
      <c r="M270" s="11" t="inlineStr">
        <is>
          <t>—</t>
        </is>
      </c>
      <c r="N270" s="16" t="inlineStr">
        <is>
          <t>—</t>
        </is>
      </c>
      <c r="O270" s="16" t="inlineStr">
        <is>
          <t>—</t>
        </is>
      </c>
      <c r="P270" s="16" t="inlineStr">
        <is>
          <t>multiples: 72 St (B,C), 59 St-Columbus Circle, 86 St</t>
        </is>
      </c>
      <c r="Q270" s="16" t="inlineStr">
        <is>
          <t>Bethesda Terrace, el Ramble, Bow Bridge, el Reservoir. La mitad norte (arriba de la 96) esta casi vacia y es la mejor. A dos cuadras del hotel The Beacon.</t>
        </is>
      </c>
      <c r="R270" s="16" t="inlineStr">
        <is>
          <t>Central Park, New York</t>
        </is>
      </c>
      <c r="S270" s="17" t="inlineStr">
        <is>
          <t>Día 9 · dom 6/9</t>
        </is>
      </c>
      <c r="T270" s="18" t="inlineStr">
        <is>
          <t>Abrir ↗</t>
        </is>
      </c>
      <c r="U270" s="21" t="inlineStr">
        <is>
          <t>otros</t>
        </is>
      </c>
      <c r="V270" s="20" t="inlineStr">
        <is>
          <t>SÍ</t>
        </is>
      </c>
    </row>
    <row r="271" ht="46" customHeight="1">
      <c r="A271" s="9" t="inlineStr">
        <is>
          <t>Clinton Community Garden</t>
        </is>
      </c>
      <c r="B271" s="10" t="inlineStr">
        <is>
          <t>Parque urbano</t>
        </is>
      </c>
      <c r="C271" s="11" t="inlineStr">
        <is>
          <t>Parque</t>
        </is>
      </c>
      <c r="D271" s="11" t="inlineStr">
        <is>
          <t>Hell's Kitchen</t>
        </is>
      </c>
      <c r="E271" s="11" t="inlineStr">
        <is>
          <t>Manhattan</t>
        </is>
      </c>
      <c r="F271" s="12" t="n">
        <v>1</v>
      </c>
      <c r="G271" s="12" t="n">
        <v>1</v>
      </c>
      <c r="H271" s="13">
        <f>IF(AND(F271=2,G271=2),"AMBOS",IF(AND(F271=2,G271&lt;2),"solo JP",IF(AND(F271&lt;2,G271=2),"solo Thais","-")))</f>
        <v/>
      </c>
      <c r="I271" s="14" t="n">
        <v>0</v>
      </c>
      <c r="J271" s="15" t="n">
        <v>0.3</v>
      </c>
      <c r="K271" s="13" t="inlineStr">
        <is>
          <t>no</t>
        </is>
      </c>
      <c r="L271" s="16" t="inlineStr">
        <is>
          <t>—</t>
        </is>
      </c>
      <c r="M271" s="11" t="inlineStr">
        <is>
          <t>—</t>
        </is>
      </c>
      <c r="N271" s="16" t="inlineStr">
        <is>
          <t>—</t>
        </is>
      </c>
      <c r="O271" s="16" t="inlineStr">
        <is>
          <t>—</t>
        </is>
      </c>
      <c r="P271" s="16" t="inlineStr">
        <is>
          <t>50 St (C,E)</t>
        </is>
      </c>
      <c r="Q271"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1" s="16" t="inlineStr">
        <is>
          <t>434 W 48th St</t>
        </is>
      </c>
      <c r="S271" s="16" t="inlineStr">
        <is>
          <t>—</t>
        </is>
      </c>
      <c r="T271" s="18" t="inlineStr">
        <is>
          <t>Abrir ↗</t>
        </is>
      </c>
      <c r="U271" s="21" t="inlineStr">
        <is>
          <t>otros</t>
        </is>
      </c>
      <c r="V271" s="20" t="inlineStr"/>
    </row>
    <row r="272" ht="46" customHeight="1">
      <c r="A272" s="9" t="inlineStr">
        <is>
          <t>Columbus Park</t>
        </is>
      </c>
      <c r="B272" s="10" t="inlineStr">
        <is>
          <t>Parque urbano</t>
        </is>
      </c>
      <c r="C272" s="11" t="inlineStr">
        <is>
          <t>Parque</t>
        </is>
      </c>
      <c r="D272" s="11" t="inlineStr">
        <is>
          <t>Chinatown</t>
        </is>
      </c>
      <c r="E272" s="11" t="inlineStr">
        <is>
          <t>Manhattan</t>
        </is>
      </c>
      <c r="F272" s="12" t="n">
        <v>1</v>
      </c>
      <c r="G272" s="12" t="n">
        <v>1</v>
      </c>
      <c r="H272" s="13">
        <f>IF(AND(F272=2,G272=2),"AMBOS",IF(AND(F272=2,G272&lt;2),"solo JP",IF(AND(F272&lt;2,G272=2),"solo Thais","-")))</f>
        <v/>
      </c>
      <c r="I272" s="14" t="n">
        <v>0</v>
      </c>
      <c r="J272" s="15" t="n">
        <v>0.4</v>
      </c>
      <c r="K272" s="13" t="inlineStr">
        <is>
          <t>no</t>
        </is>
      </c>
      <c r="L272" s="16" t="inlineStr">
        <is>
          <t>—</t>
        </is>
      </c>
      <c r="M272" s="11" t="inlineStr">
        <is>
          <t>—</t>
        </is>
      </c>
      <c r="N272" s="16" t="inlineStr">
        <is>
          <t>—</t>
        </is>
      </c>
      <c r="O272" s="16" t="inlineStr">
        <is>
          <t>—</t>
        </is>
      </c>
      <c r="P272" s="16" t="inlineStr">
        <is>
          <t>Canal St (J,N,Q,R,W,6)</t>
        </is>
      </c>
      <c r="Q272" s="16" t="inlineStr">
        <is>
          <t>acá estaba Mulberry Bend, el corazón de Five Points — el peor conventillo de la historia de Nueva York, al que Jacob Riis le dedicó un capítulo entero de *How the Other Half Lives* llamándolo "el núcleo podrido de los suburbios de Nueva York".</t>
        </is>
      </c>
      <c r="R272" s="16" t="inlineStr">
        <is>
          <t>Columbus Park, Baxter St</t>
        </is>
      </c>
      <c r="S272" s="16" t="inlineStr">
        <is>
          <t>—</t>
        </is>
      </c>
      <c r="T272" s="18" t="inlineStr">
        <is>
          <t>Abrir ↗</t>
        </is>
      </c>
      <c r="U272" s="21" t="inlineStr">
        <is>
          <t>otros</t>
        </is>
      </c>
      <c r="V272" s="20" t="inlineStr"/>
    </row>
    <row r="273" ht="46" customHeight="1">
      <c r="A273" s="9" t="inlineStr">
        <is>
          <t>Greenacre Park</t>
        </is>
      </c>
      <c r="B273" s="10" t="inlineStr">
        <is>
          <t>Parque urbano</t>
        </is>
      </c>
      <c r="C273" s="11" t="inlineStr">
        <is>
          <t>Parque</t>
        </is>
      </c>
      <c r="D273" s="11" t="inlineStr">
        <is>
          <t>Midtown East</t>
        </is>
      </c>
      <c r="E273" s="11" t="inlineStr">
        <is>
          <t>Manhattan</t>
        </is>
      </c>
      <c r="F273" s="12" t="n">
        <v>1</v>
      </c>
      <c r="G273" s="12" t="n">
        <v>1</v>
      </c>
      <c r="H273" s="13">
        <f>IF(AND(F273=2,G273=2),"AMBOS",IF(AND(F273=2,G273&lt;2),"solo JP",IF(AND(F273&lt;2,G273=2),"solo Thais","-")))</f>
        <v/>
      </c>
      <c r="I273" s="14" t="n">
        <v>0</v>
      </c>
      <c r="J273" s="15" t="n">
        <v>0.3</v>
      </c>
      <c r="K273" s="13" t="inlineStr">
        <is>
          <t>no</t>
        </is>
      </c>
      <c r="L273" s="16" t="inlineStr">
        <is>
          <t>—</t>
        </is>
      </c>
      <c r="M273" s="11" t="inlineStr">
        <is>
          <t>—</t>
        </is>
      </c>
      <c r="N273" s="16" t="inlineStr">
        <is>
          <t>—</t>
        </is>
      </c>
      <c r="O273" s="16" t="inlineStr">
        <is>
          <t>—</t>
        </is>
      </c>
      <c r="P273" s="16" t="inlineStr">
        <is>
          <t>51 St (6), Lexington Av-53 St (E,M)</t>
        </is>
      </c>
      <c r="Q273" s="16" t="inlineStr">
        <is>
          <t>El hermano escondido de Paley: cascada de 8 metros en un hueco entre edificios. Casi siempre vacio.</t>
        </is>
      </c>
      <c r="R273" s="16" t="inlineStr">
        <is>
          <t>217 E 51st St</t>
        </is>
      </c>
      <c r="S273" s="16" t="inlineStr">
        <is>
          <t>—</t>
        </is>
      </c>
      <c r="T273" s="18" t="inlineStr">
        <is>
          <t>Abrir ↗</t>
        </is>
      </c>
      <c r="U273" s="21" t="inlineStr">
        <is>
          <t>otros</t>
        </is>
      </c>
      <c r="V273" s="20" t="inlineStr"/>
    </row>
    <row r="274" ht="46" customHeight="1">
      <c r="A274" s="9" t="inlineStr">
        <is>
          <t>Hudson River Park Pier 84</t>
        </is>
      </c>
      <c r="B274" s="10" t="inlineStr">
        <is>
          <t>Parque urbano</t>
        </is>
      </c>
      <c r="C274" s="11" t="inlineStr">
        <is>
          <t>Parque</t>
        </is>
      </c>
      <c r="D274" s="11" t="inlineStr">
        <is>
          <t>Hell's Kitchen</t>
        </is>
      </c>
      <c r="E274" s="11" t="inlineStr">
        <is>
          <t>Manhattan</t>
        </is>
      </c>
      <c r="F274" s="12" t="n">
        <v>1</v>
      </c>
      <c r="G274" s="12" t="n">
        <v>1</v>
      </c>
      <c r="H274" s="13">
        <f>IF(AND(F274=2,G274=2),"AMBOS",IF(AND(F274=2,G274&lt;2),"solo JP",IF(AND(F274&lt;2,G274=2),"solo Thais","-")))</f>
        <v/>
      </c>
      <c r="I274" s="14" t="n">
        <v>0</v>
      </c>
      <c r="J274" s="15" t="n">
        <v>0.5</v>
      </c>
      <c r="K274" s="13" t="inlineStr">
        <is>
          <t>no</t>
        </is>
      </c>
      <c r="L274" s="16" t="inlineStr">
        <is>
          <t>—</t>
        </is>
      </c>
      <c r="M274" s="11" t="inlineStr">
        <is>
          <t>—</t>
        </is>
      </c>
      <c r="N274" s="16" t="inlineStr">
        <is>
          <t>—</t>
        </is>
      </c>
      <c r="O274" s="16" t="inlineStr">
        <is>
          <t>—</t>
        </is>
      </c>
      <c r="P274" s="16" t="inlineStr">
        <is>
          <t>42 St-Port Authority (A,C,E)</t>
        </is>
      </c>
      <c r="Q274" s="16" t="inlineStr">
        <is>
          <t>El muelle publico mas grande del rio, con el Intrepid al lado y el atardecer sobre New Jersey de frente.</t>
        </is>
      </c>
      <c r="R274" s="16" t="inlineStr">
        <is>
          <t>W 44th St y 12th Ave</t>
        </is>
      </c>
      <c r="S274" s="16" t="inlineStr">
        <is>
          <t>—</t>
        </is>
      </c>
      <c r="T274" s="18" t="inlineStr">
        <is>
          <t>Abrir ↗</t>
        </is>
      </c>
      <c r="U274" s="21" t="inlineStr">
        <is>
          <t>otros</t>
        </is>
      </c>
      <c r="V274" s="20" t="inlineStr"/>
    </row>
    <row r="275" ht="46" customHeight="1">
      <c r="A275" s="9" t="inlineStr">
        <is>
          <t>Paley Park</t>
        </is>
      </c>
      <c r="B275" s="10" t="inlineStr">
        <is>
          <t>Parque urbano</t>
        </is>
      </c>
      <c r="C275" s="11" t="inlineStr">
        <is>
          <t>Parque</t>
        </is>
      </c>
      <c r="D275" s="11" t="inlineStr">
        <is>
          <t>Midtown</t>
        </is>
      </c>
      <c r="E275" s="11" t="inlineStr">
        <is>
          <t>Manhattan</t>
        </is>
      </c>
      <c r="F275" s="12" t="n">
        <v>1</v>
      </c>
      <c r="G275" s="12" t="n">
        <v>1</v>
      </c>
      <c r="H275" s="13">
        <f>IF(AND(F275=2,G275=2),"AMBOS",IF(AND(F275=2,G275&lt;2),"solo JP",IF(AND(F275&lt;2,G275=2),"solo Thais","-")))</f>
        <v/>
      </c>
      <c r="I275" s="14" t="n">
        <v>0</v>
      </c>
      <c r="J275" s="15" t="n">
        <v>0.3</v>
      </c>
      <c r="K275" s="13" t="inlineStr">
        <is>
          <t>no</t>
        </is>
      </c>
      <c r="L275" s="16" t="inlineStr">
        <is>
          <t>—</t>
        </is>
      </c>
      <c r="M275" s="11" t="inlineStr">
        <is>
          <t>—</t>
        </is>
      </c>
      <c r="N275" s="16" t="inlineStr">
        <is>
          <t>—</t>
        </is>
      </c>
      <c r="O275" s="16" t="inlineStr">
        <is>
          <t>—</t>
        </is>
      </c>
      <c r="P275" s="16" t="inlineStr">
        <is>
          <t>5 Av-53 St (E,M)</t>
        </is>
      </c>
      <c r="Q275" s="16" t="inlineStr">
        <is>
          <t>Pocket park de 1967 con una cascada que tapa el ruido de la calle. El mejor invento urbano de Nueva York y entra en media cuadra.</t>
        </is>
      </c>
      <c r="R275" s="16" t="inlineStr">
        <is>
          <t>3 E 53rd St</t>
        </is>
      </c>
      <c r="S275" s="16" t="inlineStr">
        <is>
          <t>—</t>
        </is>
      </c>
      <c r="T275" s="18" t="inlineStr">
        <is>
          <t>Abrir ↗</t>
        </is>
      </c>
      <c r="U275" s="21" t="inlineStr">
        <is>
          <t>otros</t>
        </is>
      </c>
      <c r="V275" s="20" t="inlineStr"/>
    </row>
    <row r="276" ht="46" customHeight="1">
      <c r="A276" s="9" t="inlineStr">
        <is>
          <t>Prospect Park</t>
        </is>
      </c>
      <c r="B276" s="10" t="inlineStr">
        <is>
          <t>Parque urbano</t>
        </is>
      </c>
      <c r="C276" s="11" t="inlineStr">
        <is>
          <t>Parque</t>
        </is>
      </c>
      <c r="D276" s="11" t="inlineStr">
        <is>
          <t>Park Slope</t>
        </is>
      </c>
      <c r="E276" s="11" t="inlineStr">
        <is>
          <t>Brooklyn</t>
        </is>
      </c>
      <c r="F276" s="12" t="n">
        <v>1</v>
      </c>
      <c r="G276" s="12" t="n">
        <v>1</v>
      </c>
      <c r="H276" s="13">
        <f>IF(AND(F276=2,G276=2),"AMBOS",IF(AND(F276=2,G276&lt;2),"solo JP",IF(AND(F276&lt;2,G276=2),"solo Thais","-")))</f>
        <v/>
      </c>
      <c r="I276" s="14" t="n">
        <v>0</v>
      </c>
      <c r="J276" s="15" t="n">
        <v>1.5</v>
      </c>
      <c r="K276" s="13" t="inlineStr">
        <is>
          <t>no</t>
        </is>
      </c>
      <c r="L276" s="16" t="inlineStr">
        <is>
          <t>—</t>
        </is>
      </c>
      <c r="M276" s="11" t="inlineStr">
        <is>
          <t>—</t>
        </is>
      </c>
      <c r="N276" s="16" t="inlineStr">
        <is>
          <t>—</t>
        </is>
      </c>
      <c r="O276" s="16" t="inlineStr">
        <is>
          <t>—</t>
        </is>
      </c>
      <c r="P276" s="16" t="inlineStr">
        <is>
          <t>Grand Army Plaza (2,3)</t>
        </is>
      </c>
      <c r="Q276" s="16" t="inlineStr">
        <is>
          <t>El parque que Olmsted y Vaux consideraban SU obra maestra, mejor que Central Park: más bosque y menos turistas.</t>
        </is>
      </c>
      <c r="R276" s="16" t="inlineStr"/>
      <c r="S276" s="16" t="inlineStr">
        <is>
          <t>—</t>
        </is>
      </c>
      <c r="T276" s="18" t="inlineStr">
        <is>
          <t>Abrir ↗</t>
        </is>
      </c>
      <c r="U276" s="19" t="inlineStr">
        <is>
          <t>lista google</t>
        </is>
      </c>
      <c r="V276" s="20" t="inlineStr"/>
    </row>
    <row r="277" ht="46" customHeight="1">
      <c r="A277" s="9" t="inlineStr">
        <is>
          <t>Straus Park</t>
        </is>
      </c>
      <c r="B277" s="10" t="inlineStr">
        <is>
          <t>Parque urbano</t>
        </is>
      </c>
      <c r="C277" s="11" t="inlineStr">
        <is>
          <t>Parque</t>
        </is>
      </c>
      <c r="D277" s="11" t="inlineStr">
        <is>
          <t>Upper West Side</t>
        </is>
      </c>
      <c r="E277" s="11" t="inlineStr">
        <is>
          <t>Manhattan</t>
        </is>
      </c>
      <c r="F277" s="12" t="n">
        <v>1</v>
      </c>
      <c r="G277" s="12" t="n">
        <v>1</v>
      </c>
      <c r="H277" s="13">
        <f>IF(AND(F277=2,G277=2),"AMBOS",IF(AND(F277=2,G277&lt;2),"solo JP",IF(AND(F277&lt;2,G277=2),"solo Thais","-")))</f>
        <v/>
      </c>
      <c r="I277" s="14" t="n">
        <v>0</v>
      </c>
      <c r="J277" s="15" t="n">
        <v>0.3</v>
      </c>
      <c r="K277" s="13" t="inlineStr">
        <is>
          <t>no</t>
        </is>
      </c>
      <c r="L277" s="16" t="inlineStr">
        <is>
          <t>—</t>
        </is>
      </c>
      <c r="M277" s="11" t="inlineStr">
        <is>
          <t>—</t>
        </is>
      </c>
      <c r="N277" s="16" t="inlineStr">
        <is>
          <t>—</t>
        </is>
      </c>
      <c r="O277" s="16" t="inlineStr">
        <is>
          <t>—</t>
        </is>
      </c>
      <c r="P277" s="16" t="inlineStr">
        <is>
          <t>103 St (1)</t>
        </is>
      </c>
      <c r="Q277" s="16" t="inlineStr">
        <is>
          <t>Isidor Straus era dueño de Macy's y murió en el Titanic. Su mujer Ida se negó a subir al bote salvavidas y se quedó con él.</t>
        </is>
      </c>
      <c r="R277" s="16" t="inlineStr">
        <is>
          <t>Broadway &amp; W 106th St</t>
        </is>
      </c>
      <c r="S277" s="16" t="inlineStr">
        <is>
          <t>—</t>
        </is>
      </c>
      <c r="T277" s="18" t="inlineStr">
        <is>
          <t>Abrir ↗</t>
        </is>
      </c>
      <c r="U277" s="21" t="inlineStr">
        <is>
          <t>otros</t>
        </is>
      </c>
      <c r="V277" s="20" t="inlineStr"/>
    </row>
    <row r="278" ht="46" customHeight="1">
      <c r="A278" s="9" t="inlineStr">
        <is>
          <t>Tudor City Greens</t>
        </is>
      </c>
      <c r="B278" s="10" t="inlineStr">
        <is>
          <t>Parque urbano</t>
        </is>
      </c>
      <c r="C278" s="11" t="inlineStr">
        <is>
          <t>Parque</t>
        </is>
      </c>
      <c r="D278" s="11" t="inlineStr">
        <is>
          <t>Midtown East</t>
        </is>
      </c>
      <c r="E278" s="11" t="inlineStr">
        <is>
          <t>Manhattan</t>
        </is>
      </c>
      <c r="F278" s="12" t="n">
        <v>1</v>
      </c>
      <c r="G278" s="12" t="n">
        <v>1</v>
      </c>
      <c r="H278" s="13">
        <f>IF(AND(F278=2,G278=2),"AMBOS",IF(AND(F278=2,G278&lt;2),"solo JP",IF(AND(F278&lt;2,G278=2),"solo Thais","-")))</f>
        <v/>
      </c>
      <c r="I278" s="14" t="n">
        <v>0</v>
      </c>
      <c r="J278" s="15" t="n">
        <v>0.3</v>
      </c>
      <c r="K278" s="13" t="inlineStr">
        <is>
          <t>no</t>
        </is>
      </c>
      <c r="L278" s="16" t="inlineStr">
        <is>
          <t>—</t>
        </is>
      </c>
      <c r="M278" s="11" t="inlineStr">
        <is>
          <t>—</t>
        </is>
      </c>
      <c r="N278" s="16" t="inlineStr">
        <is>
          <t>—</t>
        </is>
      </c>
      <c r="O278" s="16" t="inlineStr">
        <is>
          <t>—</t>
        </is>
      </c>
      <c r="P278" s="16" t="inlineStr">
        <is>
          <t>Grand Central-42 St (4,5,6,7,S)</t>
        </is>
      </c>
      <c r="Q278" s="16" t="inlineStr">
        <is>
          <t>dos parques privados abiertos al público arriba de un barranco, con el mirador que da directo sobre la 42 hacia el este — es la postal del puente de la 42 sobre el cañón de la calle.</t>
        </is>
      </c>
      <c r="R278" s="16" t="inlineStr">
        <is>
          <t>Tudor City Pl</t>
        </is>
      </c>
      <c r="S278" s="16" t="inlineStr">
        <is>
          <t>—</t>
        </is>
      </c>
      <c r="T278" s="18" t="inlineStr">
        <is>
          <t>Abrir ↗</t>
        </is>
      </c>
      <c r="U278" s="21" t="inlineStr">
        <is>
          <t>otros</t>
        </is>
      </c>
      <c r="V278" s="20" t="inlineStr"/>
    </row>
    <row r="279" ht="46" customHeight="1">
      <c r="A279" s="9" t="inlineStr">
        <is>
          <t>Washington Square Park</t>
        </is>
      </c>
      <c r="B279" s="10" t="inlineStr">
        <is>
          <t>Parque urbano</t>
        </is>
      </c>
      <c r="C279" s="11" t="inlineStr">
        <is>
          <t>Parque</t>
        </is>
      </c>
      <c r="D279" s="11" t="inlineStr">
        <is>
          <t>Greenwich Village</t>
        </is>
      </c>
      <c r="E279" s="11" t="inlineStr">
        <is>
          <t>Manhattan</t>
        </is>
      </c>
      <c r="F279" s="12" t="n">
        <v>2</v>
      </c>
      <c r="G279" s="12" t="n">
        <v>0</v>
      </c>
      <c r="H279" s="13">
        <f>IF(AND(F279=2,G279=2),"AMBOS",IF(AND(F279=2,G279&lt;2),"solo JP",IF(AND(F279&lt;2,G279=2),"solo Thais","-")))</f>
        <v/>
      </c>
      <c r="I279" s="14" t="n">
        <v>0</v>
      </c>
      <c r="J279" s="15" t="n">
        <v>0.75</v>
      </c>
      <c r="K279" s="13" t="inlineStr">
        <is>
          <t>SÍ</t>
        </is>
      </c>
      <c r="L279" s="16" t="inlineStr">
        <is>
          <t>—</t>
        </is>
      </c>
      <c r="M279" s="11" t="inlineStr">
        <is>
          <t>—</t>
        </is>
      </c>
      <c r="N279" s="16" t="inlineStr">
        <is>
          <t>—</t>
        </is>
      </c>
      <c r="O279" s="16" t="inlineStr">
        <is>
          <t>—</t>
        </is>
      </c>
      <c r="P279" s="16" t="inlineStr">
        <is>
          <t>W 4 St (A,B,C,D,E,F,M), 8 St-NYU (R,W)</t>
        </is>
      </c>
      <c r="Q279" s="16" t="inlineStr">
        <is>
          <t>El arco, el piano ambulante, los ajedrecistas y NYU alrededor. Es el mejor lugar de la ciudad para sentarse una hora a mirar gente.</t>
        </is>
      </c>
      <c r="R279" s="16" t="inlineStr">
        <is>
          <t>Washington Square Park</t>
        </is>
      </c>
      <c r="S279" s="17" t="inlineStr">
        <is>
          <t>Día 4 · mar 1/9</t>
        </is>
      </c>
      <c r="T279" s="18" t="inlineStr">
        <is>
          <t>Abrir ↗</t>
        </is>
      </c>
      <c r="U279" s="19" t="inlineStr">
        <is>
          <t>lista google</t>
        </is>
      </c>
      <c r="V279" s="20" t="inlineStr"/>
    </row>
    <row r="280" ht="46" customHeight="1">
      <c r="A280" s="9" t="inlineStr">
        <is>
          <t>The High Line</t>
        </is>
      </c>
      <c r="B280" s="10" t="inlineStr">
        <is>
          <t>Paseo elevado</t>
        </is>
      </c>
      <c r="C280" s="11" t="inlineStr">
        <is>
          <t>Parque</t>
        </is>
      </c>
      <c r="D280" s="11" t="inlineStr">
        <is>
          <t>Chelsea / Meatpacking</t>
        </is>
      </c>
      <c r="E280" s="11" t="inlineStr">
        <is>
          <t>Manhattan</t>
        </is>
      </c>
      <c r="F280" s="12" t="n">
        <v>2</v>
      </c>
      <c r="G280" s="12" t="n">
        <v>2</v>
      </c>
      <c r="H280" s="13">
        <f>IF(AND(F280=2,G280=2),"AMBOS",IF(AND(F280=2,G280&lt;2),"solo JP",IF(AND(F280&lt;2,G280=2),"solo Thais","-")))</f>
        <v/>
      </c>
      <c r="I280" s="14" t="n">
        <v>0</v>
      </c>
      <c r="J280" s="15" t="n">
        <v>1.5</v>
      </c>
      <c r="K280" s="13" t="inlineStr">
        <is>
          <t>SÍ</t>
        </is>
      </c>
      <c r="L280" s="16" t="inlineStr">
        <is>
          <t>—</t>
        </is>
      </c>
      <c r="M280" s="11" t="inlineStr">
        <is>
          <t>—</t>
        </is>
      </c>
      <c r="N280" s="16" t="inlineStr">
        <is>
          <t>—</t>
        </is>
      </c>
      <c r="O280" s="16" t="inlineStr">
        <is>
          <t>—</t>
        </is>
      </c>
      <c r="P280" s="16" t="inlineStr">
        <is>
          <t>14 St (A,C,E), 34 St-Hudson Yards (7)</t>
        </is>
      </c>
      <c r="Q280" s="16" t="inlineStr">
        <is>
          <t>Via ferroviaria elevada convertida en parque lineal de 2,3 km. Recorrer de sur a norte por la luz. Incluye 'The Light That Shines Through the Universe' de Tuan Andrew Nguyen, un Buda de arenisca de 9 metros.</t>
        </is>
      </c>
      <c r="R280" s="16" t="inlineStr">
        <is>
          <t>High Line, Gansevoort St a W 34th St</t>
        </is>
      </c>
      <c r="S280" s="17" t="inlineStr">
        <is>
          <t>Día 7 · vie 4/9</t>
        </is>
      </c>
      <c r="T280" s="18" t="inlineStr">
        <is>
          <t>Abrir ↗</t>
        </is>
      </c>
      <c r="U280" s="19" t="inlineStr">
        <is>
          <t>lista google</t>
        </is>
      </c>
      <c r="V280" s="20" t="inlineStr">
        <is>
          <t>SÍ</t>
        </is>
      </c>
    </row>
    <row r="281" ht="46" customHeight="1">
      <c r="A281" s="23" t="inlineStr">
        <is>
          <t>US Open (primeras rondas)</t>
        </is>
      </c>
      <c r="B281" s="24" t="inlineStr">
        <is>
          <t>Deporte</t>
        </is>
      </c>
      <c r="C281" s="25" t="inlineStr">
        <is>
          <t>Evento</t>
        </is>
      </c>
      <c r="D281" s="25" t="inlineStr">
        <is>
          <t>Flushing Meadows</t>
        </is>
      </c>
      <c r="E281" s="25" t="inlineStr">
        <is>
          <t>Queens</t>
        </is>
      </c>
      <c r="F281" s="12" t="n">
        <v>0</v>
      </c>
      <c r="G281" s="12" t="n">
        <v>0</v>
      </c>
      <c r="H281" s="26">
        <f>IF(AND(F281=2,G281=2),"AMBOS",IF(AND(F281=2,G281&lt;2),"solo JP",IF(AND(F281&lt;2,G281=2),"solo Thais","-")))</f>
        <v/>
      </c>
      <c r="I281" s="27" t="n">
        <v>80</v>
      </c>
      <c r="J281" s="28" t="n">
        <v>7</v>
      </c>
      <c r="K281" s="26" t="inlineStr">
        <is>
          <t>no</t>
        </is>
      </c>
      <c r="L281" s="29" t="inlineStr">
        <is>
          <t>—</t>
        </is>
      </c>
      <c r="M281" s="25" t="inlineStr">
        <is>
          <t>—</t>
        </is>
      </c>
      <c r="N281" s="29" t="inlineStr">
        <is>
          <t>—</t>
        </is>
      </c>
      <c r="O281" s="29" t="inlineStr">
        <is>
          <t>Ticketmaster</t>
        </is>
      </c>
      <c r="P281" s="29" t="inlineStr">
        <is>
          <t>Mets-Willets Point (7)</t>
        </is>
      </c>
      <c r="Q281" s="29" t="inlineStr">
        <is>
          <t>Cuadro principal del 30 de agosto al 13 de septiembre. Las primeras rondas (30 ago - 2 sep) son cuando mas partidos simultaneos hay y el grounds pass rinde mas: se ve a metros en las canchas exteriores. Se come un dia entero.</t>
        </is>
      </c>
      <c r="R281" s="29" t="inlineStr">
        <is>
          <t>USTA Billie Jean King NTC, Flushing</t>
        </is>
      </c>
      <c r="S281" s="29" t="inlineStr">
        <is>
          <t>—</t>
        </is>
      </c>
      <c r="T281" s="30" t="inlineStr">
        <is>
          <t>Abrir ↗</t>
        </is>
      </c>
      <c r="U281" s="31" t="inlineStr">
        <is>
          <t>otros</t>
        </is>
      </c>
      <c r="V281" s="20" t="inlineStr"/>
    </row>
    <row r="282" ht="46" customHeight="1">
      <c r="A282" s="23" t="inlineStr">
        <is>
          <t>Charlie Parker Jazz Festival - East Village</t>
        </is>
      </c>
      <c r="B282" s="24" t="inlineStr">
        <is>
          <t>Festival gratis</t>
        </is>
      </c>
      <c r="C282" s="25" t="inlineStr">
        <is>
          <t>Evento</t>
        </is>
      </c>
      <c r="D282" s="25" t="inlineStr">
        <is>
          <t>East Village</t>
        </is>
      </c>
      <c r="E282" s="25" t="inlineStr">
        <is>
          <t>Manhattan</t>
        </is>
      </c>
      <c r="F282" s="12" t="n">
        <v>0</v>
      </c>
      <c r="G282" s="12" t="n">
        <v>0</v>
      </c>
      <c r="H282" s="26">
        <f>IF(AND(F282=2,G282=2),"AMBOS",IF(AND(F282=2,G282&lt;2),"solo JP",IF(AND(F282&lt;2,G282=2),"solo Thais","-")))</f>
        <v/>
      </c>
      <c r="I282" s="27" t="n">
        <v>0</v>
      </c>
      <c r="J282" s="28" t="n">
        <v>4</v>
      </c>
      <c r="K282" s="26" t="inlineStr">
        <is>
          <t>no</t>
        </is>
      </c>
      <c r="L282" s="29" t="inlineStr">
        <is>
          <t>—</t>
        </is>
      </c>
      <c r="M282" s="25" t="inlineStr">
        <is>
          <t>—</t>
        </is>
      </c>
      <c r="N282" s="29" t="inlineStr">
        <is>
          <t>—</t>
        </is>
      </c>
      <c r="O282" s="29" t="inlineStr">
        <is>
          <t>—</t>
        </is>
      </c>
      <c r="P282" s="29" t="inlineStr">
        <is>
          <t>1 Av (L), Astor Pl (6)</t>
        </is>
      </c>
      <c r="Q282" s="29" t="inlineStr">
        <is>
          <t>DOMINGO 30 DE AGOSTO, 15-19h. Ravi Coltrane (headliner), Billy Hart Quartet, Kassa Overall, Vanisha Gould. Segundo dia del festival, en el East Village.</t>
        </is>
      </c>
      <c r="R282" s="29" t="inlineStr">
        <is>
          <t>Tompkins Square Park</t>
        </is>
      </c>
      <c r="S282" s="29" t="inlineStr">
        <is>
          <t>—</t>
        </is>
      </c>
      <c r="T282" s="30" t="inlineStr">
        <is>
          <t>Abrir ↗</t>
        </is>
      </c>
      <c r="U282" s="31" t="inlineStr">
        <is>
          <t>otros</t>
        </is>
      </c>
      <c r="V282" s="20" t="inlineStr"/>
    </row>
    <row r="283" ht="46" customHeight="1">
      <c r="A283" s="23" t="inlineStr">
        <is>
          <t>Charlie Parker Jazz Festival - Harlem</t>
        </is>
      </c>
      <c r="B283" s="24" t="inlineStr">
        <is>
          <t>Festival gratis</t>
        </is>
      </c>
      <c r="C283" s="25" t="inlineStr">
        <is>
          <t>Evento</t>
        </is>
      </c>
      <c r="D283" s="25" t="inlineStr">
        <is>
          <t>Harlem</t>
        </is>
      </c>
      <c r="E283" s="25" t="inlineStr">
        <is>
          <t>Manhattan</t>
        </is>
      </c>
      <c r="F283" s="12" t="n">
        <v>2</v>
      </c>
      <c r="G283" s="12" t="n">
        <v>2</v>
      </c>
      <c r="H283" s="26">
        <f>IF(AND(F283=2,G283=2),"AMBOS",IF(AND(F283=2,G283&lt;2),"solo JP",IF(AND(F283&lt;2,G283=2),"solo Thais","-")))</f>
        <v/>
      </c>
      <c r="I283" s="27" t="n">
        <v>0</v>
      </c>
      <c r="J283" s="28" t="n">
        <v>4</v>
      </c>
      <c r="K283" s="26" t="inlineStr">
        <is>
          <t>no</t>
        </is>
      </c>
      <c r="L283" s="29" t="inlineStr">
        <is>
          <t>—</t>
        </is>
      </c>
      <c r="M283" s="25" t="inlineStr">
        <is>
          <t>—</t>
        </is>
      </c>
      <c r="N283" s="29" t="inlineStr">
        <is>
          <t>—</t>
        </is>
      </c>
      <c r="O283" s="29" t="inlineStr">
        <is>
          <t>—</t>
        </is>
      </c>
      <c r="P283" s="29" t="inlineStr">
        <is>
          <t>125 St (2,3)</t>
        </is>
      </c>
      <c r="Q283" s="29" t="inlineStr">
        <is>
          <t>SABADO 29 DE AGOSTO, 14-19h. Joshua Redman (headliner), Nat Adderley Jr., Catherine Russell, Nicole Glover. Gratis, al aire libre, con el mismo nivel artistico que se paga $60-80 en un club. Llevar manta y llegar 1-2 h antes del headliner.</t>
        </is>
      </c>
      <c r="R283" s="29" t="inlineStr">
        <is>
          <t>Marcus Garvey Park, Harlem</t>
        </is>
      </c>
      <c r="S283" s="17" t="inlineStr">
        <is>
          <t>Día 1 · sáb 29/8</t>
        </is>
      </c>
      <c r="T283" s="30" t="inlineStr">
        <is>
          <t>Abrir ↗</t>
        </is>
      </c>
      <c r="U283" s="31" t="inlineStr">
        <is>
          <t>otros</t>
        </is>
      </c>
      <c r="V283" s="20" t="inlineStr">
        <is>
          <t>SÍ</t>
        </is>
      </c>
    </row>
    <row r="284" ht="46" customHeight="1">
      <c r="A284" s="23" t="inlineStr">
        <is>
          <t>SummerStage: Christian McBride (gratis)</t>
        </is>
      </c>
      <c r="B284" s="24" t="inlineStr">
        <is>
          <t>Festival gratis</t>
        </is>
      </c>
      <c r="C284" s="25" t="inlineStr">
        <is>
          <t>Evento</t>
        </is>
      </c>
      <c r="D284" s="25" t="inlineStr">
        <is>
          <t>Central Park</t>
        </is>
      </c>
      <c r="E284" s="25" t="inlineStr">
        <is>
          <t>Manhattan</t>
        </is>
      </c>
      <c r="F284" s="12" t="n">
        <v>2</v>
      </c>
      <c r="G284" s="12" t="n">
        <v>0</v>
      </c>
      <c r="H284" s="26">
        <f>IF(AND(F284=2,G284=2),"AMBOS",IF(AND(F284=2,G284&lt;2),"solo JP",IF(AND(F284&lt;2,G284=2),"solo Thais","-")))</f>
        <v/>
      </c>
      <c r="I284" s="27" t="n">
        <v>0</v>
      </c>
      <c r="J284" s="28" t="n">
        <v>3</v>
      </c>
      <c r="K284" s="26" t="inlineStr">
        <is>
          <t>no</t>
        </is>
      </c>
      <c r="L284" s="29" t="inlineStr">
        <is>
          <t>—</t>
        </is>
      </c>
      <c r="M284" s="25" t="inlineStr">
        <is>
          <t>—</t>
        </is>
      </c>
      <c r="N284" s="29" t="inlineStr">
        <is>
          <t>—</t>
        </is>
      </c>
      <c r="O284" s="29" t="inlineStr">
        <is>
          <t>—</t>
        </is>
      </c>
      <c r="P284" s="29" t="inlineStr">
        <is>
          <t>72 St (B,C)</t>
        </is>
      </c>
      <c r="Q284" s="29" t="inlineStr">
        <is>
          <t>MIERCOLES 2 DE SEPTIEMBRE. Christian McBride + SAMARA JOY (Verve 70 aniversario) + Mei Semones &amp; Friends tocando Getz/Gilberto. Puertas 18:00, show 19:00-22:00. Gratis, sin ticket, por orden de llegada: con ese cartel hay que llegar bastante antes de las 18:00.</t>
        </is>
      </c>
      <c r="R284" s="29" t="inlineStr">
        <is>
          <t>Rumsey Playfield, Central Park</t>
        </is>
      </c>
      <c r="S284" s="17" t="inlineStr">
        <is>
          <t>Día 5 · mié 2/9</t>
        </is>
      </c>
      <c r="T284" s="30" t="inlineStr">
        <is>
          <t>Abrir ↗</t>
        </is>
      </c>
      <c r="U284" s="31" t="inlineStr">
        <is>
          <t>otros</t>
        </is>
      </c>
      <c r="V284" s="20" t="inlineStr">
        <is>
          <t>SÍ</t>
        </is>
      </c>
    </row>
    <row r="285" ht="46" customHeight="1">
      <c r="A285" s="23" t="inlineStr">
        <is>
          <t>NY Caribbean Carnival Week (Panorama)</t>
        </is>
      </c>
      <c r="B285" s="24" t="inlineStr">
        <is>
          <t>Festival pago</t>
        </is>
      </c>
      <c r="C285" s="25" t="inlineStr">
        <is>
          <t>Evento</t>
        </is>
      </c>
      <c r="D285" s="25" t="inlineStr">
        <is>
          <t>Prospect Heights</t>
        </is>
      </c>
      <c r="E285" s="25" t="inlineStr">
        <is>
          <t>Brooklyn</t>
        </is>
      </c>
      <c r="F285" s="12" t="n">
        <v>1</v>
      </c>
      <c r="G285" s="12" t="n">
        <v>1</v>
      </c>
      <c r="H285" s="26">
        <f>IF(AND(F285=2,G285=2),"AMBOS",IF(AND(F285=2,G285&lt;2),"solo JP",IF(AND(F285&lt;2,G285=2),"solo Thais","-")))</f>
        <v/>
      </c>
      <c r="I285" s="27" t="n">
        <v>30</v>
      </c>
      <c r="J285" s="28" t="n">
        <v>4</v>
      </c>
      <c r="K285" s="26" t="inlineStr">
        <is>
          <t>no</t>
        </is>
      </c>
      <c r="L285" s="29" t="inlineStr">
        <is>
          <t>—</t>
        </is>
      </c>
      <c r="M285" s="25" t="inlineStr">
        <is>
          <t>—</t>
        </is>
      </c>
      <c r="N285" s="29" t="inlineStr">
        <is>
          <t>—</t>
        </is>
      </c>
      <c r="O285" s="29" t="inlineStr">
        <is>
          <t>—</t>
        </is>
      </c>
      <c r="P285" s="29" t="inlineStr">
        <is>
          <t>Eastern Pkwy-Brooklyn Museum (2,3)</t>
        </is>
      </c>
      <c r="Q285" s="29" t="inlineStr">
        <is>
          <t>Del 3 al 7 de septiembre en el Brooklyn Museum: Blocko Mania (jue 3), Soca Fest (vie 4), Junior Carnival y Panorama (sab 5 / dom 6). El Panorama es la competencia de steel pan mas grande de Norteamerica. Fechas de fuente secundaria: VERIFICAR.</t>
        </is>
      </c>
      <c r="R285" s="29" t="inlineStr">
        <is>
          <t>Brooklyn Museum, 200 Eastern Pkwy</t>
        </is>
      </c>
      <c r="S285" s="29" t="inlineStr">
        <is>
          <t>—</t>
        </is>
      </c>
      <c r="T285" s="30" t="inlineStr">
        <is>
          <t>Abrir ↗</t>
        </is>
      </c>
      <c r="U285" s="31" t="inlineStr">
        <is>
          <t>otros</t>
        </is>
      </c>
      <c r="V285" s="20" t="inlineStr"/>
    </row>
    <row r="286" ht="46" customHeight="1">
      <c r="A286" s="23" t="inlineStr">
        <is>
          <t>Paint 'N Pour</t>
        </is>
      </c>
      <c r="B286" s="24" t="inlineStr">
        <is>
          <t>Taller y experiencia</t>
        </is>
      </c>
      <c r="C286" s="25" t="inlineStr">
        <is>
          <t>Evento</t>
        </is>
      </c>
      <c r="D286" s="25" t="inlineStr">
        <is>
          <t>Manhattan</t>
        </is>
      </c>
      <c r="E286" s="25" t="inlineStr">
        <is>
          <t>Manhattan</t>
        </is>
      </c>
      <c r="F286" s="12" t="n">
        <v>1</v>
      </c>
      <c r="G286" s="12" t="n">
        <v>1</v>
      </c>
      <c r="H286" s="26">
        <f>IF(AND(F286=2,G286=2),"AMBOS",IF(AND(F286=2,G286&lt;2),"solo JP",IF(AND(F286&lt;2,G286=2),"solo Thais","-")))</f>
        <v/>
      </c>
      <c r="I286" s="27" t="n">
        <v>45</v>
      </c>
      <c r="J286" s="28" t="n">
        <v>2</v>
      </c>
      <c r="K286" s="26" t="inlineStr">
        <is>
          <t>no</t>
        </is>
      </c>
      <c r="L286" s="29" t="inlineStr">
        <is>
          <t>—</t>
        </is>
      </c>
      <c r="M286" s="25" t="inlineStr">
        <is>
          <t>—</t>
        </is>
      </c>
      <c r="N286" s="29" t="inlineStr">
        <is>
          <t>—</t>
        </is>
      </c>
      <c r="O286" s="29" t="inlineStr">
        <is>
          <t>—</t>
        </is>
      </c>
      <c r="P286" s="29" t="inlineStr">
        <is>
          <t>-</t>
        </is>
      </c>
      <c r="Q286" s="29" t="inlineStr">
        <is>
          <t>Taller de pintura con copa de vino. Se reserva por sesión.</t>
        </is>
      </c>
      <c r="R286" s="29" t="inlineStr"/>
      <c r="S286" s="29" t="inlineStr">
        <is>
          <t>—</t>
        </is>
      </c>
      <c r="T286" s="30" t="inlineStr">
        <is>
          <t>Abrir ↗</t>
        </is>
      </c>
      <c r="U286" s="32" t="inlineStr">
        <is>
          <t>lista google</t>
        </is>
      </c>
      <c r="V286" s="20" t="inlineStr"/>
    </row>
    <row r="287" ht="46" customHeight="1">
      <c r="A287" s="23" t="inlineStr">
        <is>
          <t>Time To Paint - Painting Studio</t>
        </is>
      </c>
      <c r="B287" s="24" t="inlineStr">
        <is>
          <t>Taller y experiencia</t>
        </is>
      </c>
      <c r="C287" s="25" t="inlineStr">
        <is>
          <t>Evento</t>
        </is>
      </c>
      <c r="D287" s="25" t="inlineStr">
        <is>
          <t>Manhattan</t>
        </is>
      </c>
      <c r="E287" s="25" t="inlineStr">
        <is>
          <t>Manhattan</t>
        </is>
      </c>
      <c r="F287" s="12" t="n">
        <v>1</v>
      </c>
      <c r="G287" s="12" t="n">
        <v>1</v>
      </c>
      <c r="H287" s="26">
        <f>IF(AND(F287=2,G287=2),"AMBOS",IF(AND(F287=2,G287&lt;2),"solo JP",IF(AND(F287&lt;2,G287=2),"solo Thais","-")))</f>
        <v/>
      </c>
      <c r="I287" s="27" t="n">
        <v>45</v>
      </c>
      <c r="J287" s="28" t="n">
        <v>2</v>
      </c>
      <c r="K287" s="26" t="inlineStr">
        <is>
          <t>no</t>
        </is>
      </c>
      <c r="L287" s="29" t="inlineStr">
        <is>
          <t>—</t>
        </is>
      </c>
      <c r="M287" s="25" t="inlineStr">
        <is>
          <t>—</t>
        </is>
      </c>
      <c r="N287" s="29" t="inlineStr">
        <is>
          <t>—</t>
        </is>
      </c>
      <c r="O287" s="29" t="inlineStr">
        <is>
          <t>—</t>
        </is>
      </c>
      <c r="P287" s="29" t="inlineStr">
        <is>
          <t>-</t>
        </is>
      </c>
      <c r="Q287" s="29" t="inlineStr">
        <is>
          <t>Estudio para pintar por sesión, mismo formato que Paint 'N Pour.</t>
        </is>
      </c>
      <c r="R287" s="29" t="inlineStr"/>
      <c r="S287" s="29" t="inlineStr">
        <is>
          <t>—</t>
        </is>
      </c>
      <c r="T287" s="30" t="inlineStr">
        <is>
          <t>Abrir ↗</t>
        </is>
      </c>
      <c r="U287" s="32" t="inlineStr">
        <is>
          <t>lista google</t>
        </is>
      </c>
      <c r="V287" s="20" t="inlineStr"/>
    </row>
    <row r="288" ht="46" customHeight="1">
      <c r="A288" s="23" t="inlineStr">
        <is>
          <t>Green-Wood Discover Trolley Tour</t>
        </is>
      </c>
      <c r="B288" s="24" t="inlineStr">
        <is>
          <t>Tour guiado</t>
        </is>
      </c>
      <c r="C288" s="25" t="inlineStr">
        <is>
          <t>Evento</t>
        </is>
      </c>
      <c r="D288" s="25" t="inlineStr">
        <is>
          <t>Greenwood Heights</t>
        </is>
      </c>
      <c r="E288" s="25" t="inlineStr">
        <is>
          <t>Brooklyn</t>
        </is>
      </c>
      <c r="F288" s="12" t="n">
        <v>0</v>
      </c>
      <c r="G288" s="12" t="n">
        <v>0</v>
      </c>
      <c r="H288" s="26">
        <f>IF(AND(F288=2,G288=2),"AMBOS",IF(AND(F288=2,G288&lt;2),"solo JP",IF(AND(F288&lt;2,G288=2),"solo Thais","-")))</f>
        <v/>
      </c>
      <c r="I288" s="27" t="n">
        <v>25</v>
      </c>
      <c r="J288" s="28" t="n">
        <v>2</v>
      </c>
      <c r="K288" s="26" t="inlineStr">
        <is>
          <t>no</t>
        </is>
      </c>
      <c r="L288" s="29" t="inlineStr">
        <is>
          <t>—</t>
        </is>
      </c>
      <c r="M288" s="25" t="inlineStr">
        <is>
          <t>—</t>
        </is>
      </c>
      <c r="N288" s="29" t="inlineStr">
        <is>
          <t>—</t>
        </is>
      </c>
      <c r="O288" s="29" t="inlineStr">
        <is>
          <t>reservar</t>
        </is>
      </c>
      <c r="P288" s="29" t="inlineStr">
        <is>
          <t>25 St (R)</t>
        </is>
      </c>
      <c r="Q288" s="29" t="inlineStr">
        <is>
          <t>SABADO 29 DE AGOSTO y SABADO 5 DE SEPTIEMBRE, 13-15h. Recorrido en trolley por las 190 hectareas con guia. Es la forma de ver el cementerio entero sin caminar seis horas.</t>
        </is>
      </c>
      <c r="R288" s="29" t="inlineStr">
        <is>
          <t>500 25th St, Brooklyn</t>
        </is>
      </c>
      <c r="S288" s="29" t="inlineStr">
        <is>
          <t>—</t>
        </is>
      </c>
      <c r="T288" s="30" t="inlineStr">
        <is>
          <t>Abrir ↗</t>
        </is>
      </c>
      <c r="U288" s="31" t="inlineStr">
        <is>
          <t>otros</t>
        </is>
      </c>
      <c r="V288" s="20" t="inlineStr"/>
    </row>
    <row r="289" ht="46" customHeight="1">
      <c r="A289" s="23" t="inlineStr">
        <is>
          <t>Hamilton</t>
        </is>
      </c>
      <c r="B289" s="24" t="inlineStr">
        <is>
          <t>Musical de Broadway</t>
        </is>
      </c>
      <c r="C289" s="25" t="inlineStr">
        <is>
          <t>Teatro</t>
        </is>
      </c>
      <c r="D289" s="25" t="inlineStr">
        <is>
          <t>Theater District</t>
        </is>
      </c>
      <c r="E289" s="25" t="inlineStr">
        <is>
          <t>Manhattan</t>
        </is>
      </c>
      <c r="F289" s="12" t="n">
        <v>0</v>
      </c>
      <c r="G289" s="12" t="n">
        <v>0</v>
      </c>
      <c r="H289" s="26">
        <f>IF(AND(F289=2,G289=2),"AMBOS",IF(AND(F289=2,G289&lt;2),"solo JP",IF(AND(F289&lt;2,G289=2),"solo Thais","-")))</f>
        <v/>
      </c>
      <c r="I289" s="27" t="n">
        <v>112</v>
      </c>
      <c r="J289" s="28" t="n">
        <v>3</v>
      </c>
      <c r="K289" s="26" t="inlineStr">
        <is>
          <t>SÍ</t>
        </is>
      </c>
      <c r="L289" s="29" t="inlineStr">
        <is>
          <t>—</t>
        </is>
      </c>
      <c r="M289" s="25" t="inlineStr">
        <is>
          <t>—</t>
        </is>
      </c>
      <c r="N289" s="29" t="inlineStr">
        <is>
          <t>—</t>
        </is>
      </c>
      <c r="O289" s="29" t="inlineStr">
        <is>
          <t>—</t>
        </is>
      </c>
      <c r="P289" s="29" t="inlineStr">
        <is>
          <t>50 St (1), 49 St (N,R,W)</t>
        </is>
      </c>
      <c r="Q289" s="29" t="inlineStr">
        <is>
          <t>Sigue siendo el show mas dificil de conseguir barato, pero la loteria de $10 es gratis de intentar y asigna butacas de primera fila. Anotarse todos los dias desde ya.</t>
        </is>
      </c>
      <c r="R289" s="29" t="inlineStr">
        <is>
          <t>Richard Rodgers Theatre, 226 W 46th St</t>
        </is>
      </c>
      <c r="S289" s="29" t="inlineStr">
        <is>
          <t>—</t>
        </is>
      </c>
      <c r="T289" s="30" t="inlineStr">
        <is>
          <t>Abrir ↗</t>
        </is>
      </c>
      <c r="U289" s="31" t="inlineStr">
        <is>
          <t>otros</t>
        </is>
      </c>
      <c r="V289" s="20" t="inlineStr"/>
    </row>
    <row r="290" ht="46" customHeight="1">
      <c r="A290" s="23" t="inlineStr">
        <is>
          <t>Maybe Happy Ending</t>
        </is>
      </c>
      <c r="B290" s="24" t="inlineStr">
        <is>
          <t>Musical de Broadway</t>
        </is>
      </c>
      <c r="C290" s="25" t="inlineStr">
        <is>
          <t>Teatro</t>
        </is>
      </c>
      <c r="D290" s="25" t="inlineStr">
        <is>
          <t>Theater District</t>
        </is>
      </c>
      <c r="E290" s="25" t="inlineStr">
        <is>
          <t>Manhattan</t>
        </is>
      </c>
      <c r="F290" s="12" t="n">
        <v>0</v>
      </c>
      <c r="G290" s="12" t="n">
        <v>0</v>
      </c>
      <c r="H290" s="26">
        <f>IF(AND(F290=2,G290=2),"AMBOS",IF(AND(F290=2,G290&lt;2),"solo JP",IF(AND(F290&lt;2,G290=2),"solo Thais","-")))</f>
        <v/>
      </c>
      <c r="I290" s="27" t="n">
        <v>59</v>
      </c>
      <c r="J290" s="28" t="n">
        <v>2.5</v>
      </c>
      <c r="K290" s="26" t="inlineStr">
        <is>
          <t>no</t>
        </is>
      </c>
      <c r="L290" s="29" t="inlineStr">
        <is>
          <t>—</t>
        </is>
      </c>
      <c r="M290" s="25" t="inlineStr">
        <is>
          <t>—</t>
        </is>
      </c>
      <c r="N290" s="29" t="inlineStr">
        <is>
          <t>—</t>
        </is>
      </c>
      <c r="O290" s="29" t="inlineStr">
        <is>
          <t>—</t>
        </is>
      </c>
      <c r="P290" s="29" t="inlineStr">
        <is>
          <t>49 St (N,R,W)</t>
        </is>
      </c>
      <c r="Q290" s="29" t="inlineStr">
        <is>
          <t>Musical sobre dos robots obsoletos en Seul. Es la mejor relacion calidad/precio de la cartelera actual y la loteria de $20 es de las mas accesibles.</t>
        </is>
      </c>
      <c r="R290" s="29" t="inlineStr">
        <is>
          <t>Belasco Theatre, 111 W 44th St</t>
        </is>
      </c>
      <c r="S290" s="29" t="inlineStr">
        <is>
          <t>—</t>
        </is>
      </c>
      <c r="T290" s="30" t="inlineStr">
        <is>
          <t>Abrir ↗</t>
        </is>
      </c>
      <c r="U290" s="31" t="inlineStr">
        <is>
          <t>otros</t>
        </is>
      </c>
      <c r="V290" s="20" t="inlineStr"/>
    </row>
    <row r="291" ht="46" customHeight="1">
      <c r="A291" s="23" t="inlineStr">
        <is>
          <t>Moulin Rouge! (ULTIMAS FUNCIONES)</t>
        </is>
      </c>
      <c r="B291" s="24" t="inlineStr">
        <is>
          <t>Musical de Broadway</t>
        </is>
      </c>
      <c r="C291" s="25" t="inlineStr">
        <is>
          <t>Teatro</t>
        </is>
      </c>
      <c r="D291" s="25" t="inlineStr">
        <is>
          <t>Theater District</t>
        </is>
      </c>
      <c r="E291" s="25" t="inlineStr">
        <is>
          <t>Manhattan</t>
        </is>
      </c>
      <c r="F291" s="12" t="n">
        <v>1</v>
      </c>
      <c r="G291" s="12" t="n">
        <v>1</v>
      </c>
      <c r="H291" s="26">
        <f>IF(AND(F291=2,G291=2),"AMBOS",IF(AND(F291=2,G291&lt;2),"solo JP",IF(AND(F291&lt;2,G291=2),"solo Thais","-")))</f>
        <v/>
      </c>
      <c r="I291" s="27" t="n">
        <v>90</v>
      </c>
      <c r="J291" s="28" t="n">
        <v>3</v>
      </c>
      <c r="K291" s="26" t="inlineStr">
        <is>
          <t>no</t>
        </is>
      </c>
      <c r="L291" s="29" t="inlineStr">
        <is>
          <t>—</t>
        </is>
      </c>
      <c r="M291" s="25" t="inlineStr">
        <is>
          <t>—</t>
        </is>
      </c>
      <c r="N291" s="29" t="inlineStr">
        <is>
          <t>—</t>
        </is>
      </c>
      <c r="O291" s="29" t="inlineStr">
        <is>
          <t>urgente si lo quieren</t>
        </is>
      </c>
      <c r="P291" s="29" t="inlineStr">
        <is>
          <t>42 St-Port Authority (A,C,E)</t>
        </is>
      </c>
      <c r="Q291" s="29" t="inlineStr">
        <is>
          <t>CIERRA EL 30 DE AGOSTO DE 2026 (ya postergo el cierre una vez, de julio a agosto: puede volver a extender). Las dos ultimas funciones caen en el fin de semana de llegada, con demanda y precios en pico. Aaron Tveit protagoniza del 18 al 29 de agosto.</t>
        </is>
      </c>
      <c r="R291" s="29" t="inlineStr">
        <is>
          <t>Al Hirschfeld Theatre, 302 W 45th St</t>
        </is>
      </c>
      <c r="S291" s="29" t="inlineStr">
        <is>
          <t>—</t>
        </is>
      </c>
      <c r="T291" s="30" t="inlineStr">
        <is>
          <t>Abrir ↗</t>
        </is>
      </c>
      <c r="U291" s="31" t="inlineStr">
        <is>
          <t>otros</t>
        </is>
      </c>
      <c r="V291" s="20" t="inlineStr"/>
    </row>
    <row r="292" ht="46" customHeight="1">
      <c r="A292" s="23" t="inlineStr">
        <is>
          <t>Operation Mincemeat</t>
        </is>
      </c>
      <c r="B292" s="24" t="inlineStr">
        <is>
          <t>Musical de Broadway</t>
        </is>
      </c>
      <c r="C292" s="25" t="inlineStr">
        <is>
          <t>Teatro</t>
        </is>
      </c>
      <c r="D292" s="25" t="inlineStr">
        <is>
          <t>Theater District</t>
        </is>
      </c>
      <c r="E292" s="25" t="inlineStr">
        <is>
          <t>Manhattan</t>
        </is>
      </c>
      <c r="F292" s="12" t="n">
        <v>0</v>
      </c>
      <c r="G292" s="12" t="n">
        <v>0</v>
      </c>
      <c r="H292" s="26">
        <f>IF(AND(F292=2,G292=2),"AMBOS",IF(AND(F292=2,G292&lt;2),"solo JP",IF(AND(F292&lt;2,G292=2),"solo Thais","-")))</f>
        <v/>
      </c>
      <c r="I292" s="27" t="n">
        <v>63</v>
      </c>
      <c r="J292" s="28" t="n">
        <v>2.5</v>
      </c>
      <c r="K292" s="26" t="inlineStr">
        <is>
          <t>no</t>
        </is>
      </c>
      <c r="L292" s="29" t="inlineStr">
        <is>
          <t>—</t>
        </is>
      </c>
      <c r="M292" s="25" t="inlineStr">
        <is>
          <t>—</t>
        </is>
      </c>
      <c r="N292" s="29" t="inlineStr">
        <is>
          <t>—</t>
        </is>
      </c>
      <c r="O292" s="29" t="inlineStr">
        <is>
          <t>—</t>
        </is>
      </c>
      <c r="P292" s="29" t="inlineStr">
        <is>
          <t>49 St (N,R,W)</t>
        </is>
      </c>
      <c r="Q292" s="29" t="inlineStr">
        <is>
          <t>Comedia musical britanica sobre una operacion de contrainteligencia real de la Segunda Guerra. Cinco actores haciendo ochenta personajes. Muy bien recibida y mas barata que los grandes musicales.</t>
        </is>
      </c>
      <c r="R292" s="29" t="inlineStr">
        <is>
          <t>John Golden Theatre, 252 W 45th St</t>
        </is>
      </c>
      <c r="S292" s="29" t="inlineStr">
        <is>
          <t>—</t>
        </is>
      </c>
      <c r="T292" s="30" t="inlineStr">
        <is>
          <t>Abrir ↗</t>
        </is>
      </c>
      <c r="U292" s="31" t="inlineStr">
        <is>
          <t>otros</t>
        </is>
      </c>
      <c r="V292" s="20" t="inlineStr"/>
    </row>
    <row r="293" ht="46" customHeight="1">
      <c r="A293" s="23" t="inlineStr">
        <is>
          <t>Little Shop of Horrors (Off-Broadway)</t>
        </is>
      </c>
      <c r="B293" s="24" t="inlineStr">
        <is>
          <t>Off-Broadway</t>
        </is>
      </c>
      <c r="C293" s="25" t="inlineStr">
        <is>
          <t>Teatro</t>
        </is>
      </c>
      <c r="D293" s="25" t="inlineStr">
        <is>
          <t>Theater District</t>
        </is>
      </c>
      <c r="E293" s="25" t="inlineStr">
        <is>
          <t>Manhattan</t>
        </is>
      </c>
      <c r="F293" s="12" t="n">
        <v>0</v>
      </c>
      <c r="G293" s="12" t="n">
        <v>0</v>
      </c>
      <c r="H293" s="26">
        <f>IF(AND(F293=2,G293=2),"AMBOS",IF(AND(F293=2,G293&lt;2),"solo JP",IF(AND(F293&lt;2,G293=2),"solo Thais","-")))</f>
        <v/>
      </c>
      <c r="I293" s="27" t="n">
        <v>40</v>
      </c>
      <c r="J293" s="28" t="n">
        <v>2</v>
      </c>
      <c r="K293" s="26" t="inlineStr">
        <is>
          <t>no</t>
        </is>
      </c>
      <c r="L293" s="29" t="inlineStr">
        <is>
          <t>—</t>
        </is>
      </c>
      <c r="M293" s="25" t="inlineStr">
        <is>
          <t>—</t>
        </is>
      </c>
      <c r="N293" s="29" t="inlineStr">
        <is>
          <t>—</t>
        </is>
      </c>
      <c r="O293" s="29" t="inlineStr">
        <is>
          <t>—</t>
        </is>
      </c>
      <c r="P293" s="29" t="inlineStr">
        <is>
          <t>50 St (C,E)</t>
        </is>
      </c>
      <c r="Q293" s="29" t="inlineStr">
        <is>
          <t>Sala chica, produccion excelente, y a un cuarto del precio de un musical grande. Off-Broadway hecho bien.</t>
        </is>
      </c>
      <c r="R293" s="29" t="inlineStr">
        <is>
          <t>Westside Theatre, 407 W 43rd St</t>
        </is>
      </c>
      <c r="S293" s="29" t="inlineStr">
        <is>
          <t>—</t>
        </is>
      </c>
      <c r="T293" s="30" t="inlineStr">
        <is>
          <t>Abrir ↗</t>
        </is>
      </c>
      <c r="U293" s="31" t="inlineStr">
        <is>
          <t>otros</t>
        </is>
      </c>
      <c r="V293" s="20" t="inlineStr"/>
    </row>
    <row r="294" ht="46" customHeight="1">
      <c r="A294" s="23" t="inlineStr">
        <is>
          <t>Stranger Things: The First Shadow (play)</t>
        </is>
      </c>
      <c r="B294" s="24" t="inlineStr">
        <is>
          <t>Play de Broadway</t>
        </is>
      </c>
      <c r="C294" s="25" t="inlineStr">
        <is>
          <t>Teatro</t>
        </is>
      </c>
      <c r="D294" s="25" t="inlineStr">
        <is>
          <t>Midtown</t>
        </is>
      </c>
      <c r="E294" s="25" t="inlineStr">
        <is>
          <t>Manhattan</t>
        </is>
      </c>
      <c r="F294" s="12" t="n">
        <v>2</v>
      </c>
      <c r="G294" s="12" t="n">
        <v>2</v>
      </c>
      <c r="H294" s="26">
        <f>IF(AND(F294=2,G294=2),"AMBOS",IF(AND(F294=2,G294&lt;2),"solo JP",IF(AND(F294&lt;2,G294=2),"solo Thais","-")))</f>
        <v/>
      </c>
      <c r="I294" s="27" t="n">
        <v>90</v>
      </c>
      <c r="J294" s="28" t="n">
        <v>2.5</v>
      </c>
      <c r="K294" s="26" t="inlineStr">
        <is>
          <t>SÍ</t>
        </is>
      </c>
      <c r="L294" s="29" t="inlineStr">
        <is>
          <t>—</t>
        </is>
      </c>
      <c r="M294" s="25" t="inlineStr">
        <is>
          <t>—</t>
        </is>
      </c>
      <c r="N294" s="29" t="inlineStr">
        <is>
          <t>—</t>
        </is>
      </c>
      <c r="O294" s="29" t="inlineStr">
        <is>
          <t>compra firme esta semana - verificar horario de funcion (19:00/19:30/20:00)</t>
        </is>
      </c>
      <c r="P294" s="29" t="inlineStr">
        <is>
          <t>Times Sq-42 St</t>
        </is>
      </c>
      <c r="Q294" s="29" t="inlineStr">
        <is>
          <t>EL play-espectaculo de Broadway: la precuela de Stranger Things con la maquinaria escenica que gano el Tony. Para quien viene de Mercer Labs, es el mismo musculo llevado al teatro.</t>
        </is>
      </c>
      <c r="R294" s="29" t="inlineStr">
        <is>
          <t>Marquis Theatre, 210 W 46th St</t>
        </is>
      </c>
      <c r="S294" s="17" t="inlineStr">
        <is>
          <t>Día 8 · sáb 5/9</t>
        </is>
      </c>
      <c r="T294" s="30" t="inlineStr">
        <is>
          <t>Abrir ↗</t>
        </is>
      </c>
      <c r="U294" s="31" t="inlineStr">
        <is>
          <t>otros</t>
        </is>
      </c>
      <c r="V294" s="20" t="inlineStr"/>
    </row>
    <row r="295" ht="46" customHeight="1">
      <c r="A295" s="23" t="inlineStr">
        <is>
          <t>TKTS Lincoln Center</t>
        </is>
      </c>
      <c r="B295" s="24" t="inlineStr">
        <is>
          <t>Tickets con descuento</t>
        </is>
      </c>
      <c r="C295" s="25" t="inlineStr">
        <is>
          <t>Teatro</t>
        </is>
      </c>
      <c r="D295" s="25" t="inlineStr">
        <is>
          <t>Lincoln Square</t>
        </is>
      </c>
      <c r="E295" s="25" t="inlineStr">
        <is>
          <t>Manhattan</t>
        </is>
      </c>
      <c r="F295" s="12" t="n">
        <v>0</v>
      </c>
      <c r="G295" s="12" t="n">
        <v>0</v>
      </c>
      <c r="H295" s="26">
        <f>IF(AND(F295=2,G295=2),"AMBOS",IF(AND(F295=2,G295&lt;2),"solo JP",IF(AND(F295&lt;2,G295=2),"solo Thais","-")))</f>
        <v/>
      </c>
      <c r="I295" s="27" t="n">
        <v>0</v>
      </c>
      <c r="J295" s="28" t="n">
        <v>0.75</v>
      </c>
      <c r="K295" s="26" t="inlineStr">
        <is>
          <t>no</t>
        </is>
      </c>
      <c r="L295" s="29" t="inlineStr">
        <is>
          <t>lunes: cerrado · martes a sábado: 11:00–18:00 · domingo: cerrado</t>
        </is>
      </c>
      <c r="M295" s="25" t="inlineStr">
        <is>
          <t>lunes y domingos</t>
        </is>
      </c>
      <c r="N295" s="29" t="inlineStr">
        <is>
          <t>—</t>
        </is>
      </c>
      <c r="O295" s="29" t="inlineStr">
        <is>
          <t>—</t>
        </is>
      </c>
      <c r="P295" s="29" t="inlineStr">
        <is>
          <t>66 St-Lincoln Center (1)</t>
        </is>
      </c>
      <c r="Q295" s="29" t="inlineStr">
        <is>
          <t>Mismo inventario que el booth de Times Square y casi siempre sin cola. Mar-sab 11-18h. Usar la app de TKTS para ver el inventario en tiempo real ANTES de ir. A 10 cuadras del hotel The Beacon.</t>
        </is>
      </c>
      <c r="R295" s="29" t="inlineStr">
        <is>
          <t>61 W 62nd St</t>
        </is>
      </c>
      <c r="S295" s="29" t="inlineStr">
        <is>
          <t>—</t>
        </is>
      </c>
      <c r="T295" s="30" t="inlineStr">
        <is>
          <t>Abrir ↗</t>
        </is>
      </c>
      <c r="U295" s="32" t="inlineStr">
        <is>
          <t>lista google</t>
        </is>
      </c>
      <c r="V295" s="20" t="inlineStr"/>
    </row>
    <row r="296" ht="46" customHeight="1">
      <c r="A296" s="9" t="inlineStr">
        <is>
          <t>NYC Ferry DUMBO → Wall St</t>
        </is>
      </c>
      <c r="B296" s="10" t="inlineStr">
        <is>
          <t>Ferry y teleférico</t>
        </is>
      </c>
      <c r="C296" s="11" t="inlineStr">
        <is>
          <t>Logística</t>
        </is>
      </c>
      <c r="D296" s="11" t="inlineStr">
        <is>
          <t>East River</t>
        </is>
      </c>
      <c r="E296" s="11" t="inlineStr">
        <is>
          <t>Manhattan</t>
        </is>
      </c>
      <c r="F296" s="12" t="n">
        <v>1</v>
      </c>
      <c r="G296" s="12" t="n">
        <v>1</v>
      </c>
      <c r="H296" s="13">
        <f>IF(AND(F296=2,G296=2),"AMBOS",IF(AND(F296=2,G296&lt;2),"solo JP",IF(AND(F296&lt;2,G296=2),"solo Thais","-")))</f>
        <v/>
      </c>
      <c r="I296" s="14" t="n">
        <v>4</v>
      </c>
      <c r="J296" s="15" t="n">
        <v>0.5</v>
      </c>
      <c r="K296" s="13" t="inlineStr">
        <is>
          <t>no</t>
        </is>
      </c>
      <c r="L296" s="16" t="inlineStr">
        <is>
          <t>—</t>
        </is>
      </c>
      <c r="M296" s="11" t="inlineStr">
        <is>
          <t>—</t>
        </is>
      </c>
      <c r="N296" s="16" t="inlineStr">
        <is>
          <t>—</t>
        </is>
      </c>
      <c r="O296" s="16" t="inlineStr">
        <is>
          <t>—</t>
        </is>
      </c>
      <c r="P296" s="16" t="inlineStr">
        <is>
          <t>Pier 1 DUMBO / Pier 11 Wall St</t>
        </is>
      </c>
      <c r="Q296" s="16" t="inlineStr">
        <is>
          <t>$4,50 y cruza el East River con el puente de Brooklyn de frente: la vista del crucero turístico por precio de subte.</t>
        </is>
      </c>
      <c r="R296" s="16" t="inlineStr"/>
      <c r="S296" s="16" t="inlineStr">
        <is>
          <t>—</t>
        </is>
      </c>
      <c r="T296" s="18" t="inlineStr">
        <is>
          <t>Abrir ↗</t>
        </is>
      </c>
      <c r="U296" s="19" t="inlineStr">
        <is>
          <t>lista google</t>
        </is>
      </c>
      <c r="V296" s="20" t="inlineStr"/>
    </row>
    <row r="297" ht="46" customHeight="1">
      <c r="A297" s="9" t="inlineStr">
        <is>
          <t>Hotel Ink48 (29-31 ago)</t>
        </is>
      </c>
      <c r="B297" s="10" t="inlineStr">
        <is>
          <t>Hotel</t>
        </is>
      </c>
      <c r="C297" s="11" t="inlineStr">
        <is>
          <t>Logística</t>
        </is>
      </c>
      <c r="D297" s="11" t="inlineStr">
        <is>
          <t>Hell's Kitchen</t>
        </is>
      </c>
      <c r="E297" s="11" t="inlineStr">
        <is>
          <t>Manhattan</t>
        </is>
      </c>
      <c r="F297" s="12" t="n">
        <v>2</v>
      </c>
      <c r="G297" s="12" t="n">
        <v>2</v>
      </c>
      <c r="H297" s="13">
        <f>IF(AND(F297=2,G297=2),"AMBOS",IF(AND(F297=2,G297&lt;2),"solo JP",IF(AND(F297&lt;2,G297=2),"solo Thais","-")))</f>
        <v/>
      </c>
      <c r="I297" s="14" t="n">
        <v>0</v>
      </c>
      <c r="J297" s="15" t="n">
        <v>0</v>
      </c>
      <c r="K297" s="13" t="inlineStr">
        <is>
          <t>no</t>
        </is>
      </c>
      <c r="L297" s="16" t="inlineStr">
        <is>
          <t>—</t>
        </is>
      </c>
      <c r="M297" s="11" t="inlineStr">
        <is>
          <t>—</t>
        </is>
      </c>
      <c r="N297" s="16" t="inlineStr">
        <is>
          <t>—</t>
        </is>
      </c>
      <c r="O297" s="16" t="inlineStr">
        <is>
          <t>—</t>
        </is>
      </c>
      <c r="P297" s="16" t="inlineStr">
        <is>
          <t>50 St (C,E) a ~12 min caminando</t>
        </is>
      </c>
      <c r="Q297" s="16" t="inlineStr">
        <is>
          <t>Base 29-31 de agosto. Esta lejos del subte (12 min al este hasta la 8va Av). Cerca: Intrepid, High Line norte, Hudson Yards, Birdland.</t>
        </is>
      </c>
      <c r="R297" s="16" t="inlineStr">
        <is>
          <t>653 11th Ave</t>
        </is>
      </c>
      <c r="S297" s="17" t="inlineStr">
        <is>
          <t>Día 1 · sáb 29/8, Día 3 · lun 31/8</t>
        </is>
      </c>
      <c r="T297" s="18" t="inlineStr">
        <is>
          <t>Abrir ↗</t>
        </is>
      </c>
      <c r="U297" s="19" t="inlineStr">
        <is>
          <t>lista google</t>
        </is>
      </c>
      <c r="V297" s="20" t="inlineStr"/>
    </row>
    <row r="298" ht="46" customHeight="1">
      <c r="A298" s="9" t="inlineStr">
        <is>
          <t>Hotel The Beacon (3-6 sep)</t>
        </is>
      </c>
      <c r="B298" s="10" t="inlineStr">
        <is>
          <t>Hotel</t>
        </is>
      </c>
      <c r="C298" s="11" t="inlineStr">
        <is>
          <t>Logística</t>
        </is>
      </c>
      <c r="D298" s="11" t="inlineStr">
        <is>
          <t>Upper West Side</t>
        </is>
      </c>
      <c r="E298" s="11" t="inlineStr">
        <is>
          <t>Manhattan</t>
        </is>
      </c>
      <c r="F298" s="12" t="n">
        <v>2</v>
      </c>
      <c r="G298" s="12" t="n">
        <v>2</v>
      </c>
      <c r="H298" s="13">
        <f>IF(AND(F298=2,G298=2),"AMBOS",IF(AND(F298=2,G298&lt;2),"solo JP",IF(AND(F298&lt;2,G298=2),"solo Thais","-")))</f>
        <v/>
      </c>
      <c r="I298" s="14" t="n">
        <v>0</v>
      </c>
      <c r="J298" s="15" t="n">
        <v>0</v>
      </c>
      <c r="K298" s="13" t="inlineStr">
        <is>
          <t>no</t>
        </is>
      </c>
      <c r="L298" s="16" t="inlineStr">
        <is>
          <t>—</t>
        </is>
      </c>
      <c r="M298" s="11" t="inlineStr">
        <is>
          <t>—</t>
        </is>
      </c>
      <c r="N298" s="16" t="inlineStr">
        <is>
          <t>—</t>
        </is>
      </c>
      <c r="O298" s="16" t="inlineStr">
        <is>
          <t>—</t>
        </is>
      </c>
      <c r="P298" s="16" t="inlineStr">
        <is>
          <t>72 St (1,2,3) a 3 cuadras</t>
        </is>
      </c>
      <c r="Q298" s="16" t="inlineStr">
        <is>
          <t>Base 3-6 de septiembre. Ubicacion excelente: la 1/2/3 llega a Penn Station en 10 min. Cerca: Central Park, AMNH, TKTS Lincoln Center, Dizzy's.</t>
        </is>
      </c>
      <c r="R298" s="16" t="inlineStr">
        <is>
          <t>2130 Broadway</t>
        </is>
      </c>
      <c r="S298" s="17" t="inlineStr">
        <is>
          <t>Día 6 · jue 3/9, Día 9 · dom 6/9</t>
        </is>
      </c>
      <c r="T298" s="18" t="inlineStr">
        <is>
          <t>Abrir ↗</t>
        </is>
      </c>
      <c r="U298" s="19" t="inlineStr">
        <is>
          <t>lista google</t>
        </is>
      </c>
      <c r="V298" s="20" t="inlineStr"/>
    </row>
    <row r="299" ht="46" customHeight="1">
      <c r="A299" s="9" t="inlineStr">
        <is>
          <t>JGSTAY SoHo (JP: 31 ago-2 sep)</t>
        </is>
      </c>
      <c r="B299" s="10" t="inlineStr">
        <is>
          <t>Hotel</t>
        </is>
      </c>
      <c r="C299" s="11" t="inlineStr">
        <is>
          <t>Logística</t>
        </is>
      </c>
      <c r="D299" s="11" t="inlineStr">
        <is>
          <t>SoHo</t>
        </is>
      </c>
      <c r="E299" s="11" t="inlineStr">
        <is>
          <t>Manhattan</t>
        </is>
      </c>
      <c r="F299" s="12" t="n">
        <v>2</v>
      </c>
      <c r="G299" s="12" t="n">
        <v>0</v>
      </c>
      <c r="H299" s="13">
        <f>IF(AND(F299=2,G299=2),"AMBOS",IF(AND(F299=2,G299&lt;2),"solo JP",IF(AND(F299&lt;2,G299=2),"solo Thais","-")))</f>
        <v/>
      </c>
      <c r="I299" s="14" t="n">
        <v>0</v>
      </c>
      <c r="J299" s="15" t="n">
        <v>0</v>
      </c>
      <c r="K299" s="13" t="inlineStr">
        <is>
          <t>no</t>
        </is>
      </c>
      <c r="L299" s="16" t="inlineStr">
        <is>
          <t>—</t>
        </is>
      </c>
      <c r="M299" s="11" t="inlineStr">
        <is>
          <t>—</t>
        </is>
      </c>
      <c r="N299" s="16" t="inlineStr">
        <is>
          <t>—</t>
        </is>
      </c>
      <c r="O299" s="16" t="inlineStr">
        <is>
          <t>—</t>
        </is>
      </c>
      <c r="P299" s="16" t="inlineStr">
        <is>
          <t>Canal St: la del 6/J/Z esta EN la esquina (Lafayette y Canal); N/Q/R/W a 2 cuadras</t>
        </is>
      </c>
      <c r="Q299" s="16" t="inlineStr">
        <is>
          <t>Base de JP lunes y martes a la noche: se acabaron las dos vueltas nocturnas a New Jersey. Recepcion 24 h, CONSIGNA de equipaje y desayuno incluido 7-9 AM. Canal St al lado = 6 directo al MET y Grand Central, A/C al AMNH, y el Village a 15-20 min a pie.</t>
        </is>
      </c>
      <c r="R299" s="16" t="inlineStr">
        <is>
          <t>120 Lafayette St, NY 10013</t>
        </is>
      </c>
      <c r="S299" s="17" t="inlineStr">
        <is>
          <t>Día 3 · lun 31/8, Día 4 · mar 1/9, Día 5 · mié 2/9</t>
        </is>
      </c>
      <c r="T299" s="18" t="inlineStr">
        <is>
          <t>Abrir ↗</t>
        </is>
      </c>
      <c r="U299" s="21" t="inlineStr">
        <is>
          <t>otros</t>
        </is>
      </c>
      <c r="V299" s="20" t="inlineStr"/>
    </row>
    <row r="300" ht="46" customHeight="1">
      <c r="A300" s="9" t="inlineStr">
        <is>
          <t>Residence Inn Branchburg (Thais 31/8-3/9 · JP solo la noche del 2)</t>
        </is>
      </c>
      <c r="B300" s="10" t="inlineStr">
        <is>
          <t>Hotel</t>
        </is>
      </c>
      <c r="C300" s="11" t="inlineStr">
        <is>
          <t>Logística</t>
        </is>
      </c>
      <c r="D300" s="11" t="inlineStr">
        <is>
          <t>Branchburg</t>
        </is>
      </c>
      <c r="E300" s="11" t="inlineStr">
        <is>
          <t>New Jersey</t>
        </is>
      </c>
      <c r="F300" s="12" t="n">
        <v>2</v>
      </c>
      <c r="G300" s="12" t="n">
        <v>2</v>
      </c>
      <c r="H300" s="13">
        <f>IF(AND(F300=2,G300=2),"AMBOS",IF(AND(F300=2,G300&lt;2),"solo JP",IF(AND(F300&lt;2,G300=2),"solo Thais","-")))</f>
        <v/>
      </c>
      <c r="I300" s="14" t="n">
        <v>0</v>
      </c>
      <c r="J300" s="15" t="n">
        <v>0</v>
      </c>
      <c r="K300" s="13" t="inlineStr">
        <is>
          <t>no</t>
        </is>
      </c>
      <c r="L300" s="16" t="inlineStr">
        <is>
          <t>—</t>
        </is>
      </c>
      <c r="M300" s="11" t="inlineStr">
        <is>
          <t>—</t>
        </is>
      </c>
      <c r="N300" s="16" t="inlineStr">
        <is>
          <t>—</t>
        </is>
      </c>
      <c r="O300" s="16" t="inlineStr">
        <is>
          <t>—</t>
        </is>
      </c>
      <c r="P300" s="16" t="inlineStr">
        <is>
          <t>Estacion Raritan (NJ Transit RVL) a 6,4 km</t>
        </is>
      </c>
      <c r="Q300" s="16" t="inlineStr">
        <is>
          <t>Base en NJ. NO tiene shuttle (confirmado por Marriott). Estacionamiento propio gratis. Para llegar al tren hay que tomar Uber (~$14-20 por tramo a Raritan).</t>
        </is>
      </c>
      <c r="R300" s="16" t="inlineStr">
        <is>
          <t>3241 US Highway 22 East, Branchburg NJ</t>
        </is>
      </c>
      <c r="S300" s="17" t="inlineStr">
        <is>
          <t>Día 5 · mié 2/9, Día 6 · jue 3/9</t>
        </is>
      </c>
      <c r="T300" s="18" t="inlineStr">
        <is>
          <t>Abrir ↗</t>
        </is>
      </c>
      <c r="U300" s="19" t="inlineStr">
        <is>
          <t>lista google</t>
        </is>
      </c>
      <c r="V300" s="20" t="inlineStr"/>
    </row>
  </sheetData>
  <autoFilter ref="A4:V300"/>
  <mergeCells count="2">
    <mergeCell ref="A2:V2"/>
    <mergeCell ref="A1:V1"/>
  </mergeCells>
  <conditionalFormatting sqref="H5:H300">
    <cfRule type="cellIs" priority="1" operator="equal" dxfId="0">
      <formula>"AMBOS"</formula>
    </cfRule>
  </conditionalFormatting>
  <dataValidations count="2">
    <dataValidation sqref="F5:G300" showDropDown="0" showInputMessage="0" showErrorMessage="0" allowBlank="0" errorTitle="Valor inválido" error="Solo 0, 1 o 2" promptTitle="Nivel de interés" prompt="0 = no me interesa · 1 = quizás · 2 = sí quiero" type="list">
      <formula1>"0,1,2"</formula1>
    </dataValidation>
    <dataValidation sqref="V5:V300"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1"/>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y ESA VENTANA ES TODA: fuera de ahí son $30. Vermeer, Rembrandt y Bellini colgados como en una casa, porque era una casa. Online el mínimo es $5 y CONVIENE RESERVAR: el cupo en puerta existe pero no está garantizado. Llegar 13:45 como está planeado deja las cuatro horas justas.</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0" s="37" t="inlineStr">
        <is>
          <t>Stone St</t>
        </is>
      </c>
      <c r="G110" s="40" t="inlineStr">
        <is>
          <t>🚶 ~14 min a pie · 1.1 km · estimado</t>
        </is>
      </c>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~20 min a pie (1.2 km) o 🚇 ~15 min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15:00</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15:00</t>
        </is>
      </c>
      <c r="C172" s="37" t="inlineStr">
        <is>
          <t>15:05</t>
        </is>
      </c>
      <c r="D172" s="38" t="inlineStr">
        <is>
          <t>Ambos</t>
        </is>
      </c>
      <c r="E172" s="39" t="inlineStr">
        <is>
          <t>◇ LA DECISIÓN DEL DÍA, y se toma acá parado, antes de salir de la isla. YA NO HACE FALTA LLAMAR: se verificó el 27/8 y la rotonda del Guggenheim está cerrada hasta el 17/9, así que el edificio —que es la mitad de la visita— se ve a medias. La alternativa es MOMA PS1 —ENTRADA GRATUITA para todos, verificado, y con «Greater New York 2026» en pie hasta el 7 de septiembre—: el último imprescindible que queda afuera del viaje, GRATIS, abierto los domingos hasta las 18, y a 1,2 km de donde están parados. CÓMO: en vez de volver en teleférico, caminan a la estación del F que está EN Roosevelt Island, una parada hasta 21 St-Queensbridge y 15 min a pie (~25 min puerta a puerta). Entran 15:45, dos horas holgadas hasta las 17:45, y al hotel en el 7 o el E/M desde Court Sq (~45 min): llegan 18:30, justo para las valijas. NO toca el vuelo. Lo que se pierde: el Guggenheim y el cruce de vuelta en teleférico — el de ida ya lo hicieron a las 13:50.</t>
        </is>
      </c>
      <c r="F172" s="37" t="inlineStr"/>
      <c r="G172" s="40" t="inlineStr"/>
      <c r="H172" s="41" t="inlineStr"/>
      <c r="I172" s="41" t="inlineStr"/>
    </row>
    <row r="173" ht="30" customHeight="1">
      <c r="A173" s="35" t="n"/>
      <c r="B173" s="36" t="inlineStr">
        <is>
          <t>15:05</t>
        </is>
      </c>
      <c r="C173" s="37" t="inlineStr">
        <is>
          <t>16:00</t>
        </is>
      </c>
      <c r="D173" s="38" t="inlineStr">
        <is>
          <t>Ambos</t>
        </is>
      </c>
      <c r="E173" s="39" t="inlineStr">
        <is>
          <t>SALIR 15:05 (no más tarde): caminata al teleférico + cruce + subte 4/5/6 de 59 St a 86 St suman ~50 min, y la ventana pay-what-you-wish del Guggenheim arranca 16:00 y el museo cierra 17:30 — llegar puntuales ES la visita.</t>
        </is>
      </c>
      <c r="F173" s="37" t="inlineStr"/>
      <c r="G173" s="40" t="inlineStr"/>
      <c r="H173" s="41" t="inlineStr"/>
      <c r="I173" s="41" t="inlineStr"/>
    </row>
    <row r="174" ht="30" customHeight="1">
      <c r="A174" s="35" t="n"/>
      <c r="B174" s="42" t="inlineStr">
        <is>
          <t>16:00</t>
        </is>
      </c>
      <c r="C174" s="43" t="inlineStr">
        <is>
          <t>17:45</t>
        </is>
      </c>
      <c r="D174" s="44" t="inlineStr">
        <is>
          <t>Ambos</t>
        </is>
      </c>
      <c r="E174" s="45" t="inlineStr">
        <is>
          <t>★ GUGGENHEIM — ⚠️ VERIFICADO el 27/8 y la respuesta es la mala: LA ROTONDA ESTÁ CERRADA del 3/8 al 17/9 por el montaje de la muestra de Taryn Simon. No se puede caminar la rampa —la razón para venir— y avisan que puede haber ruido de obra; la espiral se mira desde abajo nomás. A cambio la entrada baja de $30 a $16, y sigue el pay-what-you-wish de los domingos 16:00-17:30. Lo que SÍ queda: Guggenheim Pop en las torres 4, 5 y 7 (Lichtenstein, Warhol, Oldenburg, Cattelan) y la colección Thannhauser. Con esto sobre la mesa, mirá el bloque de las 15:00: MoMA PS1 es la alternativa, y es el último imprescindible que falta.</t>
        </is>
      </c>
      <c r="F174" s="43" t="inlineStr">
        <is>
          <t>Guggenheim</t>
        </is>
      </c>
      <c r="G174" s="40" t="inlineStr"/>
      <c r="H174" s="41" t="inlineStr"/>
      <c r="I174" s="41" t="inlineStr"/>
    </row>
    <row r="175" ht="16" customHeight="1">
      <c r="A175" s="35" t="n"/>
      <c r="B175" s="36" t="inlineStr">
        <is>
          <t>17:45</t>
        </is>
      </c>
      <c r="C175" s="37" t="inlineStr">
        <is>
          <t>18:30</t>
        </is>
      </c>
      <c r="D175" s="38" t="inlineStr">
        <is>
          <t>Ambos</t>
        </is>
      </c>
      <c r="E175" s="39" t="inlineStr">
        <is>
          <t>Volver caminando por Central Park hasta el hotel (~25 min) o subte 86 St → 1 a 79 St.</t>
        </is>
      </c>
      <c r="F175" s="37" t="inlineStr">
        <is>
          <t>Hotel The Beacon (3-6 sep)</t>
        </is>
      </c>
      <c r="G175" s="40" t="inlineStr"/>
      <c r="H175" s="41" t="inlineStr"/>
      <c r="I175" s="41" t="inlineStr"/>
    </row>
    <row r="176" ht="16" customHeight="1">
      <c r="A176" s="35" t="n"/>
      <c r="B176" s="36" t="inlineStr">
        <is>
          <t>18:30</t>
        </is>
      </c>
      <c r="C176" s="37" t="inlineStr">
        <is>
          <t>19:40</t>
        </is>
      </c>
      <c r="D176" s="38" t="inlineStr">
        <is>
          <t>Ambos</t>
        </is>
      </c>
      <c r="E176" s="39" t="inlineStr">
        <is>
          <t>Retirar las valijas del bell desk. Cena tranquila cerca del hotel: es la última.</t>
        </is>
      </c>
      <c r="F176" s="37" t="inlineStr"/>
      <c r="G176" s="40" t="inlineStr"/>
      <c r="H176" s="41" t="inlineStr"/>
      <c r="I176" s="41" t="inlineStr"/>
    </row>
    <row r="177" ht="16" customHeight="1">
      <c r="A177" s="35" t="n"/>
      <c r="B177" s="36" t="inlineStr">
        <is>
          <t>19:40</t>
        </is>
      </c>
      <c r="C177" s="37" t="inlineStr">
        <is>
          <t>20:14</t>
        </is>
      </c>
      <c r="D177" s="38" t="inlineStr">
        <is>
          <t>Ambos</t>
        </is>
      </c>
      <c r="E177" s="39" t="inlineStr">
        <is>
          <t>Salir de The Beacon. Subte 1/2/3 desde 72 St hasta 34 St-Penn Station: ~10 min, $3.</t>
        </is>
      </c>
      <c r="F177" s="37" t="inlineStr"/>
      <c r="G177" s="40" t="inlineStr"/>
      <c r="H177" s="41" t="inlineStr"/>
      <c r="I177" s="41" t="inlineStr"/>
    </row>
    <row r="178" ht="30" customHeight="1">
      <c r="A178" s="35" t="n"/>
      <c r="B178" s="36" t="inlineStr">
        <is>
          <t>20:14</t>
        </is>
      </c>
      <c r="C178" s="37" t="inlineStr">
        <is>
          <t>20:45</t>
        </is>
      </c>
      <c r="D178" s="38" t="inlineStr">
        <is>
          <t>Ambos</t>
        </is>
      </c>
      <c r="E178" s="39" t="inlineStr">
        <is>
          <t>NJ Transit Penn Station → EWR, llega 20:38. $17,25 (incluye el AirTrain). VERIFICAR el horario dominical en njtransit.com unos días antes.</t>
        </is>
      </c>
      <c r="F178" s="37" t="inlineStr"/>
      <c r="G178" s="40" t="inlineStr"/>
      <c r="H178" s="41" t="inlineStr"/>
      <c r="I178" s="41" t="inlineStr"/>
    </row>
    <row r="179" ht="16" customHeight="1">
      <c r="A179" s="35" t="n"/>
      <c r="B179" s="36" t="inlineStr">
        <is>
          <t>20:45</t>
        </is>
      </c>
      <c r="C179" s="37" t="inlineStr">
        <is>
          <t>20:55</t>
        </is>
      </c>
      <c r="D179" s="38" t="inlineStr">
        <is>
          <t>Ambos</t>
        </is>
      </c>
      <c r="E179" s="39" t="inlineStr">
        <is>
          <t>AirTrain hasta la terminal: 10-15 min.</t>
        </is>
      </c>
      <c r="F179" s="37" t="inlineStr"/>
      <c r="G179" s="40" t="inlineStr"/>
      <c r="H179" s="41" t="inlineStr"/>
      <c r="I179" s="41" t="inlineStr"/>
    </row>
    <row r="180" ht="30" customHeight="1">
      <c r="A180" s="35" t="n"/>
      <c r="B180" s="36" t="inlineStr">
        <is>
          <t>20:55</t>
        </is>
      </c>
      <c r="C180" s="37" t="inlineStr"/>
      <c r="D180" s="38" t="inlineStr">
        <is>
          <t>Ambos</t>
        </is>
      </c>
      <c r="E180" s="39" t="inlineStr">
        <is>
          <t>En terminal. Faltan 2h45 para el vuelo de las 23:40 — correcto para un internacional en el domingo de Labor Day, que es la noche de más tráfico del año en EWR.</t>
        </is>
      </c>
      <c r="F180" s="37" t="inlineStr"/>
      <c r="G180" s="40" t="inlineStr"/>
      <c r="H180" s="41" t="inlineStr"/>
      <c r="I180" s="41" t="inlineStr"/>
    </row>
    <row r="181" ht="32" customHeight="1">
      <c r="A181"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LA DECISIÓN DEL DÍA, y se toma con una llamada: si la rotonda del Guggenheim está en montaje, el edificio —que es la mitad de la visita— no se ve, y ahí conviene cambiarlo por MOMA PS1, el último imprescindible que queda afuera del viaje. Es gratis, abre los domingos hasta las 18 y hoy pasan a 1,2 km. Los tiempos están calculados en el bloque de las 16:00 y no tocan el vuelo. Si la rotonda está abierta, el Guggenheim se queda: el edificio de Wright vale por sí solo. Tercera opción si ninguna convence: el Whitney también abre los domingos.</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81:I181"/>
    <mergeCell ref="A126:I126"/>
    <mergeCell ref="A144:I144"/>
    <mergeCell ref="A125:I125"/>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3"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SUMIF(Lugares!$F$5:$F$300,2,Lugares!$I$5:$I$300)-SUMIFS(Lugares!$I$5:$I$300,Lugares!$F$5:$F$300,2,Lugares!$C$5:$C$300,"Comida")-SUMIFS(Lugares!$I$5:$I$300,Lugares!$F$5:$F$300,2,Lugares!$C$5:$C$300,"Música")</f>
        <v/>
      </c>
      <c r="C5" s="48">
        <f>SUMIF(Lugares!$G$5:$G$300,2,Lugares!$I$5:$I$300)-SUMIFS(Lugares!$I$5:$I$300,Lugares!$G$5:$G$300,2,Lugares!$C$5:$C$300,"Comida")-SUMIFS(Lugares!$I$5:$I$300,Lugares!$G$5:$G$300,2,Lugares!$C$5:$C$300,"Música")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y preguntar DOS cosas: si la rotonda está abierta y si sigue el pay-what-you-wish</t>
        </is>
      </c>
      <c r="C16" s="59" t="inlineStr">
        <is>
          <t>La mañana del domingo 6, antes de salir del hotel</t>
        </is>
      </c>
      <c r="D16" s="59" t="inlineStr">
        <is>
          <t>guggenheim.org / +1 212-423-3500</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2026-08-28T00:56:56Z</dcterms:created>
  <dcterms:modified xsi:type="dcterms:W3CDTF">2026-08-28T00:56:56Z</dcterms:modified>
</cp:coreProperties>
</file>