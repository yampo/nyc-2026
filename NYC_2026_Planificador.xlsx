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'Lugares'!$A$4:$V$214</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5" authorId="0" shapeId="0">
      <text>
        <t>En la lista de Google figura como: Sunset Park
(coincide con lo que habíamos propuesto nosotros)</t>
      </text>
    </comment>
    <comment ref="I16" authorId="0" shapeId="0">
      <text>
        <t>Advance Saver $34 reservando 14+ dias antes. GA $42+$2. Flex $73.</t>
      </text>
    </comment>
    <comment ref="U16" authorId="0" shapeId="0">
      <text>
        <t>En la lista de Google figura como: Edge NYC
(coincide con lo que habíamos propuesto nosotros)</t>
      </text>
    </comment>
    <comment ref="I17" authorId="0" shapeId="0">
      <text>
        <t>$44 + $5 booking fee (86th). 86th+102nd $79+$5.</t>
      </text>
    </comment>
    <comment ref="I18" authorId="0" shapeId="0">
      <text>
        <t>$44+$3.50. 50% OFF despues de las 20:00 (~$22).</t>
      </text>
    </comment>
    <comment ref="I19" authorId="0" shapeId="0">
      <text>
        <t>desde $44 (incl. $3 fee). Atardecer $57-63. NO esta en ningun pase.</t>
      </text>
    </comment>
    <comment ref="U19" authorId="0" shapeId="0">
      <text>
        <t>En la lista de Google figura como: SUMMIT One Vanderbilt
(coincide con lo que habíamos propuesto nosotros)</t>
      </text>
    </comment>
    <comment ref="I20" authorId="0" shapeId="0">
      <text>
        <t>desde $42, hasta $65 en horario pico. Incluido en CityPASS C3 y Go City.</t>
      </text>
    </comment>
    <comment ref="U20" authorId="0" shapeId="0">
      <text>
        <t>En la lista de Google figura como: Top of The Rock
(coincide con lo que habíamos propuesto nosotros)</t>
      </text>
    </comment>
    <comment ref="I21" authorId="0" shapeId="0">
      <text>
        <t>Coctel ~$26-32. Sin cover: se paga lo que se toma. Reserva por SevenRooms desde su web.</t>
      </text>
    </comment>
    <comment ref="I22" authorId="0" shapeId="0">
      <text>
        <t>Sin cover. Happy hour mar-vie 16-18h.</t>
      </text>
    </comment>
    <comment ref="U22" authorId="0" shapeId="0">
      <text>
        <t>En la lista de Google figura como: The Crown
(coincide con lo que habíamos propuesto nosotros)</t>
      </text>
    </comment>
    <comment ref="I23" authorId="0" shapeId="0">
      <text>
        <t>Sin cover. Precio de un trago (~$20).</t>
      </text>
    </comment>
    <comment ref="U23" authorId="0" shapeId="0">
      <text>
        <t>En la lista de Google figura como: Westlight
(coincide con lo que habíamos propuesto nosotros)</t>
      </text>
    </comment>
    <comment ref="I24" authorId="0" shapeId="0">
      <text>
        <t>$25</t>
      </text>
    </comment>
    <comment ref="U24" authorId="0" shapeId="0">
      <text>
        <t>En la lista de Google figura como: The Morgan Library &amp; Museum
(coincide con lo que habíamos propuesto nosotros)</t>
      </text>
    </comment>
    <comment ref="I25" authorId="0" shapeId="0">
      <text>
        <t>$16 sugerido (contribucion voluntaria); $25 con muestra temporaria</t>
      </text>
    </comment>
    <comment ref="I26" authorId="0" shapeId="0">
      <text>
        <t>$25 entrada + ~$35 tren ida y vuelta</t>
      </text>
    </comment>
    <comment ref="I27" authorId="0" shapeId="0">
      <text>
        <t>~$16 reducido hasta el 17-sep-2026 por cambio de muestra en la rotonda (VERIFICAR). $30 despues.</t>
      </text>
    </comment>
    <comment ref="I28" authorId="0" shapeId="0">
      <text>
        <t>$30. El cine esta INCLUIDO en la entrada general.</t>
      </text>
    </comment>
    <comment ref="U28" authorId="0" shapeId="0">
      <text>
        <t>En la lista de Google figura como: The Museum of Modern Art
(coincide con lo que habíamos propuesto nosotros)</t>
      </text>
    </comment>
    <comment ref="I29" authorId="0" shapeId="0">
      <text>
        <t>GRATIS para todos (donacion de Sonya Yu). Es la politica vigente, no una garantia escrita para todo 2026.</t>
      </text>
    </comment>
    <comment ref="I30" authorId="0" shapeId="0">
      <text>
        <t>Pay-what-you-can, sugerido $16</t>
      </text>
    </comment>
    <comment ref="I31" authorId="0" shapeId="0">
      <text>
        <t>$30</t>
      </text>
    </comment>
    <comment ref="U31" authorId="0" shapeId="0">
      <text>
        <t>En la lista de Google figura como: The Frick Collection
(coincide con lo que habíamos propuesto nosotros)</t>
      </text>
    </comment>
    <comment ref="I32" authorId="0" shapeId="0">
      <text>
        <t>INCLUIDO en la entrada del MET del mismo dia.</t>
      </text>
    </comment>
    <comment ref="U32" authorId="0" shapeId="0">
      <text>
        <t>En la lista de Google figura como: The Cloisters
(coincide con lo que habíamos propuesto nosotros)</t>
      </text>
    </comment>
    <comment ref="I33" authorId="0" shapeId="0">
      <text>
        <t>$30. El pay-what-you-wish alcanza a residentes del Estado de NY Y a estudiantes de NY, NJ y CT (no solo residentes): un turista extranjero paga los $30. Incluye The Cloisters el MISMO dia. NO esta en ningun pase.</t>
      </text>
    </comment>
    <comment ref="U33" authorId="0" shapeId="0">
      <text>
        <t>En la lista de Google figura como: Museo Metropolitano de Arte
(coincide con lo que habíamos propuesto nosotros)</t>
      </text>
    </comment>
    <comment ref="I35" authorId="0" shapeId="0">
      <text>
        <t>~$16 (verificar 2026)</t>
      </text>
    </comment>
    <comment ref="I36" authorId="0" shapeId="0">
      <text>
        <t>$30. Menores de 25 GRATIS siempre.</t>
      </text>
    </comment>
    <comment ref="U36" authorId="0" shapeId="0">
      <text>
        <t>En la lista de Google figura como: Whitney Museum of American Art
(coincide con lo que habíamos propuesto nosotros)</t>
      </text>
    </comment>
    <comment ref="I37" authorId="0" shapeId="0">
      <text>
        <t>$37 general; $43 con exhibicion; $48 all access.</t>
      </text>
    </comment>
    <comment ref="U37" authorId="0" shapeId="0">
      <text>
        <t>En la lista de Google figura como: Museo Americano de Historia Natural
(coincide con lo que habíamos propuesto nosotros)</t>
      </text>
    </comment>
    <comment ref="I38" authorId="0" shapeId="0">
      <text>
        <t>$36 general. El memorial exterior (las fuentes) es SIEMPRE gratis.</t>
      </text>
    </comment>
    <comment ref="U38" authorId="0" shapeId="0">
      <text>
        <t>En la lista de Google figura como: National September 11 Memorial &amp; Museum
(coincide con lo que habíamos propuesto nosotros)</t>
      </text>
    </comment>
    <comment ref="I40" authorId="0" shapeId="0">
      <text>
        <t>$23</t>
      </text>
    </comment>
    <comment ref="U41" authorId="0" shapeId="0">
      <text>
        <t>En la lista de Google figura como: New York Transit Museum
(coincide con lo que habíamos propuesto nosotros)</t>
      </text>
    </comment>
    <comment ref="I42" authorId="0" shapeId="0">
      <text>
        <t>$30 por tour + $3 fee. Cada tour se paga aparte. NO esta en ningun pase. Sin reembolso.</t>
      </text>
    </comment>
    <comment ref="I45" authorId="0" shapeId="0">
      <text>
        <t>$38. Add-ons: Concorde $13, VR Apollo $13.</t>
      </text>
    </comment>
    <comment ref="U45" authorId="0" shapeId="0">
      <text>
        <t>En la lista de Google figura como: Intrepid Sea-Air-Space Museum
(coincide con lo que habíamos propuesto nosotros)</t>
      </text>
    </comment>
    <comment ref="I46" authorId="0" shapeId="0">
      <text>
        <t>Hasta $57 segun franja horaria. Timed ticket por Fever (mercerlabs.com) — los slots se agotan.</t>
      </text>
    </comment>
    <comment ref="U46" authorId="0" shapeId="0">
      <text>
        <t>En la lista de Google figura como: Mercer Labs
(coincide con lo que habíamos propuesto nosotros)</t>
      </text>
    </comment>
    <comment ref="I47" authorId="0" shapeId="0">
      <text>
        <t>$20</t>
      </text>
    </comment>
    <comment ref="U54" authorId="0" shapeId="0">
      <text>
        <t>En la lista de Google figura como: Arthur Ave
(coincide con lo que habíamos propuesto nosotros)</t>
      </text>
    </comment>
    <comment ref="I63" authorId="0" shapeId="0">
      <text>
        <t>Ferry $5 ida y vuelta. GRATIS sabados y domingos antes de las 11:00 - SOLO en la ruta de Manhattan (Battery Maritime Building, 10 South St). Las rutas de Brooklyn no tienen esa ventana.</t>
      </text>
    </comment>
    <comment ref="U64" authorId="0" shapeId="0">
      <text>
        <t>En la lista de Google figura como: Roosevelt Island
(coincide con lo que habíamos propuesto nosotros)</t>
      </text>
    </comment>
    <comment ref="U78" authorId="0" shapeId="0">
      <text>
        <t>En la lista de Google figura como: Casa Della Mozzarella
(coincide con lo que habíamos propuesto nosotros)</t>
      </text>
    </comment>
    <comment ref="I81" authorId="0" shapeId="0">
      <text>
        <t>$15-25</t>
      </text>
    </comment>
    <comment ref="U81" authorId="0" shapeId="0">
      <text>
        <t>En la lista de Google figura como: Frankel's Delicatessen &amp; Appetizing
(coincide con lo que habíamos propuesto nosotros)</t>
      </text>
    </comment>
    <comment ref="I82" authorId="0" shapeId="0">
      <text>
        <t>~$29 el sandwich de pastrami</t>
      </text>
    </comment>
    <comment ref="U82" authorId="0" shapeId="0">
      <text>
        <t>En la lista de Google figura como: Katz's Delicatessen
(coincide con lo que habíamos propuesto nosotros)</t>
      </text>
    </comment>
    <comment ref="U83" authorId="0" shapeId="0">
      <text>
        <t>En la lista de Google figura como: Russ &amp; Daughters
(coincide con lo que habíamos propuesto nosotros)</t>
      </text>
    </comment>
    <comment ref="I85" authorId="0" shapeId="0">
      <text>
        <t>$18-26</t>
      </text>
    </comment>
    <comment ref="U85" authorId="0" shapeId="0">
      <text>
        <t>En la lista de Google figura como: S&amp;P Lunch
(coincide con lo que habíamos propuesto nosotros)</t>
      </text>
    </comment>
    <comment ref="I90" authorId="0" shapeId="0">
      <text>
        <t>~$15-20 con papas y bebida. SIN reservas: counter por orden de llegada.</t>
      </text>
    </comment>
    <comment ref="U90" authorId="0" shapeId="0">
      <text>
        <t>En la lista de Google figura como: Hamburger America
(coincide con lo que habíamos propuesto nosotros)</t>
      </text>
    </comment>
    <comment ref="U95" authorId="0" shapeId="0">
      <text>
        <t>En la lista de Google figura como: Arthur Avenue Retail Market
(coincide con lo que habíamos propuesto nosotros)</t>
      </text>
    </comment>
    <comment ref="U96" authorId="0" shapeId="0">
      <text>
        <t>En la lista de Google figura como: Chelsea Market
(coincide con lo que habíamos propuesto nosotros)</t>
      </text>
    </comment>
    <comment ref="U97" authorId="0" shapeId="0">
      <text>
        <t>En la lista de Google figura como: Dekalb Market Hall
(coincide con lo que habíamos propuesto nosotros)</t>
      </text>
    </comment>
    <comment ref="U99" authorId="0" shapeId="0">
      <text>
        <t>En la lista de Google figura como: Essex Market
(coincide con lo que habíamos propuesto nosotros)</t>
      </text>
    </comment>
    <comment ref="U102" authorId="0" shapeId="0">
      <text>
        <t>En la lista de Google figura como: Time Out Market New York
(coincide con lo que habíamos propuesto nosotros)</t>
      </text>
    </comment>
    <comment ref="U104" authorId="0" shapeId="0">
      <text>
        <t>En la lista de Google figura como: BO's Bagels
(coincide con lo que habíamos propuesto nosotros)</t>
      </text>
    </comment>
    <comment ref="U111" authorId="0" shapeId="0">
      <text>
        <t>En la lista de Google figura como: L&amp;B Spumoni Gardens
(coincide con lo que habíamos propuesto nosotros)</t>
      </text>
    </comment>
    <comment ref="I112" authorId="0" shapeId="0">
      <text>
        <t>solo efectivo, BYOB</t>
      </text>
    </comment>
    <comment ref="I113" authorId="0" shapeId="0">
      <text>
        <t>porcion $3.75-4</t>
      </text>
    </comment>
    <comment ref="I120" authorId="0" shapeId="0">
      <text>
        <t>~$20 para dos con bebida</t>
      </text>
    </comment>
    <comment ref="U132" authorId="0" shapeId="0">
      <text>
        <t>En la lista de Google figura como: Tanoreen
(coincide con lo que habíamos propuesto nosotros)</t>
      </text>
    </comment>
    <comment ref="I134" authorId="0" shapeId="0">
      <text>
        <t>Porterhouse p/2 ~$140 + sides + propina: ~$110-130 por cabeza. SIN TARJETAS DE CREDITO: efectivo, debito US o cheque.</t>
      </text>
    </comment>
    <comment ref="U134" authorId="0" shapeId="0">
      <text>
        <t>En la lista de Google figura como: Peter Luger Steak House
(coincide con lo que habíamos propuesto nosotros)</t>
      </text>
    </comment>
    <comment ref="I135" authorId="0" shapeId="0">
      <text>
        <t>Frecuentemente sin cover (minimo de consumo)</t>
      </text>
    </comment>
    <comment ref="U135" authorId="0" shapeId="0">
      <text>
        <t>En la lista de Google figura como: Bar Bayeux
(coincide con lo que habíamos propuesto nosotros)</t>
      </text>
    </comment>
    <comment ref="I136" authorId="0" shapeId="0">
      <text>
        <t>$10 sugerido EN EFECTIVO - los musicos cobran de las donaciones</t>
      </text>
    </comment>
    <comment ref="U136" authorId="0" shapeId="0">
      <text>
        <t>En la lista de Google figura como: LunÀtico
(coincide con lo que habíamos propuesto nosotros)</t>
      </text>
    </comment>
    <comment ref="I137" authorId="0" shapeId="0">
      <text>
        <t>Reserva GRATIS por Eventbrite (es solo reserva, no entrada). $20 de music charge por cabeza se suma a la cuenta + consumo.</t>
      </text>
    </comment>
    <comment ref="U137" authorId="0" shapeId="0">
      <text>
        <t>En la lista de Google figura como: Cafe Wha?
(coincide con lo que habíamos propuesto nosotros)</t>
      </text>
    </comment>
    <comment ref="I139" authorId="0" shapeId="0">
      <text>
        <t>~$30-40 el set, entrada por la web. BYOB: se lleva la bebida propia.</t>
      </text>
    </comment>
    <comment ref="I140" authorId="0" shapeId="0">
      <text>
        <t>$20-45 cover + $20 minimo por persona por set. Solo TicketWeb.</t>
      </text>
    </comment>
    <comment ref="U140" authorId="0" shapeId="0">
      <text>
        <t>En la lista de Google figura como: Birdland Jazz Club
(coincide con lo que habíamos propuesto nosotros)</t>
      </text>
    </comment>
    <comment ref="I141" authorId="0" shapeId="0">
      <text>
        <t>$20-45 + $5 minimo de mesa</t>
      </text>
    </comment>
    <comment ref="U141" authorId="0" shapeId="0">
      <text>
        <t>En la lista de Google figura como: Blue Note
(coincide con lo que habíamos propuesto nosotros)</t>
      </text>
    </comment>
    <comment ref="I142" authorId="0" shapeId="0">
      <text>
        <t>$20-45 + $21-25 minimo. LATE NIGHT jue-sab ~22:45 desde $10-20.</t>
      </text>
    </comment>
    <comment ref="U142" authorId="0" shapeId="0">
      <text>
        <t>En la lista de Google figura como: Dizzy's Club
(coincide con lo que habíamos propuesto nosotros)</t>
      </text>
    </comment>
    <comment ref="I143" authorId="0" shapeId="0">
      <text>
        <t>$25 incluye una bebida</t>
      </text>
    </comment>
    <comment ref="U143" authorId="0" shapeId="0">
      <text>
        <t>En la lista de Google figura como: Mezzrow
(coincide con lo que habíamos propuesto nosotros)</t>
      </text>
    </comment>
    <comment ref="I144" authorId="0" shapeId="0">
      <text>
        <t>$15-25</t>
      </text>
    </comment>
    <comment ref="U144" authorId="0" shapeId="0">
      <text>
        <t>En la lista de Google figura como: Ornithology Jazz Club
(coincide con lo que habíamos propuesto nosotros)</t>
      </text>
    </comment>
    <comment ref="I145" authorId="0" shapeId="0">
      <text>
        <t>$25 incluye una bebida</t>
      </text>
    </comment>
    <comment ref="U145" authorId="0" shapeId="0">
      <text>
        <t>En la lista de Google figura como: Smalls Jazz Club
(coincide con lo que habíamos propuesto nosotros)</t>
      </text>
    </comment>
    <comment ref="I146" authorId="0" shapeId="0">
      <text>
        <t>$45 la entrada GA (YA COMPRADA, 26/8) + minimo de UNA consumicion por persona - vale gaseosa, jugo o agua. No sirven comida. Aceptan tarjeta.</t>
      </text>
    </comment>
    <comment ref="U146" authorId="0" shapeId="0">
      <text>
        <t>En la lista de Google figura como: Village Vanguard
(coincide con lo que habíamos propuesto nosotros)</t>
      </text>
    </comment>
    <comment ref="I147" authorId="0" shapeId="0">
      <text>
        <t>Donacion sugerida ~$10-20, efectivo</t>
      </text>
    </comment>
    <comment ref="U147" authorId="0" shapeId="0">
      <text>
        <t>En la lista de Google figura como: Barbès
(coincide con lo que habíamos propuesto nosotros)</t>
      </text>
    </comment>
    <comment ref="U148" authorId="0" shapeId="0">
      <text>
        <t>En la lista de Google figura como: Nublu
(coincide con lo que habíamos propuesto nosotros)</t>
      </text>
    </comment>
    <comment ref="I151" authorId="0" shapeId="0">
      <text>
        <t>La plaza es GRATIS siempre. Temporadas: la Filarmonica (Dudamel) abre el 10/9, Met Opera y City Ballet mas tarde — durante el viaje las salas grandes estan oscuras.</t>
      </text>
    </comment>
    <comment ref="U151" authorId="0" shapeId="0">
      <text>
        <t>En la lista de Google figura como: Lincoln Center for the Performing Arts
(coincide con lo que habíamos propuesto nosotros)</t>
      </text>
    </comment>
    <comment ref="U153" authorId="0" shapeId="0">
      <text>
        <t>En la lista de Google figura como: Oculus Center
(coincide con lo que habíamos propuesto nosotros)</t>
      </text>
    </comment>
    <comment ref="I155" authorId="0" shapeId="0">
      <text>
        <t>Gratis entrar; ~$8.50 el AirTrain de JFK</t>
      </text>
    </comment>
    <comment ref="I156" authorId="0" shapeId="0">
      <text>
        <t>$10 (flex online $15). Reabierto con redes de seguridad; algunos tramos altos hacia el Hudson siguen cerrados.</t>
      </text>
    </comment>
    <comment ref="U156" authorId="0" shapeId="0">
      <text>
        <t>En la lista de Google figura como: Vessel
(coincide con lo que habíamos propuesto nosotros)</t>
      </text>
    </comment>
    <comment ref="I165" authorId="0" shapeId="0">
      <text>
        <t>a voluntad</t>
      </text>
    </comment>
    <comment ref="I168" authorId="0" shapeId="0">
      <text>
        <t>GRATIS pero requiere preinscripcion online antes de las 17h del dia anterior</t>
      </text>
    </comment>
    <comment ref="U168" authorId="0" shapeId="0">
      <text>
        <t>En la lista de Google figura como: Ford Foundation Public Atrium Garden
(coincide con lo que habíamos propuesto nosotros)</t>
      </text>
    </comment>
    <comment ref="U169" authorId="0" shapeId="0">
      <text>
        <t>En la lista de Google figura como: Grand Central Terminal
(coincide con lo que habíamos propuesto nosotros)</t>
      </text>
    </comment>
    <comment ref="I170" authorId="0" shapeId="0">
      <text>
        <t>GRATIS, lun-vie 8-18h. Fotos si, video no.</t>
      </text>
    </comment>
    <comment ref="I171" authorId="0" shapeId="0">
      <text>
        <t>GRATIS. Tours gratuitos lun-sab 11:00 y 14:00 (edificio); 11:20, 13:30 y 15:00 (Rose Room).</t>
      </text>
    </comment>
    <comment ref="U171" authorId="0" shapeId="0">
      <text>
        <t>En la lista de Google figura como: Biblioteca Pública de Nueva York
(coincide con lo que habíamos propuesto nosotros)</t>
      </text>
    </comment>
    <comment ref="I175" authorId="0" shapeId="0">
      <text>
        <t>$15. Lunes y viernes pay-what-you-wish.</t>
      </text>
    </comment>
    <comment ref="U175" authorId="0" shapeId="0">
      <text>
        <t>En la lista de Google figura como: Museum at Eldridge Street
(coincide con lo que habíamos propuesto nosotros)</t>
      </text>
    </comment>
    <comment ref="I183" authorId="0" shapeId="0">
      <text>
        <t>Entrada libre 7-19h. Trolley tours con costo: sab 29/8 y sab 5/9, 13-15h.</t>
      </text>
    </comment>
    <comment ref="I185" authorId="0" shapeId="0">
      <text>
        <t>$10. GRATIS todos los jueves.</t>
      </text>
    </comment>
    <comment ref="U185" authorId="0" shapeId="0">
      <text>
        <t>En la lista de Google figura como: Wave Hill Public Garden &amp; Cultural Center
(coincide con lo que habíamos propuesto nosotros)</t>
      </text>
    </comment>
    <comment ref="U193" authorId="0" shapeId="0">
      <text>
        <t>En la lista de Google figura como: Washington Square Park
(coincide con lo que habíamos propuesto nosotros)</t>
      </text>
    </comment>
    <comment ref="U194" authorId="0" shapeId="0">
      <text>
        <t>En la lista de Google figura como: High Line
(coincide con lo que habíamos propuesto nosotros)</t>
      </text>
    </comment>
    <comment ref="I195" authorId="0" shapeId="0">
      <text>
        <t>Grounds pass desde ~$80 segun sesion</t>
      </text>
    </comment>
    <comment ref="I196" authorId="0" shapeId="0">
      <text>
        <t>GRATIS, sin reserva</t>
      </text>
    </comment>
    <comment ref="I197" authorId="0" shapeId="0">
      <text>
        <t>GRATIS, sin reserva</t>
      </text>
    </comment>
    <comment ref="I198" authorId="0" shapeId="0">
      <text>
        <t>GRATIS</t>
      </text>
    </comment>
    <comment ref="I199" authorId="0" shapeId="0">
      <text>
        <t>precios no publicados aun - VERIFICAR en wiadcacarnival.org</t>
      </text>
    </comment>
    <comment ref="I202" authorId="0" shapeId="0">
      <text>
        <t>precio no publicado - consultar green-wood.com</t>
      </text>
    </comment>
    <comment ref="I203" authorId="0" shapeId="0">
      <text>
        <t>Promedio real pagado $112. LOTERIA $10 (HamiltonMusical.com, cierra jueves 12h de la semana previa).</t>
      </text>
    </comment>
    <comment ref="I204" authorId="0" shapeId="0">
      <text>
        <t>Promedio real pagado $59. LOTERIA $20.64 (Telecharge, cierra 15h del dia previo). Rush $49.</t>
      </text>
    </comment>
    <comment ref="I205" authorId="0" shapeId="0">
      <text>
        <t>Loteria LuckySeat $49. Funciones de cierre suelen encarecerse.</t>
      </text>
    </comment>
    <comment ref="I206" authorId="0" shapeId="0">
      <text>
        <t>Promedio real $63. Rush $49 en boleteria a las 10h. TKTS ~40% off.</t>
      </text>
    </comment>
    <comment ref="I207" authorId="0" shapeId="0">
      <text>
        <t>Loteria digital $40 (Telecharge, sorteos 10h y 15h)</t>
      </text>
    </comment>
    <comment ref="I208" authorId="0" shapeId="0">
      <text>
        <t>Desde ~$76-100 segun funcion. Alternativas de play esa semana: Harry Potter and the Cursed Child (Lyric), Paranormal Activity (August Wilson), The Imaginary Invalid (Roundabout).</t>
      </text>
    </comment>
    <comment ref="I209" authorId="0" shapeId="0">
      <text>
        <t>Hasta 50% off (tipico 40%) + $8 de fee por ticket. Max 6 por persona.</t>
      </text>
    </comment>
    <comment ref="U209" authorId="0" shapeId="0">
      <text>
        <t>En la lista de Google figura como: TKTS Lincoln Center
(coincide con lo que habíamos propuesto nosotros)</t>
      </text>
    </comment>
    <comment ref="U211" authorId="0" shapeId="0">
      <text>
        <t>En la lista de Google figura como: Ink 48 Hotel
(coincide con lo que habíamos propuesto nosotros)</t>
      </text>
    </comment>
    <comment ref="U212" authorId="0" shapeId="0">
      <text>
        <t>En la lista de Google figura como: Hotel Beacon
(coincide con lo que habíamos propuesto nosotros)</t>
      </text>
    </comment>
    <comment ref="U214"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Fort%20Tryon%20Park%2C%20Fort%20Tryon%20Park%2C%20Manhattan%2C%20New%20York" TargetMode="External" Id="rId6" /><Relationship Type="http://schemas.openxmlformats.org/officeDocument/2006/relationships/hyperlink" Target="https://www.google.com/maps/search/?api=1&amp;query=Gantry%20Plaza%20State%20Park%2C%204-09%2047th%20Rd%2C%20LIC%2C%20New%20York" TargetMode="External" Id="rId7" /><Relationship Type="http://schemas.openxmlformats.org/officeDocument/2006/relationships/hyperlink" Target="https://www.google.com/maps/search/?api=1&amp;query=Louis%20Valentino%20Jr.%20Pier%2C%20Ferris%20St%20%26%20Coffey%20St%2C%20Brooklyn%2C%20New%20York" TargetMode="External" Id="rId8" /><Relationship Type="http://schemas.openxmlformats.org/officeDocument/2006/relationships/hyperlink" Target="https://www.google.com/maps/search/?api=1&amp;query=Pier%2035%2C%20New%20York" TargetMode="External" Id="rId9" /><Relationship Type="http://schemas.openxmlformats.org/officeDocument/2006/relationships/hyperlink" Target="https://www.google.com/maps/search/?api=1&amp;query=Pier%2057%2C%2025%2011th%20Ave%2C%20New%20York" TargetMode="External" Id="rId10" /><Relationship Type="http://schemas.openxmlformats.org/officeDocument/2006/relationships/hyperlink" Target="https://www.google.com/maps/search/?api=1&amp;query=Sunset%20Park%20%28el%20mirador%29%2C%20Sunset%20Park%2C%205th%20Ave%20%26%2041st%20St%2C%20Brooklyn%2C%20New%20York" TargetMode="External" Id="rId11" /><Relationship Type="http://schemas.openxmlformats.org/officeDocument/2006/relationships/hyperlink" Target="https://www.google.com/maps/search/?api=1&amp;query=Edge%20Hudson%20Yards%2C%2030%20Hudson%20Yards%2C%20New%20York" TargetMode="External" Id="rId12" /><Relationship Type="http://schemas.openxmlformats.org/officeDocument/2006/relationships/hyperlink" Target="https://www.google.com/maps/search/?api=1&amp;query=Empire%20State%20Building%2C%2020%20W%2034th%20St%2C%20New%20York" TargetMode="External" Id="rId13" /><Relationship Type="http://schemas.openxmlformats.org/officeDocument/2006/relationships/hyperlink" Target="https://www.google.com/maps/search/?api=1&amp;query=One%20World%20Observatory%2C%20117%20West%20St%2C%20New%20York" TargetMode="External" Id="rId14" /><Relationship Type="http://schemas.openxmlformats.org/officeDocument/2006/relationships/hyperlink" Target="https://www.google.com/maps/search/?api=1&amp;query=SUMMIT%20One%20Vanderbilt%2C%2045%20E%2042nd%20St%2C%20New%20York" TargetMode="External" Id="rId15" /><Relationship Type="http://schemas.openxmlformats.org/officeDocument/2006/relationships/hyperlink" Target="https://www.google.com/maps/search/?api=1&amp;query=Top%20of%20the%20Rock%2C%2030%20Rockefeller%20Plaza%2C%20New%20York" TargetMode="External" Id="rId16" /><Relationship Type="http://schemas.openxmlformats.org/officeDocument/2006/relationships/hyperlink" Target="https://www.google.com/maps/search/?api=1&amp;query=MO%20Lounge%20%E2%80%94%20Mandarin%20Oriental%20%28piso%2035%29%2C%2080%20Columbus%20Circle%2C%20piso%2035%2C%20New%20York" TargetMode="External" Id="rId17" /><Relationship Type="http://schemas.openxmlformats.org/officeDocument/2006/relationships/hyperlink" Target="https://www.google.com/maps/search/?api=1&amp;query=The%20Crown%20%2850%20Bowery%29%2C%2050%20Bowery%2C%20piso%2021%2C%20New%20York" TargetMode="External" Id="rId18" /><Relationship Type="http://schemas.openxmlformats.org/officeDocument/2006/relationships/hyperlink" Target="https://www.google.com/maps/search/?api=1&amp;query=Westlight%20%28rooftop%29%2C%20111%20N%2012th%20St%2C%20piso%2022%2C%20Brooklyn%2C%20New%20York" TargetMode="External" Id="rId19" /><Relationship Type="http://schemas.openxmlformats.org/officeDocument/2006/relationships/hyperlink" Target="https://www.google.com/maps/search/?api=1&amp;query=The%20Morgan%20Library%20%26%20Museum%2C%20225%20Madison%20Ave%2C%20New%20York" TargetMode="External" Id="rId20" /><Relationship Type="http://schemas.openxmlformats.org/officeDocument/2006/relationships/hyperlink" Target="https://www.google.com/maps/search/?api=1&amp;query=Brooklyn%20Museum%2C%20200%20Eastern%20Pkwy%2C%20Brooklyn%2C%20New%20York" TargetMode="External" Id="rId21" /><Relationship Type="http://schemas.openxmlformats.org/officeDocument/2006/relationships/hyperlink" Target="https://www.google.com/maps/search/?api=1&amp;query=Dia%20Beacon%20%28excursion%29%2C%203%20Beekman%20St%2C%20Beacon%20NY%2C%20New%20York" TargetMode="External" Id="rId22" /><Relationship Type="http://schemas.openxmlformats.org/officeDocument/2006/relationships/hyperlink" Target="https://www.google.com/maps/search/?api=1&amp;query=Guggenheim%2C%201071%205th%20Ave%2C%20New%20York" TargetMode="External" Id="rId23" /><Relationship Type="http://schemas.openxmlformats.org/officeDocument/2006/relationships/hyperlink" Target="https://www.google.com/maps/search/?api=1&amp;query=MoMA%2C%2011%20W%2053rd%20St%2C%20New%20York" TargetMode="External" Id="rId24" /><Relationship Type="http://schemas.openxmlformats.org/officeDocument/2006/relationships/hyperlink" Target="https://www.google.com/maps/search/?api=1&amp;query=MoMA%20PS1%2C%2022-25%20Jackson%20Ave%2C%20LIC%2C%20New%20York" TargetMode="External" Id="rId25" /><Relationship Type="http://schemas.openxmlformats.org/officeDocument/2006/relationships/hyperlink" Target="https://www.google.com/maps/search/?api=1&amp;query=Studio%20Museum%20in%20Harlem%2C%20144%20W%20125th%20St%2C%20New%20York" TargetMode="External" Id="rId26" /><Relationship Type="http://schemas.openxmlformats.org/officeDocument/2006/relationships/hyperlink" Target="https://www.google.com/maps/search/?api=1&amp;query=The%20Frick%20Collection%2C%201%20E%2070th%20St%2C%20New%20York" TargetMode="External" Id="rId27" /><Relationship Type="http://schemas.openxmlformats.org/officeDocument/2006/relationships/hyperlink" Target="https://www.google.com/maps/search/?api=1&amp;query=The%20Met%20Cloisters%2C%2099%20Margaret%20Corbin%20Dr%2C%20New%20York" TargetMode="External" Id="rId28" /><Relationship Type="http://schemas.openxmlformats.org/officeDocument/2006/relationships/hyperlink" Target="https://www.google.com/maps/search/?api=1&amp;query=The%20Metropolitan%20Museum%20of%20Art%2C%201000%205th%20Ave%2C%20New%20York" TargetMode="External" Id="rId29" /><Relationship Type="http://schemas.openxmlformats.org/officeDocument/2006/relationships/hyperlink" Target="https://www.google.com/maps/search/?api=1&amp;query=The%20New%20York%20Earth%20Room%2C%20141%20Wooster%20St%2C%202%C2%BA%20piso%2C%20New%20York" TargetMode="External" Id="rId30" /><Relationship Type="http://schemas.openxmlformats.org/officeDocument/2006/relationships/hyperlink" Target="https://www.google.com/maps/search/?api=1&amp;query=The%20Noguchi%20Museum%2C%209-01%2033rd%20Rd%2C%20LIC%2C%20New%20York" TargetMode="External" Id="rId31" /><Relationship Type="http://schemas.openxmlformats.org/officeDocument/2006/relationships/hyperlink" Target="https://www.google.com/maps/search/?api=1&amp;query=Whitney%20Museum%2C%2099%20Gansevoort%20St%2C%20New%20York" TargetMode="External" Id="rId32" /><Relationship Type="http://schemas.openxmlformats.org/officeDocument/2006/relationships/hyperlink" Target="https://www.google.com/maps/search/?api=1&amp;query=American%20Museum%20of%20Natural%20History%2C%20200%20Central%20Park%20West%2C%20New%20York" TargetMode="External" Id="rId33" /><Relationship Type="http://schemas.openxmlformats.org/officeDocument/2006/relationships/hyperlink" Target="https://www.google.com/maps/search/?api=1&amp;query=9/11%20Memorial%20Museum%2C%20180%20Greenwich%20St%2C%20New%20York" TargetMode="External" Id="rId34" /><Relationship Type="http://schemas.openxmlformats.org/officeDocument/2006/relationships/hyperlink" Target="https://www.google.com/maps/search/?api=1&amp;query=Federal%20Hall%20National%20Memorial%2C%2026%20Wall%20St%2C%20New%20York" TargetMode="External" Id="rId35" /><Relationship Type="http://schemas.openxmlformats.org/officeDocument/2006/relationships/hyperlink" Target="https://www.google.com/maps/search/?api=1&amp;query=Museum%20of%20the%20City%20of%20New%20York%2C%201220%205th%20Ave%2C%20New%20York" TargetMode="External" Id="rId36" /><Relationship Type="http://schemas.openxmlformats.org/officeDocument/2006/relationships/hyperlink" Target="https://www.google.com/maps/search/?api=1&amp;query=New%20York%20Transit%20Museum%2C%2099%20Schermerhorn%20St%2C%20Brooklyn%2C%20New%20York" TargetMode="External" Id="rId37" /><Relationship Type="http://schemas.openxmlformats.org/officeDocument/2006/relationships/hyperlink" Target="https://www.google.com/maps/search/?api=1&amp;query=Tenement%20Museum%2C%20103%20Orchard%20St%2C%20New%20York" TargetMode="External" Id="rId38" /><Relationship Type="http://schemas.openxmlformats.org/officeDocument/2006/relationships/hyperlink" Target="https://www.google.com/maps/search/?api=1&amp;query=The%20City%20Reliquary%2C%20370%20Metropolitan%20Ave%2C%20Brooklyn%2C%20New%20York" TargetMode="External" Id="rId39" /><Relationship Type="http://schemas.openxmlformats.org/officeDocument/2006/relationships/hyperlink" Target="https://www.google.com/maps/search/?api=1&amp;query=Balloon%20Museum%20NYC%20-%20DAYDREAM%2C%20New%20York" TargetMode="External" Id="rId40" /><Relationship Type="http://schemas.openxmlformats.org/officeDocument/2006/relationships/hyperlink" Target="https://www.google.com/maps/search/?api=1&amp;query=Intrepid%20Museum%2C%20Pier%2086%2C%20W%2046th%20St%20%26%2012th%20Ave%2C%20New%20York" TargetMode="External" Id="rId41" /><Relationship Type="http://schemas.openxmlformats.org/officeDocument/2006/relationships/hyperlink" Target="https://www.google.com/maps/search/?api=1&amp;query=Mercer%20Labs%20%E2%80%94%20Museum%20of%20Art%20and%20Technology%2C%2021%20Dey%20St%2C%20New%20York" TargetMode="External" Id="rId42" /><Relationship Type="http://schemas.openxmlformats.org/officeDocument/2006/relationships/hyperlink" Target="https://www.google.com/maps/search/?api=1&amp;query=Museum%20of%20the%20Moving%20Image%2C%2036-01%2035th%20Ave%2C%20Astoria%2C%20New%20York" TargetMode="External" Id="rId43" /><Relationship Type="http://schemas.openxmlformats.org/officeDocument/2006/relationships/hyperlink" Target="https://www.google.com/maps/search/?api=1&amp;query=East%20Village%2C%20New%20York" TargetMode="External" Id="rId44" /><Relationship Type="http://schemas.openxmlformats.org/officeDocument/2006/relationships/hyperlink" Target="https://www.google.com/maps/search/?api=1&amp;query=Harlem%2C%20W%20125th%20St%2C%20Manhattan%2C%20New%20York" TargetMode="External" Id="rId45" /><Relationship Type="http://schemas.openxmlformats.org/officeDocument/2006/relationships/hyperlink" Target="https://www.google.com/maps/search/?api=1&amp;query=Inwood%2C%20Dyckman%20St%2C%20Manhattan%2C%20New%20York" TargetMode="External" Id="rId46" /><Relationship Type="http://schemas.openxmlformats.org/officeDocument/2006/relationships/hyperlink" Target="https://www.google.com/maps/search/?api=1&amp;query=Lower%20East%20Side%2C%20Orchard%20St%20%26%20Delancey%20St%2C%20New%20York" TargetMode="External" Id="rId47" /><Relationship Type="http://schemas.openxmlformats.org/officeDocument/2006/relationships/hyperlink" Target="https://www.google.com/maps/search/?api=1&amp;query=SoHo%2C%20New%20York" TargetMode="External" Id="rId48" /><Relationship Type="http://schemas.openxmlformats.org/officeDocument/2006/relationships/hyperlink" Target="https://www.google.com/maps/search/?api=1&amp;query=West%20Village%2C%20Bleecker%20St%20%26%20Bank%20St%2C%20New%20York" TargetMode="External" Id="rId49" /><Relationship Type="http://schemas.openxmlformats.org/officeDocument/2006/relationships/hyperlink" Target="https://www.google.com/maps/search/?api=1&amp;query=Arthur%20Avenue%20%28Belmont%29%2C%20Arthur%20Ave%20%26%20E%20187th%20St%2C%20Bronx%2C%20New%20York" TargetMode="External" Id="rId50" /><Relationship Type="http://schemas.openxmlformats.org/officeDocument/2006/relationships/hyperlink" Target="https://www.google.com/maps/search/?api=1&amp;query=Astoria%2C%2030th%20Ave%20%26%2031st%20St%2C%20Astoria%2C%20New%20York" TargetMode="External" Id="rId51" /><Relationship Type="http://schemas.openxmlformats.org/officeDocument/2006/relationships/hyperlink" Target="https://www.google.com/maps/search/?api=1&amp;query=Bay%20Ridge%2C%205th%20Ave%20%26%2086th%20St%2C%20Brooklyn%2C%20New%20York" TargetMode="External" Id="rId52" /><Relationship Type="http://schemas.openxmlformats.org/officeDocument/2006/relationships/hyperlink" Target="https://www.google.com/maps/search/?api=1&amp;query=Chinatown%20%28Manhattan%29%2C%20Mott%20St%20%26%20Canal%20St%2C%20New%20York" TargetMode="External" Id="rId53" /><Relationship Type="http://schemas.openxmlformats.org/officeDocument/2006/relationships/hyperlink" Target="https://www.google.com/maps/search/?api=1&amp;query=Flushing%2C%20Main%20St%20%26%20Roosevelt%20Ave%2C%20Flushing%2C%20New%20York" TargetMode="External" Id="rId54" /><Relationship Type="http://schemas.openxmlformats.org/officeDocument/2006/relationships/hyperlink" Target="https://www.google.com/maps/search/?api=1&amp;query=Greenpoint%2C%20Manhattan%20Ave%20%26%20Nassau%20Ave%2C%20Brooklyn%2C%20New%20York" TargetMode="External" Id="rId55" /><Relationship Type="http://schemas.openxmlformats.org/officeDocument/2006/relationships/hyperlink" Target="https://www.google.com/maps/search/?api=1&amp;query=Jackson%20Heights%2C%2074th%20St%20%26%20Roosevelt%20Ave%2C%20Queens%2C%20New%20York" TargetMode="External" Id="rId56" /><Relationship Type="http://schemas.openxmlformats.org/officeDocument/2006/relationships/hyperlink" Target="https://www.google.com/maps/search/?api=1&amp;query=Ridgewood%2C%20Forest%20Ave%2C%20Ridgewood%2C%20Queens%2C%20New%20York" TargetMode="External" Id="rId57" /><Relationship Type="http://schemas.openxmlformats.org/officeDocument/2006/relationships/hyperlink" Target="https://www.google.com/maps/search/?api=1&amp;query=Sunset%20Park%20%28barrio%29%2C%205th%20Ave%20%26%2045th%20St%2C%20Brooklyn%2C%20New%20York" TargetMode="External" Id="rId58" /><Relationship Type="http://schemas.openxmlformats.org/officeDocument/2006/relationships/hyperlink" Target="https://www.google.com/maps/search/?api=1&amp;query=Governors%20Island%2C%20Governors%20Island%2C%20New%20York%2C%20New%20York" TargetMode="External" Id="rId59" /><Relationship Type="http://schemas.openxmlformats.org/officeDocument/2006/relationships/hyperlink" Target="https://www.google.com/maps/search/?api=1&amp;query=Roosevelt%20Island%2C%20Roosevelt%20Island%2C%20New%20York%2C%20New%20York" TargetMode="External" Id="rId60" /><Relationship Type="http://schemas.openxmlformats.org/officeDocument/2006/relationships/hyperlink" Target="https://www.google.com/maps/search/?api=1&amp;query=DUMBO%2C%20Washington%20St%20%26%20Water%20St%2C%20Brooklyn%2C%20New%20York" TargetMode="External" Id="rId61" /><Relationship Type="http://schemas.openxmlformats.org/officeDocument/2006/relationships/hyperlink" Target="https://www.google.com/maps/search/?api=1&amp;query=Red%20Hook%2C%20Van%20Brunt%20St%2C%20Brooklyn%2C%20New%20York" TargetMode="External" Id="rId62" /><Relationship Type="http://schemas.openxmlformats.org/officeDocument/2006/relationships/hyperlink" Target="https://www.google.com/maps/search/?api=1&amp;query=%25%20Arabica%2C%20New%20York" TargetMode="External" Id="rId63" /><Relationship Type="http://schemas.openxmlformats.org/officeDocument/2006/relationships/hyperlink" Target="https://www.google.com/maps/search/?api=1&amp;query=Biblioth%C3%A8que%2C%20New%20York" TargetMode="External" Id="rId64" /><Relationship Type="http://schemas.openxmlformats.org/officeDocument/2006/relationships/hyperlink" Target="https://www.google.com/maps/search/?api=1&amp;query=Bluestone%20Lane%20UWS%20Caf%C3%A9%2C%20New%20York" TargetMode="External" Id="rId65" /><Relationship Type="http://schemas.openxmlformats.org/officeDocument/2006/relationships/hyperlink" Target="https://www.google.com/maps/search/?api=1&amp;query=Culture%20Espresso%2C%2072%20W%2038th%20St%2C%20New%20York" TargetMode="External" Id="rId66" /><Relationship Type="http://schemas.openxmlformats.org/officeDocument/2006/relationships/hyperlink" Target="https://www.google.com/maps/search/?api=1&amp;query=Jack%27s%20Wife%20Freda%2C%20224%20Lafayette%20St%2C%20New%20York" TargetMode="External" Id="rId67" /><Relationship Type="http://schemas.openxmlformats.org/officeDocument/2006/relationships/hyperlink" Target="https://www.google.com/maps/search/?api=1&amp;query=Sarabeth%27s%20Central%20Park%20South%2C%2040%20Central%20Park%20S%2C%20New%20York" TargetMode="External" Id="rId68" /><Relationship Type="http://schemas.openxmlformats.org/officeDocument/2006/relationships/hyperlink" Target="https://www.google.com/maps/search/?api=1&amp;query=Starbucks%20Reserve%20Roastery%2C%2061%209th%20Ave%2C%20New%20York" TargetMode="External" Id="rId69" /><Relationship Type="http://schemas.openxmlformats.org/officeDocument/2006/relationships/hyperlink" Target="https://www.google.com/maps/search/?api=1&amp;query=The%20Grey%20Dog%20-%20Union%20Square%2C%2090%20University%20Pl%2C%20New%20York" TargetMode="External" Id="rId70" /><Relationship Type="http://schemas.openxmlformats.org/officeDocument/2006/relationships/hyperlink" Target="https://www.google.com/maps/search/?api=1&amp;query=Double%20Chicken%20Please%2C%20115%20Allen%20St%2C%20New%20York" TargetMode="External" Id="rId71" /><Relationship Type="http://schemas.openxmlformats.org/officeDocument/2006/relationships/hyperlink" Target="https://www.google.com/maps/search/?api=1&amp;query=Adel%27s%20Famous%20Halal%20Food%2C%20New%20York" TargetMode="External" Id="rId72" /><Relationship Type="http://schemas.openxmlformats.org/officeDocument/2006/relationships/hyperlink" Target="https://www.google.com/maps/search/?api=1&amp;query=Bark%20Barbecue%2C%20New%20York" TargetMode="External" Id="rId73" /><Relationship Type="http://schemas.openxmlformats.org/officeDocument/2006/relationships/hyperlink" Target="https://www.google.com/maps/search/?api=1&amp;query=Casa%20Della%20Mozzarella%2C%20604%20E%20187th%20St%2C%20Bronx%2C%20New%20York" TargetMode="External" Id="rId74" /><Relationship Type="http://schemas.openxmlformats.org/officeDocument/2006/relationships/hyperlink" Target="https://www.google.com/maps/search/?api=1&amp;query=Cosenza%27s%20Fish%20Market%2C%202354%20Arthur%20Ave%2C%20Bronx%2C%20New%20York" TargetMode="External" Id="rId75" /><Relationship Type="http://schemas.openxmlformats.org/officeDocument/2006/relationships/hyperlink" Target="https://www.google.com/maps/search/?api=1&amp;query=Los%20Tacos%20No.%201%2C%2075%209th%20Ave%20%28Chelsea%20Market%29%2C%20New%20York" TargetMode="External" Id="rId76" /><Relationship Type="http://schemas.openxmlformats.org/officeDocument/2006/relationships/hyperlink" Target="https://www.google.com/maps/search/?api=1&amp;query=Frankel%27s%20Delicatessen%2C%20631%20Manhattan%20Ave%2C%20Brooklyn%2C%20New%20York" TargetMode="External" Id="rId77" /><Relationship Type="http://schemas.openxmlformats.org/officeDocument/2006/relationships/hyperlink" Target="https://www.google.com/maps/search/?api=1&amp;query=Katz%27s%20Delicatessen%2C%20205%20E%20Houston%20St%2C%20New%20York" TargetMode="External" Id="rId78" /><Relationship Type="http://schemas.openxmlformats.org/officeDocument/2006/relationships/hyperlink" Target="https://www.google.com/maps/search/?api=1&amp;query=Russ%20%26%20Daughters%2C%20179%20E%20Houston%20St%2C%20New%20York" TargetMode="External" Id="rId79" /><Relationship Type="http://schemas.openxmlformats.org/officeDocument/2006/relationships/hyperlink" Target="https://www.google.com/maps/search/?api=1&amp;query=Russ%20%26%20Daughters%20Cafe%2C%20127%20Orchard%20St%2C%20New%20York" TargetMode="External" Id="rId80" /><Relationship Type="http://schemas.openxmlformats.org/officeDocument/2006/relationships/hyperlink" Target="https://www.google.com/maps/search/?api=1&amp;query=S%26P%20Lunch%2C%20174%205th%20Ave%2C%20New%20York" TargetMode="External" Id="rId81" /><Relationship Type="http://schemas.openxmlformats.org/officeDocument/2006/relationships/hyperlink" Target="https://www.google.com/maps/search/?api=1&amp;query=Sarge%27s%20Delicatessen%20%26%20Diner%2C%20548%203rd%20Ave%2C%20New%20York" TargetMode="External" Id="rId82" /><Relationship Type="http://schemas.openxmlformats.org/officeDocument/2006/relationships/hyperlink" Target="https://www.google.com/maps/search/?api=1&amp;query=Golden%20Diner%2C%20123%20Madison%20St%2C%20New%20York" TargetMode="External" Id="rId83" /><Relationship Type="http://schemas.openxmlformats.org/officeDocument/2006/relationships/hyperlink" Target="https://www.google.com/maps/search/?api=1&amp;query=Junior%27s%20Restaurant%20and%20Bakery%2C%201626%20Broadway%2C%20New%20York" TargetMode="External" Id="rId84" /><Relationship Type="http://schemas.openxmlformats.org/officeDocument/2006/relationships/hyperlink" Target="https://www.google.com/maps/search/?api=1&amp;query=Tick%20Tock%20Diner%20NY%2C%20481%208th%20Ave%2C%20New%20York" TargetMode="External" Id="rId85" /><Relationship Type="http://schemas.openxmlformats.org/officeDocument/2006/relationships/hyperlink" Target="https://www.google.com/maps/search/?api=1&amp;query=Hamburger%20America%2C%20155%20W%20Houston%20St%2C%20New%20York" TargetMode="External" Id="rId86" /><Relationship Type="http://schemas.openxmlformats.org/officeDocument/2006/relationships/hyperlink" Target="https://www.google.com/maps/search/?api=1&amp;query=Shake%20Shack%20%28Columbus%20Circle%20/%20Theater%20District%29%2C%20New%20York" TargetMode="External" Id="rId87" /><Relationship Type="http://schemas.openxmlformats.org/officeDocument/2006/relationships/hyperlink" Target="https://www.google.com/maps/search/?api=1&amp;query=Amorino%2C%20New%20York" TargetMode="External" Id="rId88" /><Relationship Type="http://schemas.openxmlformats.org/officeDocument/2006/relationships/hyperlink" Target="https://www.google.com/maps/search/?api=1&amp;query=Dough%20Doughnuts%2C%20New%20York" TargetMode="External" Id="rId89" /><Relationship Type="http://schemas.openxmlformats.org/officeDocument/2006/relationships/hyperlink" Target="https://www.google.com/maps/search/?api=1&amp;query=Krispy%20Kreme%20Times%20Square%2C%201601%20Broadway%2C%20New%20York" TargetMode="External" Id="rId90" /><Relationship Type="http://schemas.openxmlformats.org/officeDocument/2006/relationships/hyperlink" Target="https://www.google.com/maps/search/?api=1&amp;query=Arthur%20Avenue%20Retail%20Market%2C%202344%20Arthur%20Ave%2C%20Bronx%2C%20New%20York" TargetMode="External" Id="rId91" /><Relationship Type="http://schemas.openxmlformats.org/officeDocument/2006/relationships/hyperlink" Target="https://www.google.com/maps/search/?api=1&amp;query=Chelsea%20Market%2C%2075%209th%20Ave%2C%20New%20York" TargetMode="External" Id="rId92" /><Relationship Type="http://schemas.openxmlformats.org/officeDocument/2006/relationships/hyperlink" Target="https://www.google.com/maps/search/?api=1&amp;query=DeKalb%20Market%20Hall%2C%20445%20Albee%20Square%20W%2C%20Brooklyn%2C%20New%20York" TargetMode="External" Id="rId93" /><Relationship Type="http://schemas.openxmlformats.org/officeDocument/2006/relationships/hyperlink" Target="https://www.google.com/maps/search/?api=1&amp;query=Eataly%20Flatiron%2C%20200%205th%20Ave%2C%20New%20York" TargetMode="External" Id="rId94" /><Relationship Type="http://schemas.openxmlformats.org/officeDocument/2006/relationships/hyperlink" Target="https://www.google.com/maps/search/?api=1&amp;query=Essex%20Market%2C%2088%20Essex%20St%2C%20New%20York" TargetMode="External" Id="rId95" /><Relationship Type="http://schemas.openxmlformats.org/officeDocument/2006/relationships/hyperlink" Target="https://www.google.com/maps/search/?api=1&amp;query=Morningside%20Park%20Farmers%20Market%2C%20New%20York" TargetMode="External" Id="rId96" /><Relationship Type="http://schemas.openxmlformats.org/officeDocument/2006/relationships/hyperlink" Target="https://www.google.com/maps/search/?api=1&amp;query=New%20World%20Mall%20Food%20Court%2C%20136-20%20Roosevelt%20Ave%2C%20Flushing%2C%20New%20York" TargetMode="External" Id="rId97" /><Relationship Type="http://schemas.openxmlformats.org/officeDocument/2006/relationships/hyperlink" Target="https://www.google.com/maps/search/?api=1&amp;query=Time%20Out%20Market%2C%2055%20Water%20St%2C%20Brooklyn%2C%20New%20York" TargetMode="External" Id="rId98" /><Relationship Type="http://schemas.openxmlformats.org/officeDocument/2006/relationships/hyperlink" Target="https://www.google.com/maps/search/?api=1&amp;query=Zabar%27s%2C%202245%20Broadway%2C%20New%20York" TargetMode="External" Id="rId99" /><Relationship Type="http://schemas.openxmlformats.org/officeDocument/2006/relationships/hyperlink" Target="https://www.google.com/maps/search/?api=1&amp;query=Bo%27s%20Bagels%2C%20235%20W%20116th%20St%2C%20New%20York" TargetMode="External" Id="rId100" /><Relationship Type="http://schemas.openxmlformats.org/officeDocument/2006/relationships/hyperlink" Target="https://www.google.com/maps/search/?api=1&amp;query=Dominique%20Ansel%20Bakery%2C%20189%20Spring%20St%2C%20New%20York" TargetMode="External" Id="rId101" /><Relationship Type="http://schemas.openxmlformats.org/officeDocument/2006/relationships/hyperlink" Target="https://www.google.com/maps/search/?api=1&amp;query=La%20Cabra%20Bakery%2C%20152%202nd%20Ave%2C%20New%20York" TargetMode="External" Id="rId102" /><Relationship Type="http://schemas.openxmlformats.org/officeDocument/2006/relationships/hyperlink" Target="https://www.google.com/maps/search/?api=1&amp;query=Pop%27s%20Bagels%20Nolita%2C%20New%20York" TargetMode="External" Id="rId103" /><Relationship Type="http://schemas.openxmlformats.org/officeDocument/2006/relationships/hyperlink" Target="https://www.google.com/maps/search/?api=1&amp;query=Rudy%27s%20Pastry%20Shop%2C%20905%20Seneca%20Ave%2C%20Ridgewood%2C%20New%20York" TargetMode="External" Id="rId104" /><Relationship Type="http://schemas.openxmlformats.org/officeDocument/2006/relationships/hyperlink" Target="https://www.google.com/maps/search/?api=1&amp;query=Bleecker%20Street%20Pizza%2C%2069%207th%20Ave%20S%2C%20New%20York" TargetMode="External" Id="rId105" /><Relationship Type="http://schemas.openxmlformats.org/officeDocument/2006/relationships/hyperlink" Target="https://www.google.com/maps/search/?api=1&amp;query=John%27s%20of%20Times%20Square%2C%20260%20W%2044th%20St%2C%20New%20York" TargetMode="External" Id="rId106" /><Relationship Type="http://schemas.openxmlformats.org/officeDocument/2006/relationships/hyperlink" Target="https://www.google.com/maps/search/?api=1&amp;query=L%26B%20Spumoni%20Gardens%2C%202725%2086th%20St%2C%20Brooklyn%2C%20New%20York" TargetMode="External" Id="rId107" /><Relationship Type="http://schemas.openxmlformats.org/officeDocument/2006/relationships/hyperlink" Target="https://www.google.com/maps/search/?api=1&amp;query=Lucali%2C%20575%20Henry%20St%2C%20Brooklyn%2C%20New%20York" TargetMode="External" Id="rId108" /><Relationship Type="http://schemas.openxmlformats.org/officeDocument/2006/relationships/hyperlink" Target="https://www.google.com/maps/search/?api=1&amp;query=Mano%27s%20Pizzeria%2C%206202%20Forest%20Ave%2C%20Ridgewood%2C%20New%20York" TargetMode="External" Id="rId109" /><Relationship Type="http://schemas.openxmlformats.org/officeDocument/2006/relationships/hyperlink" Target="https://www.google.com/maps/search/?api=1&amp;query=Totonno%27s%2C%201524%20Neptune%20Ave%2C%20Brooklyn%2C%20New%20York" TargetMode="External" Id="rId110" /><Relationship Type="http://schemas.openxmlformats.org/officeDocument/2006/relationships/hyperlink" Target="https://www.google.com/maps/search/?api=1&amp;query=Beast%20%26%20Butterflies%20Times%20Square%2C%20New%20York" TargetMode="External" Id="rId111" /><Relationship Type="http://schemas.openxmlformats.org/officeDocument/2006/relationships/hyperlink" Target="https://www.google.com/maps/search/?api=1&amp;query=Central%20Park%20Boathouse%2C%20E%2072nd%20St%20%26%20Park%20Dr%20N%2C%20New%20York" TargetMode="External" Id="rId112" /><Relationship Type="http://schemas.openxmlformats.org/officeDocument/2006/relationships/hyperlink" Target="https://www.google.com/maps/search/?api=1&amp;query=Manhatta%2C%2028%20Liberty%20St%2C%20piso%2060%2C%20New%20York" TargetMode="External" Id="rId113" /><Relationship Type="http://schemas.openxmlformats.org/officeDocument/2006/relationships/hyperlink" Target="https://www.google.com/maps/search/?api=1&amp;query=Carmine%27s%2044th%20Street%2C%20200%20W%2044th%20St%2C%20New%20York" TargetMode="External" Id="rId114" /><Relationship Type="http://schemas.openxmlformats.org/officeDocument/2006/relationships/hyperlink" Target="https://www.google.com/maps/search/?api=1&amp;query=Deluxe%20Green%20Bo%2C%2066%20Bayard%20St%2C%20New%20York" TargetMode="External" Id="rId115" /><Relationship Type="http://schemas.openxmlformats.org/officeDocument/2006/relationships/hyperlink" Target="https://www.google.com/maps/search/?api=1&amp;query=He%20Nan%20Mian%20Guan%2C%20136-31%2041st%20Ave%2C%20Flushing%2C%20New%20York" TargetMode="External" Id="rId116" /><Relationship Type="http://schemas.openxmlformats.org/officeDocument/2006/relationships/hyperlink" Target="https://www.google.com/maps/search/?api=1&amp;query=Hue%20House%2C%20New%20York" TargetMode="External" Id="rId117" /><Relationship Type="http://schemas.openxmlformats.org/officeDocument/2006/relationships/hyperlink" Target="https://www.google.com/maps/search/?api=1&amp;query=Jalapeno%20King%2C%205th%20Ave%20entre%2022nd%20y%2023rd%20St%2C%20Brooklyn%2C%20New%20York" TargetMode="External" Id="rId118" /><Relationship Type="http://schemas.openxmlformats.org/officeDocument/2006/relationships/hyperlink" Target="https://www.google.com/maps/search/?api=1&amp;query=Karczma%2C%20136%20Greenpoint%20Ave%2C%20Brooklyn%2C%20New%20York" TargetMode="External" Id="rId119" /><Relationship Type="http://schemas.openxmlformats.org/officeDocument/2006/relationships/hyperlink" Target="https://www.google.com/maps/search/?api=1&amp;query=Lhasa%20Fast%20Food%2C%2037-50%2074th%20St%2C%20Jackson%20Heights%2C%20New%20York" TargetMode="External" Id="rId120" /><Relationship Type="http://schemas.openxmlformats.org/officeDocument/2006/relationships/hyperlink" Target="https://www.google.com/maps/search/?api=1&amp;query=Malecon%2C%204141%20Broadway%2C%20New%20York" TargetMode="External" Id="rId121" /><Relationship Type="http://schemas.openxmlformats.org/officeDocument/2006/relationships/hyperlink" Target="https://www.google.com/maps/search/?api=1&amp;query=Nepali%20Bhanchha%20Ghar%2C%2074-06%2037th%20Rd%2C%20Jackson%20Heights%2C%20New%20York" TargetMode="External" Id="rId122" /><Relationship Type="http://schemas.openxmlformats.org/officeDocument/2006/relationships/hyperlink" Target="https://www.google.com/maps/search/?api=1&amp;query=New%20Nurlan%20Uyghur%2C%20135-51%2039th%20Ave%2C%20Flushing%20%28subsuelo%29%2C%20New%20York" TargetMode="External" Id="rId123" /><Relationship Type="http://schemas.openxmlformats.org/officeDocument/2006/relationships/hyperlink" Target="https://www.google.com/maps/search/?api=1&amp;query=Pierozek%2C%20833%20Manhattan%20Ave%2C%20Brooklyn%2C%20New%20York" TargetMode="External" Id="rId124" /><Relationship Type="http://schemas.openxmlformats.org/officeDocument/2006/relationships/hyperlink" Target="https://www.google.com/maps/search/?api=1&amp;query=Pies%20%27n%27%20Thighs%2C%20166%20S%204th%20St%2C%20New%20York" TargetMode="External" Id="rId125" /><Relationship Type="http://schemas.openxmlformats.org/officeDocument/2006/relationships/hyperlink" Target="https://www.google.com/maps/search/?api=1&amp;query=Sakagura%2C%20211%20E%2043rd%20St%20%28s%C3%B3tano%29%2C%20New%20York" TargetMode="External" Id="rId126" /><Relationship Type="http://schemas.openxmlformats.org/officeDocument/2006/relationships/hyperlink" Target="https://www.google.com/maps/search/?api=1&amp;query=Tacos%20El%20Bronco%2C%204324%204th%20Ave%2C%20Brooklyn%2C%20New%20York" TargetMode="External" Id="rId127" /><Relationship Type="http://schemas.openxmlformats.org/officeDocument/2006/relationships/hyperlink" Target="https://www.google.com/maps/search/?api=1&amp;query=Tanoreen%2C%207523%203rd%20Ave%2C%20Brooklyn%2C%20New%20York" TargetMode="External" Id="rId128" /><Relationship Type="http://schemas.openxmlformats.org/officeDocument/2006/relationships/hyperlink" Target="https://www.google.com/maps/search/?api=1&amp;query=Taverna%20Kyclades%2C%2033-07%20Ditmars%20Blvd%2C%20Astoria%2C%20New%20York" TargetMode="External" Id="rId129" /><Relationship Type="http://schemas.openxmlformats.org/officeDocument/2006/relationships/hyperlink" Target="https://www.google.com/maps/search/?api=1&amp;query=Peter%20Luger%20Steak%20House%2C%20178%20Broadway%2C%20Brooklyn%2C%20New%20York" TargetMode="External" Id="rId130" /><Relationship Type="http://schemas.openxmlformats.org/officeDocument/2006/relationships/hyperlink" Target="https://www.google.com/maps/search/?api=1&amp;query=Bar%20Bayeux%2C%201066%20Nostrand%20Ave%2C%20Brooklyn%2C%20New%20York" TargetMode="External" Id="rId131" /><Relationship Type="http://schemas.openxmlformats.org/officeDocument/2006/relationships/hyperlink" Target="https://www.google.com/maps/search/?api=1&amp;query=Bar%20LunAtico%2C%20486%20Halsey%20St%2C%20Brooklyn%2C%20New%20York" TargetMode="External" Id="rId132" /><Relationship Type="http://schemas.openxmlformats.org/officeDocument/2006/relationships/hyperlink" Target="https://www.google.com/maps/search/?api=1&amp;query=Cafe%20Wha%3F%2C%20115%20MacDougal%20St%2C%20New%20York" TargetMode="External" Id="rId133" /><Relationship Type="http://schemas.openxmlformats.org/officeDocument/2006/relationships/hyperlink" Target="https://www.google.com/maps/search/?api=1&amp;query=Rudy%27s%20Bar%20%26%20Grill%2C%20627%209th%20Ave%2C%20New%20York" TargetMode="External" Id="rId134" /><Relationship Type="http://schemas.openxmlformats.org/officeDocument/2006/relationships/hyperlink" Target="https://www.google.com/maps/search/?api=1&amp;query=Bill%27s%20Place%2C%20148%20W%20133rd%20St%2C%20New%20York" TargetMode="External" Id="rId135" /><Relationship Type="http://schemas.openxmlformats.org/officeDocument/2006/relationships/hyperlink" Target="https://www.google.com/maps/search/?api=1&amp;query=Birdland%2C%20315%20W%2044th%20St%2C%20New%20York" TargetMode="External" Id="rId136" /><Relationship Type="http://schemas.openxmlformats.org/officeDocument/2006/relationships/hyperlink" Target="https://www.google.com/maps/search/?api=1&amp;query=Blue%20Note%2C%20131%20W%203rd%20St%2C%20New%20York" TargetMode="External" Id="rId137" /><Relationship Type="http://schemas.openxmlformats.org/officeDocument/2006/relationships/hyperlink" Target="https://www.google.com/maps/search/?api=1&amp;query=Dizzy%27s%20Club%20%28Jazz%20at%20Lincoln%20Center%29%2C%2010%20Columbus%20Circle%2C%20piso%205%2C%20New%20York" TargetMode="External" Id="rId138" /><Relationship Type="http://schemas.openxmlformats.org/officeDocument/2006/relationships/hyperlink" Target="https://www.google.com/maps/search/?api=1&amp;query=Mezzrow%2C%20163%20W%2010th%20St%2C%20New%20York" TargetMode="External" Id="rId139" /><Relationship Type="http://schemas.openxmlformats.org/officeDocument/2006/relationships/hyperlink" Target="https://www.google.com/maps/search/?api=1&amp;query=Ornithology%20Jazz%20Club%2C%206%20Suydam%20St%2C%20Brooklyn%2C%20New%20York" TargetMode="External" Id="rId140" /><Relationship Type="http://schemas.openxmlformats.org/officeDocument/2006/relationships/hyperlink" Target="https://www.google.com/maps/search/?api=1&amp;query=Smalls%20Jazz%20Club%2C%20183%20W%2010th%20St%2C%20New%20York" TargetMode="External" Id="rId141" /><Relationship Type="http://schemas.openxmlformats.org/officeDocument/2006/relationships/hyperlink" Target="https://www.google.com/maps/search/?api=1&amp;query=Village%20Vanguard%2C%20178%207th%20Ave%20South%2C%20New%20York" TargetMode="External" Id="rId142" /><Relationship Type="http://schemas.openxmlformats.org/officeDocument/2006/relationships/hyperlink" Target="https://www.google.com/maps/search/?api=1&amp;query=Barbes%2C%20376%209th%20St%2C%20Brooklyn%2C%20New%20York" TargetMode="External" Id="rId143" /><Relationship Type="http://schemas.openxmlformats.org/officeDocument/2006/relationships/hyperlink" Target="https://www.google.com/maps/search/?api=1&amp;query=Nublu%2C%20151%20Avenue%20C%2C%20piso%202%2C%20New%20York" TargetMode="External" Id="rId144" /><Relationship Type="http://schemas.openxmlformats.org/officeDocument/2006/relationships/hyperlink" Target="https://www.google.com/maps/search/?api=1&amp;query=FDR%20Four%20Freedoms%20Park%2C%201%20FDR%20Four%20Freedoms%20Park%2C%20Roosevelt%20Island%2C%20New%20York" TargetMode="External" Id="rId145" /><Relationship Type="http://schemas.openxmlformats.org/officeDocument/2006/relationships/hyperlink" Target="https://www.google.com/maps/search/?api=1&amp;query=Hudson%20Yards%2C%2020%20Hudson%20Yards%2C%20New%20York" TargetMode="External" Id="rId146" /><Relationship Type="http://schemas.openxmlformats.org/officeDocument/2006/relationships/hyperlink" Target="https://www.google.com/maps/search/?api=1&amp;query=Lincoln%20Center%20%28campus%20y%20plaza%29%2C%20Columbus%20Ave%20entre%2062%20y%2066%2C%20New%20York" TargetMode="External" Id="rId147" /><Relationship Type="http://schemas.openxmlformats.org/officeDocument/2006/relationships/hyperlink" Target="https://www.google.com/maps/search/?api=1&amp;query=Little%20Island%2C%20Pier%2055%2C%20Hudson%20River%20Park%2C%20W%2013th%20St%2C%20New%20York" TargetMode="External" Id="rId148" /><Relationship Type="http://schemas.openxmlformats.org/officeDocument/2006/relationships/hyperlink" Target="https://www.google.com/maps/search/?api=1&amp;query=Oculus%20/%20WTC%20Transportation%20Hub%2C%20Church%20St%20%26%20Fulton%20St%2C%20New%20York" TargetMode="External" Id="rId149" /><Relationship Type="http://schemas.openxmlformats.org/officeDocument/2006/relationships/hyperlink" Target="https://www.google.com/maps/search/?api=1&amp;query=Rockefeller%20Center%2C%2045%20Rockefeller%20Plaza%2C%20New%20York" TargetMode="External" Id="rId150" /><Relationship Type="http://schemas.openxmlformats.org/officeDocument/2006/relationships/hyperlink" Target="https://www.google.com/maps/search/?api=1&amp;query=TWA%20Hotel%20%28terminal%20de%20Saarinen%29%2C%20One%20Idlewild%20Dr%2C%20JFK%2C%20New%20York" TargetMode="External" Id="rId151" /><Relationship Type="http://schemas.openxmlformats.org/officeDocument/2006/relationships/hyperlink" Target="https://www.google.com/maps/search/?api=1&amp;query=The%20Vessel%2C%2020%20Hudson%20Yards%2C%20New%20York" TargetMode="External" Id="rId152" /><Relationship Type="http://schemas.openxmlformats.org/officeDocument/2006/relationships/hyperlink" Target="https://www.google.com/maps/search/?api=1&amp;query=Cannon%27s%20Walk%2C%20New%20York" TargetMode="External" Id="rId153" /><Relationship Type="http://schemas.openxmlformats.org/officeDocument/2006/relationships/hyperlink" Target="https://www.google.com/maps/search/?api=1&amp;query=Doyers%20St%2C%20New%20York" TargetMode="External" Id="rId154" /><Relationship Type="http://schemas.openxmlformats.org/officeDocument/2006/relationships/hyperlink" Target="https://www.google.com/maps/search/?api=1&amp;query=Fraunces%20Tavern%2C%2054%20Pearl%20St%2C%20New%20York" TargetMode="External" Id="rId155" /><Relationship Type="http://schemas.openxmlformats.org/officeDocument/2006/relationships/hyperlink" Target="https://www.google.com/maps/search/?api=1&amp;query=Prince%20St%2C%20New%20York" TargetMode="External" Id="rId156" /><Relationship Type="http://schemas.openxmlformats.org/officeDocument/2006/relationships/hyperlink" Target="https://www.google.com/maps/search/?api=1&amp;query=Roosevelt%20Island%20Lighthouse%2C%20New%20York" TargetMode="External" Id="rId157" /><Relationship Type="http://schemas.openxmlformats.org/officeDocument/2006/relationships/hyperlink" Target="https://www.google.com/maps/search/?api=1&amp;query=Smallpox%20Memorial%20Hospital%2C%20New%20York" TargetMode="External" Id="rId158" /><Relationship Type="http://schemas.openxmlformats.org/officeDocument/2006/relationships/hyperlink" Target="https://www.google.com/maps/search/?api=1&amp;query=Stone%20St%2C%20New%20York" TargetMode="External" Id="rId159" /><Relationship Type="http://schemas.openxmlformats.org/officeDocument/2006/relationships/hyperlink" Target="https://www.google.com/maps/search/?api=1&amp;query=Strivers%27%20Row%2C%20W%20138th-139th%20St%20entre%20Adam%20Clayton%20Powell%20y%20Frederick%20Douglass%2C%20New%20York" TargetMode="External" Id="rId160" /><Relationship Type="http://schemas.openxmlformats.org/officeDocument/2006/relationships/hyperlink" Target="https://www.google.com/maps/search/?api=1&amp;query=Vander%20Ende-Onderdonk%20House%2C%201820%20Flushing%20Ave%2C%20Ridgewood%2C%20New%20York" TargetMode="External" Id="rId161" /><Relationship Type="http://schemas.openxmlformats.org/officeDocument/2006/relationships/hyperlink" Target="https://www.google.com/maps/search/?api=1&amp;query=Wall%20St%2C%20New%20York" TargetMode="External" Id="rId162" /><Relationship Type="http://schemas.openxmlformats.org/officeDocument/2006/relationships/hyperlink" Target="https://www.google.com/maps/search/?api=1&amp;query=Washington%20St%20%28la%20foto%20de%20DUMBO%29%2C%20Washington%20St%20%26%20Water%20St%2C%20New%20York" TargetMode="External" Id="rId163" /><Relationship Type="http://schemas.openxmlformats.org/officeDocument/2006/relationships/hyperlink" Target="https://www.google.com/maps/search/?api=1&amp;query=Ford%20Foundation%20Atrium%2C%20320%20E%2043rd%20St%2C%20New%20York" TargetMode="External" Id="rId164" /><Relationship Type="http://schemas.openxmlformats.org/officeDocument/2006/relationships/hyperlink" Target="https://www.google.com/maps/search/?api=1&amp;query=Grand%20Central%20Terminal%2C%2089%20E%2042nd%20St%2C%20New%20York" TargetMode="External" Id="rId165" /><Relationship Type="http://schemas.openxmlformats.org/officeDocument/2006/relationships/hyperlink" Target="https://www.google.com/maps/search/?api=1&amp;query=Lobby%20del%20Chrysler%20Building%2C%20405%20Lexington%20Ave%2C%20New%20York" TargetMode="External" Id="rId166" /><Relationship Type="http://schemas.openxmlformats.org/officeDocument/2006/relationships/hyperlink" Target="https://www.google.com/maps/search/?api=1&amp;query=New%20York%20Public%20Library%20%28Schwarzman%29%2C%20476%205th%20Ave%2C%20New%20York" TargetMode="External" Id="rId167" /><Relationship Type="http://schemas.openxmlformats.org/officeDocument/2006/relationships/hyperlink" Target="https://www.google.com/maps/search/?api=1&amp;query=Wild%20Table%20of%20Love%2C%20New%20York" TargetMode="External" Id="rId168" /><Relationship Type="http://schemas.openxmlformats.org/officeDocument/2006/relationships/hyperlink" Target="https://www.google.com/maps/search/?api=1&amp;query=Puente%20de%20Brooklyn%2C%20New%20York" TargetMode="External" Id="rId169" /><Relationship Type="http://schemas.openxmlformats.org/officeDocument/2006/relationships/hyperlink" Target="https://www.google.com/maps/search/?api=1&amp;query=Basilica%20of%20St.%20Patrick%27s%20Old%20Cathedral%2C%20263%20Mulberry%20St%2C%20New%20York" TargetMode="External" Id="rId170" /><Relationship Type="http://schemas.openxmlformats.org/officeDocument/2006/relationships/hyperlink" Target="https://www.google.com/maps/search/?api=1&amp;query=Museum%20at%20Eldridge%20Street%2C%2012%20Eldridge%20St%2C%20New%20York" TargetMode="External" Id="rId171" /><Relationship Type="http://schemas.openxmlformats.org/officeDocument/2006/relationships/hyperlink" Target="https://www.google.com/maps/search/?api=1&amp;query=Trinity%20Church%2C%2089%20Broadway%2C%20New%20York" TargetMode="External" Id="rId172" /><Relationship Type="http://schemas.openxmlformats.org/officeDocument/2006/relationships/hyperlink" Target="https://www.google.com/maps/search/?api=1&amp;query=Artists%20%26%20Fleas%20Williamsburg%2C%2070%20N%207th%20St%2C%20New%20York" TargetMode="External" Id="rId173" /><Relationship Type="http://schemas.openxmlformats.org/officeDocument/2006/relationships/hyperlink" Target="https://www.google.com/maps/search/?api=1&amp;query=B%26H%20Photo%20Video%2C%20420%209th%20Ave%2C%20New%20York" TargetMode="External" Id="rId174" /><Relationship Type="http://schemas.openxmlformats.org/officeDocument/2006/relationships/hyperlink" Target="https://www.google.com/maps/search/?api=1&amp;query=C.O.%20Bigelow%20Chemists%2C%20414%206th%20Ave%2C%20New%20York" TargetMode="External" Id="rId175" /><Relationship Type="http://schemas.openxmlformats.org/officeDocument/2006/relationships/hyperlink" Target="https://www.google.com/maps/search/?api=1&amp;query=Housing%20Works%20Bookstore%2C%20126%20Crosby%20St%2C%20New%20York" TargetMode="External" Id="rId176" /><Relationship Type="http://schemas.openxmlformats.org/officeDocument/2006/relationships/hyperlink" Target="https://www.google.com/maps/search/?api=1&amp;query=Louis%20Vuitton%2C%201%20E%2057th%20St%2C%20New%20York" TargetMode="External" Id="rId177" /><Relationship Type="http://schemas.openxmlformats.org/officeDocument/2006/relationships/hyperlink" Target="https://www.google.com/maps/search/?api=1&amp;query=M%26M%27S%20World%20New%20York%2C%201600%20Broadway%2C%20New%20York" TargetMode="External" Id="rId178" /><Relationship Type="http://schemas.openxmlformats.org/officeDocument/2006/relationships/hyperlink" Target="https://www.google.com/maps/search/?api=1&amp;query=Green-Wood%20Cemetery%2C%20500%2025th%20St%2C%20Brooklyn%2C%20New%20York" TargetMode="External" Id="rId179" /><Relationship Type="http://schemas.openxmlformats.org/officeDocument/2006/relationships/hyperlink" Target="https://www.google.com/maps/search/?api=1&amp;query=Inwood%20Hill%20Park%2C%20Inwood%20Hill%20Park%2C%20Manhattan%2C%20New%20York" TargetMode="External" Id="rId180" /><Relationship Type="http://schemas.openxmlformats.org/officeDocument/2006/relationships/hyperlink" Target="https://www.google.com/maps/search/?api=1&amp;query=Wave%20Hill%2C%204900%20Independence%20Ave%2C%20Bronx%2C%20New%20York" TargetMode="External" Id="rId181" /><Relationship Type="http://schemas.openxmlformats.org/officeDocument/2006/relationships/hyperlink" Target="https://www.google.com/maps/search/?api=1&amp;query=Socrates%20Sculpture%20Park%2C%2032-01%20Vernon%20Blvd%2C%20LIC%2C%20New%20York" TargetMode="External" Id="rId182" /><Relationship Type="http://schemas.openxmlformats.org/officeDocument/2006/relationships/hyperlink" Target="https://www.google.com/maps/search/?api=1&amp;query=Astoria%20Park%2C%2019th%20St%20%26%2023rd%20Ave%2C%20Astoria%2C%20New%20York" TargetMode="External" Id="rId183" /><Relationship Type="http://schemas.openxmlformats.org/officeDocument/2006/relationships/hyperlink" Target="https://www.google.com/maps/search/?api=1&amp;query=Battery%20Park%2C%20New%20York" TargetMode="External" Id="rId184" /><Relationship Type="http://schemas.openxmlformats.org/officeDocument/2006/relationships/hyperlink" Target="https://www.google.com/maps/search/?api=1&amp;query=Brooklyn%20Bridge%20Park%2C%20334%20Furman%20St%2C%20Brooklyn%2C%20New%20York" TargetMode="External" Id="rId185" /><Relationship Type="http://schemas.openxmlformats.org/officeDocument/2006/relationships/hyperlink" Target="https://www.google.com/maps/search/?api=1&amp;query=Bryant%20Park%2C%20Bryant%20Park%2C%20New%20York%2C%20New%20York" TargetMode="External" Id="rId186" /><Relationship Type="http://schemas.openxmlformats.org/officeDocument/2006/relationships/hyperlink" Target="https://www.google.com/maps/search/?api=1&amp;query=Central%20Park%2C%20Central%20Park%2C%20New%20York%2C%20New%20York" TargetMode="External" Id="rId187" /><Relationship Type="http://schemas.openxmlformats.org/officeDocument/2006/relationships/hyperlink" Target="https://www.google.com/maps/search/?api=1&amp;query=Prospect%20Park%2C%20New%20York" TargetMode="External" Id="rId188" /><Relationship Type="http://schemas.openxmlformats.org/officeDocument/2006/relationships/hyperlink" Target="https://www.google.com/maps/search/?api=1&amp;query=Washington%20Square%20Park%2C%20Washington%20Square%20Park%2C%20New%20York" TargetMode="External" Id="rId189" /><Relationship Type="http://schemas.openxmlformats.org/officeDocument/2006/relationships/hyperlink" Target="https://www.google.com/maps/search/?api=1&amp;query=The%20High%20Line%2C%20High%20Line%2C%20Gansevoort%20St%20a%20W%2034th%20St%2C%20New%20York" TargetMode="External" Id="rId190" /><Relationship Type="http://schemas.openxmlformats.org/officeDocument/2006/relationships/hyperlink" Target="https://www.google.com/maps/search/?api=1&amp;query=US%20Open%20%28primeras%20rondas%29%2C%20USTA%20Billie%20Jean%20King%20NTC%2C%20Flushing%2C%20New%20York" TargetMode="External" Id="rId191" /><Relationship Type="http://schemas.openxmlformats.org/officeDocument/2006/relationships/hyperlink" Target="https://www.google.com/maps/search/?api=1&amp;query=Charlie%20Parker%20Jazz%20Festival%20-%20East%20Village%2C%20Tompkins%20Square%20Park%2C%20New%20York" TargetMode="External" Id="rId192" /><Relationship Type="http://schemas.openxmlformats.org/officeDocument/2006/relationships/hyperlink" Target="https://www.google.com/maps/search/?api=1&amp;query=Charlie%20Parker%20Jazz%20Festival%20-%20Harlem%2C%20Marcus%20Garvey%20Park%2C%20Harlem%2C%20New%20York" TargetMode="External" Id="rId193" /><Relationship Type="http://schemas.openxmlformats.org/officeDocument/2006/relationships/hyperlink" Target="https://www.google.com/maps/search/?api=1&amp;query=SummerStage%3A%20Christian%20McBride%20%28gratis%29%2C%20Rumsey%20Playfield%2C%20Central%20Park%2C%20New%20York" TargetMode="External" Id="rId194" /><Relationship Type="http://schemas.openxmlformats.org/officeDocument/2006/relationships/hyperlink" Target="https://www.google.com/maps/search/?api=1&amp;query=NY%20Caribbean%20Carnival%20Week%20%28Panorama%29%2C%20Brooklyn%20Museum%2C%20200%20Eastern%20Pkwy%2C%20New%20York" TargetMode="External" Id="rId195" /><Relationship Type="http://schemas.openxmlformats.org/officeDocument/2006/relationships/hyperlink" Target="https://www.google.com/maps/search/?api=1&amp;query=Paint%20%27N%20Pour%2C%20New%20York" TargetMode="External" Id="rId196" /><Relationship Type="http://schemas.openxmlformats.org/officeDocument/2006/relationships/hyperlink" Target="https://www.google.com/maps/search/?api=1&amp;query=Time%20To%20Paint%20-%20Painting%20Studio%2C%20New%20York" TargetMode="External" Id="rId197" /><Relationship Type="http://schemas.openxmlformats.org/officeDocument/2006/relationships/hyperlink" Target="https://www.google.com/maps/search/?api=1&amp;query=Green-Wood%20Discover%20Trolley%20Tour%2C%20500%2025th%20St%2C%20Brooklyn%2C%20New%20York" TargetMode="External" Id="rId198" /><Relationship Type="http://schemas.openxmlformats.org/officeDocument/2006/relationships/hyperlink" Target="https://www.google.com/maps/search/?api=1&amp;query=Hamilton%2C%20Richard%20Rodgers%20Theatre%2C%20226%20W%2046th%20St%2C%20New%20York" TargetMode="External" Id="rId199" /><Relationship Type="http://schemas.openxmlformats.org/officeDocument/2006/relationships/hyperlink" Target="https://www.google.com/maps/search/?api=1&amp;query=Maybe%20Happy%20Ending%2C%20Belasco%20Theatre%2C%20111%20W%2044th%20St%2C%20New%20York" TargetMode="External" Id="rId200" /><Relationship Type="http://schemas.openxmlformats.org/officeDocument/2006/relationships/hyperlink" Target="https://www.google.com/maps/search/?api=1&amp;query=Moulin%20Rouge%21%20%28ULTIMAS%20FUNCIONES%29%2C%20Al%20Hirschfeld%20Theatre%2C%20302%20W%2045th%20St%2C%20New%20York" TargetMode="External" Id="rId201" /><Relationship Type="http://schemas.openxmlformats.org/officeDocument/2006/relationships/hyperlink" Target="https://www.google.com/maps/search/?api=1&amp;query=Operation%20Mincemeat%2C%20John%20Golden%20Theatre%2C%20252%20W%2045th%20St%2C%20New%20York" TargetMode="External" Id="rId202" /><Relationship Type="http://schemas.openxmlformats.org/officeDocument/2006/relationships/hyperlink" Target="https://www.google.com/maps/search/?api=1&amp;query=Little%20Shop%20of%20Horrors%20%28Off-Broadway%29%2C%20Westside%20Theatre%2C%20407%20W%2043rd%20St%2C%20New%20York" TargetMode="External" Id="rId203" /><Relationship Type="http://schemas.openxmlformats.org/officeDocument/2006/relationships/hyperlink" Target="https://www.google.com/maps/search/?api=1&amp;query=Stranger%20Things%3A%20The%20First%20Shadow%20%28play%29%2C%20Marquis%20Theatre%2C%20210%20W%2046th%20St%2C%20New%20York" TargetMode="External" Id="rId204" /><Relationship Type="http://schemas.openxmlformats.org/officeDocument/2006/relationships/hyperlink" Target="https://www.google.com/maps/search/?api=1&amp;query=TKTS%20Lincoln%20Center%2C%2061%20W%2062nd%20St%2C%20New%20York" TargetMode="External" Id="rId205" /><Relationship Type="http://schemas.openxmlformats.org/officeDocument/2006/relationships/hyperlink" Target="https://www.google.com/maps/search/?api=1&amp;query=NYC%20Ferry%20DUMBO%20%E2%86%92%20Wall%20St%2C%20New%20York" TargetMode="External" Id="rId206" /><Relationship Type="http://schemas.openxmlformats.org/officeDocument/2006/relationships/hyperlink" Target="https://www.google.com/maps/search/?api=1&amp;query=Hotel%20Ink48%20%2829-31%20ago%29%2C%20653%2011th%20Ave%2C%20New%20York" TargetMode="External" Id="rId207" /><Relationship Type="http://schemas.openxmlformats.org/officeDocument/2006/relationships/hyperlink" Target="https://www.google.com/maps/search/?api=1&amp;query=Hotel%20The%20Beacon%20%283-6%20sep%29%2C%202130%20Broadway%2C%20New%20York" TargetMode="External" Id="rId208" /><Relationship Type="http://schemas.openxmlformats.org/officeDocument/2006/relationships/hyperlink" Target="https://www.google.com/maps/search/?api=1&amp;query=JGSTAY%20SoHo%20%28JP%3A%2031%20ago-2%20sep%29%2C%20120%20Lafayette%20St%2C%20NY%2010013%2C%20New%20York" TargetMode="External" Id="rId209"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21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14"/>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2</v>
      </c>
      <c r="G6" s="12" t="n">
        <v>2</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Fort Tryon Park</t>
        </is>
      </c>
      <c r="B10" s="10" t="inlineStr">
        <is>
          <t>Mirador gratis</t>
        </is>
      </c>
      <c r="C10" s="11" t="inlineStr">
        <is>
          <t>Mirador</t>
        </is>
      </c>
      <c r="D10" s="11" t="inlineStr">
        <is>
          <t>Washington Heights</t>
        </is>
      </c>
      <c r="E10" s="11" t="inlineStr">
        <is>
          <t>Manhattan</t>
        </is>
      </c>
      <c r="F10" s="12" t="n">
        <v>2</v>
      </c>
      <c r="G10" s="12" t="n">
        <v>0</v>
      </c>
      <c r="H10" s="13">
        <f>IF(AND(F10=2,G10=2),"AMBOS",IF(AND(F10=2,G10&lt;2),"solo JP",IF(AND(F10&lt;2,G10=2),"solo Thais","-")))</f>
        <v/>
      </c>
      <c r="I10" s="14" t="n">
        <v>0</v>
      </c>
      <c r="J10" s="15" t="n">
        <v>1.5</v>
      </c>
      <c r="K10" s="13" t="inlineStr">
        <is>
          <t>no</t>
        </is>
      </c>
      <c r="L10" s="16" t="inlineStr">
        <is>
          <t>—</t>
        </is>
      </c>
      <c r="M10" s="11" t="inlineStr">
        <is>
          <t>—</t>
        </is>
      </c>
      <c r="N10" s="16" t="inlineStr">
        <is>
          <t>—</t>
        </is>
      </c>
      <c r="O10" s="16" t="inlineStr">
        <is>
          <t>—</t>
        </is>
      </c>
      <c r="P10" s="16" t="inlineStr">
        <is>
          <t>190 St (A)</t>
        </is>
      </c>
      <c r="Q10" s="16" t="inlineStr">
        <is>
          <t>El Hudson y los Palisades sin un solo edificio a la vista. No parece Manhattan. Se combina con The Cloisters en la misma caminata.</t>
        </is>
      </c>
      <c r="R10" s="16" t="inlineStr">
        <is>
          <t>Fort Tryon Park, Manhattan</t>
        </is>
      </c>
      <c r="S10" s="17" t="inlineStr">
        <is>
          <t>Día 4 · mar 1/9</t>
        </is>
      </c>
      <c r="T10" s="18" t="inlineStr">
        <is>
          <t>Abrir ↗</t>
        </is>
      </c>
      <c r="U10" s="21" t="inlineStr">
        <is>
          <t>otros</t>
        </is>
      </c>
      <c r="V10" s="20" t="inlineStr"/>
    </row>
    <row r="11" ht="46" customHeight="1">
      <c r="A11" s="9" t="inlineStr">
        <is>
          <t>Gantry Plaza State Park</t>
        </is>
      </c>
      <c r="B11" s="10" t="inlineStr">
        <is>
          <t>Mirador gratis</t>
        </is>
      </c>
      <c r="C11" s="11" t="inlineStr">
        <is>
          <t>Mirador</t>
        </is>
      </c>
      <c r="D11" s="11" t="inlineStr">
        <is>
          <t>Long Island City</t>
        </is>
      </c>
      <c r="E11" s="11" t="inlineStr">
        <is>
          <t>Queens</t>
        </is>
      </c>
      <c r="F11" s="12" t="n">
        <v>1</v>
      </c>
      <c r="G11" s="12" t="n">
        <v>1</v>
      </c>
      <c r="H11" s="13">
        <f>IF(AND(F11=2,G11=2),"AMBOS",IF(AND(F11=2,G11&lt;2),"solo JP",IF(AND(F11&lt;2,G11=2),"solo Thais","-")))</f>
        <v/>
      </c>
      <c r="I11" s="14" t="n">
        <v>0</v>
      </c>
      <c r="J11" s="15" t="n">
        <v>1</v>
      </c>
      <c r="K11" s="13" t="inlineStr">
        <is>
          <t>no</t>
        </is>
      </c>
      <c r="L11" s="16" t="inlineStr">
        <is>
          <t>—</t>
        </is>
      </c>
      <c r="M11" s="11" t="inlineStr">
        <is>
          <t>—</t>
        </is>
      </c>
      <c r="N11" s="16" t="inlineStr">
        <is>
          <t>—</t>
        </is>
      </c>
      <c r="O11" s="16" t="inlineStr">
        <is>
          <t>—</t>
        </is>
      </c>
      <c r="P11" s="16" t="inlineStr">
        <is>
          <t>Vernon Blvd-Jackson Av (7), 21 St (G)</t>
        </is>
      </c>
      <c r="Q11" s="16" t="inlineStr">
        <is>
          <t>La mejor vista frontal de Midtown que existe, desde el nivel del agua, con las gruas ferroviarias historicas y el cartel Pepsi-Cola. Practicamente sin turistas.</t>
        </is>
      </c>
      <c r="R11" s="16" t="inlineStr">
        <is>
          <t>4-09 47th Rd, LIC</t>
        </is>
      </c>
      <c r="S11" s="16" t="inlineStr">
        <is>
          <t>—</t>
        </is>
      </c>
      <c r="T11" s="18" t="inlineStr">
        <is>
          <t>Abrir ↗</t>
        </is>
      </c>
      <c r="U11" s="21" t="inlineStr">
        <is>
          <t>otros</t>
        </is>
      </c>
      <c r="V11" s="20" t="inlineStr"/>
    </row>
    <row r="12" ht="46" customHeight="1">
      <c r="A12" s="9" t="inlineStr">
        <is>
          <t>Louis Valentino Jr. Pier</t>
        </is>
      </c>
      <c r="B12" s="10" t="inlineStr">
        <is>
          <t>Mirador gratis</t>
        </is>
      </c>
      <c r="C12" s="11" t="inlineStr">
        <is>
          <t>Mirador</t>
        </is>
      </c>
      <c r="D12" s="11" t="inlineStr">
        <is>
          <t>Red Hook</t>
        </is>
      </c>
      <c r="E12" s="11" t="inlineStr">
        <is>
          <t>Brooklyn</t>
        </is>
      </c>
      <c r="F12" s="12" t="n">
        <v>0</v>
      </c>
      <c r="G12" s="12" t="n">
        <v>0</v>
      </c>
      <c r="H12" s="13">
        <f>IF(AND(F12=2,G12=2),"AMBOS",IF(AND(F12=2,G12&lt;2),"solo JP",IF(AND(F12&lt;2,G12=2),"solo Thais","-")))</f>
        <v/>
      </c>
      <c r="I12" s="14" t="n">
        <v>0</v>
      </c>
      <c r="J12" s="15" t="n">
        <v>0.5</v>
      </c>
      <c r="K12" s="13" t="inlineStr">
        <is>
          <t>no</t>
        </is>
      </c>
      <c r="L12" s="16" t="inlineStr">
        <is>
          <t>—</t>
        </is>
      </c>
      <c r="M12" s="11" t="inlineStr">
        <is>
          <t>—</t>
        </is>
      </c>
      <c r="N12" s="16" t="inlineStr">
        <is>
          <t>—</t>
        </is>
      </c>
      <c r="O12" s="16" t="inlineStr">
        <is>
          <t>—</t>
        </is>
      </c>
      <c r="P12" s="16" t="inlineStr">
        <is>
          <t>sin subte: NYC Ferry o bus B61 desde Carroll St (F,G)</t>
        </is>
      </c>
      <c r="Q12" s="16" t="inlineStr">
        <is>
          <t>La Estatua de la Libertad de frente, gratis, casi siempre vacio. La alternativa real al ferry pago.</t>
        </is>
      </c>
      <c r="R12" s="16" t="inlineStr">
        <is>
          <t>Ferris St &amp; Coffey St, Brooklyn</t>
        </is>
      </c>
      <c r="S12" s="16" t="inlineStr">
        <is>
          <t>—</t>
        </is>
      </c>
      <c r="T12" s="18" t="inlineStr">
        <is>
          <t>Abrir ↗</t>
        </is>
      </c>
      <c r="U12" s="21" t="inlineStr">
        <is>
          <t>otros</t>
        </is>
      </c>
      <c r="V12" s="20" t="inlineStr"/>
    </row>
    <row r="13" ht="46" customHeight="1">
      <c r="A13" s="9" t="inlineStr">
        <is>
          <t>Pier 35</t>
        </is>
      </c>
      <c r="B13" s="10" t="inlineStr">
        <is>
          <t>Mirador gratis</t>
        </is>
      </c>
      <c r="C13" s="11" t="inlineStr">
        <is>
          <t>Mirador</t>
        </is>
      </c>
      <c r="D13" s="11" t="inlineStr">
        <is>
          <t>Lower East Side</t>
        </is>
      </c>
      <c r="E13" s="11" t="inlineStr">
        <is>
          <t>Manhattan</t>
        </is>
      </c>
      <c r="F13" s="12" t="n">
        <v>1</v>
      </c>
      <c r="G13" s="12" t="n">
        <v>1</v>
      </c>
      <c r="H13" s="13">
        <f>IF(AND(F13=2,G13=2),"AMBOS",IF(AND(F13=2,G13&lt;2),"solo JP",IF(AND(F13&lt;2,G13=2),"solo Thais","-")))</f>
        <v/>
      </c>
      <c r="I13" s="14" t="n">
        <v>0</v>
      </c>
      <c r="J13" s="15" t="n">
        <v>0.4</v>
      </c>
      <c r="K13" s="13" t="inlineStr">
        <is>
          <t>no</t>
        </is>
      </c>
      <c r="L13" s="16" t="inlineStr">
        <is>
          <t>—</t>
        </is>
      </c>
      <c r="M13" s="11" t="inlineStr">
        <is>
          <t>—</t>
        </is>
      </c>
      <c r="N13" s="16" t="inlineStr">
        <is>
          <t>—</t>
        </is>
      </c>
      <c r="O13" s="16" t="inlineStr">
        <is>
          <t>—</t>
        </is>
      </c>
      <c r="P13" s="16" t="inlineStr">
        <is>
          <t>East Broadway (F)</t>
        </is>
      </c>
      <c r="Q13" s="16" t="inlineStr">
        <is>
          <t>Eco-park con hamacas frente al puente de Manhattan. Vacío y bien orientado al atardecer.</t>
        </is>
      </c>
      <c r="R13" s="16" t="inlineStr"/>
      <c r="S13" s="16" t="inlineStr">
        <is>
          <t>—</t>
        </is>
      </c>
      <c r="T13" s="18" t="inlineStr">
        <is>
          <t>Abrir ↗</t>
        </is>
      </c>
      <c r="U13" s="19" t="inlineStr">
        <is>
          <t>lista google</t>
        </is>
      </c>
      <c r="V13" s="20" t="inlineStr"/>
    </row>
    <row r="14" ht="46" customHeight="1">
      <c r="A14" s="9" t="inlineStr">
        <is>
          <t>Pier 57</t>
        </is>
      </c>
      <c r="B14" s="10" t="inlineStr">
        <is>
          <t>Mirador gratis</t>
        </is>
      </c>
      <c r="C14" s="11" t="inlineStr">
        <is>
          <t>Mirador</t>
        </is>
      </c>
      <c r="D14" s="11" t="inlineStr">
        <is>
          <t>Chelsea</t>
        </is>
      </c>
      <c r="E14" s="11" t="inlineStr">
        <is>
          <t>Manhattan</t>
        </is>
      </c>
      <c r="F14" s="12" t="n">
        <v>1</v>
      </c>
      <c r="G14" s="12" t="n">
        <v>1</v>
      </c>
      <c r="H14" s="13">
        <f>IF(AND(F14=2,G14=2),"AMBOS",IF(AND(F14=2,G14&lt;2),"solo JP",IF(AND(F14&lt;2,G14=2),"solo Thais","-")))</f>
        <v/>
      </c>
      <c r="I14" s="14" t="n">
        <v>0</v>
      </c>
      <c r="J14" s="15" t="n">
        <v>0.75</v>
      </c>
      <c r="K14" s="13" t="inlineStr">
        <is>
          <t>no</t>
        </is>
      </c>
      <c r="L14" s="16" t="inlineStr">
        <is>
          <t>—</t>
        </is>
      </c>
      <c r="M14" s="11" t="inlineStr">
        <is>
          <t>—</t>
        </is>
      </c>
      <c r="N14" s="16" t="inlineStr">
        <is>
          <t>—</t>
        </is>
      </c>
      <c r="O14" s="16" t="inlineStr">
        <is>
          <t>—</t>
        </is>
      </c>
      <c r="P14" s="16" t="inlineStr">
        <is>
          <t>14 St (A,C,E)</t>
        </is>
      </c>
      <c r="Q14" s="16" t="inlineStr">
        <is>
          <t>Parque en la AZOTEA de un muelle, gratis, con el Hudson de frente y un food hall abajo. Al lado del Little Island.</t>
        </is>
      </c>
      <c r="R14" s="16" t="inlineStr">
        <is>
          <t>25 11th Ave</t>
        </is>
      </c>
      <c r="S14" s="16" t="inlineStr">
        <is>
          <t>—</t>
        </is>
      </c>
      <c r="T14" s="18" t="inlineStr">
        <is>
          <t>Abrir ↗</t>
        </is>
      </c>
      <c r="U14" s="19" t="inlineStr">
        <is>
          <t>lista google</t>
        </is>
      </c>
      <c r="V14" s="20" t="inlineStr"/>
    </row>
    <row r="15" ht="46" customHeight="1">
      <c r="A15" s="9" t="inlineStr">
        <is>
          <t>Sunset Park (el mirador)</t>
        </is>
      </c>
      <c r="B15" s="10" t="inlineStr">
        <is>
          <t>Mirador gratis</t>
        </is>
      </c>
      <c r="C15" s="11" t="inlineStr">
        <is>
          <t>Mirador</t>
        </is>
      </c>
      <c r="D15" s="11" t="inlineStr">
        <is>
          <t>Sunset Park</t>
        </is>
      </c>
      <c r="E15" s="11" t="inlineStr">
        <is>
          <t>Brooklyn</t>
        </is>
      </c>
      <c r="F15" s="12" t="n">
        <v>1</v>
      </c>
      <c r="G15" s="12" t="n">
        <v>1</v>
      </c>
      <c r="H15" s="13">
        <f>IF(AND(F15=2,G15=2),"AMBOS",IF(AND(F15=2,G15&lt;2),"solo JP",IF(AND(F15&lt;2,G15=2),"solo Thais","-")))</f>
        <v/>
      </c>
      <c r="I15" s="14" t="n">
        <v>0</v>
      </c>
      <c r="J15" s="15" t="n">
        <v>0.5</v>
      </c>
      <c r="K15" s="13" t="inlineStr">
        <is>
          <t>no</t>
        </is>
      </c>
      <c r="L15" s="16" t="inlineStr">
        <is>
          <t>—</t>
        </is>
      </c>
      <c r="M15" s="11" t="inlineStr">
        <is>
          <t>—</t>
        </is>
      </c>
      <c r="N15" s="16" t="inlineStr">
        <is>
          <t>—</t>
        </is>
      </c>
      <c r="O15" s="16" t="inlineStr">
        <is>
          <t>—</t>
        </is>
      </c>
      <c r="P15" s="16" t="inlineStr">
        <is>
          <t>25 St (R)</t>
        </is>
      </c>
      <c r="Q15" s="16" t="inlineStr">
        <is>
          <t>Manhattan entero, el puerto y la Estatua de la Libertad desde una loma en un barrio residencial. Cero turistas.</t>
        </is>
      </c>
      <c r="R15" s="16" t="inlineStr">
        <is>
          <t>Sunset Park, 5th Ave &amp; 41st St, Brooklyn</t>
        </is>
      </c>
      <c r="S15" s="16" t="inlineStr">
        <is>
          <t>—</t>
        </is>
      </c>
      <c r="T15" s="18" t="inlineStr">
        <is>
          <t>Abrir ↗</t>
        </is>
      </c>
      <c r="U15" s="19" t="inlineStr">
        <is>
          <t>lista google</t>
        </is>
      </c>
      <c r="V15" s="20" t="inlineStr"/>
    </row>
    <row r="16" ht="46" customHeight="1">
      <c r="A16" s="9" t="inlineStr">
        <is>
          <t>Edge Hudson Yards</t>
        </is>
      </c>
      <c r="B16" s="10" t="inlineStr">
        <is>
          <t>Observatorio pago</t>
        </is>
      </c>
      <c r="C16" s="11" t="inlineStr">
        <is>
          <t>Mirador</t>
        </is>
      </c>
      <c r="D16" s="11" t="inlineStr">
        <is>
          <t>Hudson Yards</t>
        </is>
      </c>
      <c r="E16" s="11" t="inlineStr">
        <is>
          <t>Manhattan</t>
        </is>
      </c>
      <c r="F16" s="12" t="n">
        <v>0</v>
      </c>
      <c r="G16" s="12" t="n">
        <v>0</v>
      </c>
      <c r="H16" s="13">
        <f>IF(AND(F16=2,G16=2),"AMBOS",IF(AND(F16=2,G16&lt;2),"solo JP",IF(AND(F16&lt;2,G16=2),"solo Thais","-")))</f>
        <v/>
      </c>
      <c r="I16" s="14" t="n">
        <v>34</v>
      </c>
      <c r="J16" s="15" t="n">
        <v>1.25</v>
      </c>
      <c r="K16" s="13" t="inlineStr">
        <is>
          <t>SÍ</t>
        </is>
      </c>
      <c r="L16" s="16" t="inlineStr">
        <is>
          <t>—</t>
        </is>
      </c>
      <c r="M16" s="11" t="inlineStr">
        <is>
          <t>—</t>
        </is>
      </c>
      <c r="N16" s="16" t="inlineStr">
        <is>
          <t>—</t>
        </is>
      </c>
      <c r="O16" s="16" t="inlineStr">
        <is>
          <t>timed entry; Advance Saver exige 14+ dias</t>
        </is>
      </c>
      <c r="P16" s="16" t="inlineStr">
        <is>
          <t>34 St-Hudson Yards (7)</t>
        </is>
      </c>
      <c r="Q16" s="16" t="inlineStr">
        <is>
          <t>Terraza triangular en voladizo con piso de vidrio. El mas espectacular fisicamente, pero la vista es la mas floja de los tres: estas demasiado al oeste.</t>
        </is>
      </c>
      <c r="R16" s="16" t="inlineStr">
        <is>
          <t>30 Hudson Yards</t>
        </is>
      </c>
      <c r="S16" s="16" t="inlineStr">
        <is>
          <t>—</t>
        </is>
      </c>
      <c r="T16" s="18" t="inlineStr">
        <is>
          <t>Abrir ↗</t>
        </is>
      </c>
      <c r="U16" s="19" t="inlineStr">
        <is>
          <t>lista google</t>
        </is>
      </c>
      <c r="V16" s="20" t="inlineStr"/>
    </row>
    <row r="17" ht="46" customHeight="1">
      <c r="A17" s="9" t="inlineStr">
        <is>
          <t>Empire State Building</t>
        </is>
      </c>
      <c r="B17" s="10" t="inlineStr">
        <is>
          <t>Observatorio pago</t>
        </is>
      </c>
      <c r="C17" s="11" t="inlineStr">
        <is>
          <t>Mirador</t>
        </is>
      </c>
      <c r="D17" s="11" t="inlineStr">
        <is>
          <t>Midtown</t>
        </is>
      </c>
      <c r="E17" s="11" t="inlineStr">
        <is>
          <t>Manhattan</t>
        </is>
      </c>
      <c r="F17" s="12" t="n">
        <v>0</v>
      </c>
      <c r="G17" s="12" t="n">
        <v>0</v>
      </c>
      <c r="H17" s="13">
        <f>IF(AND(F17=2,G17=2),"AMBOS",IF(AND(F17=2,G17&lt;2),"solo JP",IF(AND(F17&lt;2,G17=2),"solo Thais","-")))</f>
        <v/>
      </c>
      <c r="I17" s="14" t="n">
        <v>49</v>
      </c>
      <c r="J17" s="15" t="n">
        <v>1.5</v>
      </c>
      <c r="K17" s="13" t="inlineStr">
        <is>
          <t>SÍ</t>
        </is>
      </c>
      <c r="L17" s="16" t="inlineStr">
        <is>
          <t>—</t>
        </is>
      </c>
      <c r="M17" s="11" t="inlineStr">
        <is>
          <t>—</t>
        </is>
      </c>
      <c r="N17" s="16" t="inlineStr">
        <is>
          <t>—</t>
        </is>
      </c>
      <c r="O17" s="16" t="inlineStr">
        <is>
          <t>recomendada</t>
        </is>
      </c>
      <c r="P17" s="16" t="inlineStr">
        <is>
          <t>34 St-Herald Sq (B,D,F,M,N,Q,R,W)</t>
        </is>
      </c>
      <c r="Q17" s="16" t="inlineStr">
        <is>
          <t>El icono. La vista es buena pero no la mejor; el valor esta en el edificio mismo y el museo art deco del segundo piso.</t>
        </is>
      </c>
      <c r="R17" s="16" t="inlineStr">
        <is>
          <t>20 W 34th St</t>
        </is>
      </c>
      <c r="S17" s="16" t="inlineStr">
        <is>
          <t>—</t>
        </is>
      </c>
      <c r="T17" s="18" t="inlineStr">
        <is>
          <t>Abrir ↗</t>
        </is>
      </c>
      <c r="U17" s="21" t="inlineStr">
        <is>
          <t>otros</t>
        </is>
      </c>
      <c r="V17" s="20" t="inlineStr"/>
    </row>
    <row r="18" ht="46" customHeight="1">
      <c r="A18" s="9" t="inlineStr">
        <is>
          <t>One World Observatory</t>
        </is>
      </c>
      <c r="B18" s="10" t="inlineStr">
        <is>
          <t>Observatorio pago</t>
        </is>
      </c>
      <c r="C18" s="11" t="inlineStr">
        <is>
          <t>Mirador</t>
        </is>
      </c>
      <c r="D18" s="11" t="inlineStr">
        <is>
          <t>Financial District</t>
        </is>
      </c>
      <c r="E18" s="11" t="inlineStr">
        <is>
          <t>Manhattan</t>
        </is>
      </c>
      <c r="F18" s="12" t="n">
        <v>2</v>
      </c>
      <c r="G18" s="12" t="n">
        <v>0</v>
      </c>
      <c r="H18" s="13">
        <f>IF(AND(F18=2,G18=2),"AMBOS",IF(AND(F18=2,G18&lt;2),"solo JP",IF(AND(F18&lt;2,G18=2),"solo Thais","-")))</f>
        <v/>
      </c>
      <c r="I18" s="14" t="n">
        <v>44</v>
      </c>
      <c r="J18" s="15" t="n">
        <v>1.25</v>
      </c>
      <c r="K18" s="13" t="inlineStr">
        <is>
          <t>SÍ</t>
        </is>
      </c>
      <c r="L18" s="16" t="inlineStr">
        <is>
          <t>lunes a domingo: 09:00–21:00</t>
        </is>
      </c>
      <c r="M18" s="11" t="inlineStr">
        <is>
          <t>—</t>
        </is>
      </c>
      <c r="N18" s="16" t="inlineStr">
        <is>
          <t>—</t>
        </is>
      </c>
      <c r="O18" s="16" t="inlineStr">
        <is>
          <t>recomendada</t>
        </is>
      </c>
      <c r="P18" s="16" t="inlineStr">
        <is>
          <t>WTC Cortlandt (1), Fulton St</t>
        </is>
      </c>
      <c r="Q18" s="16" t="inlineStr">
        <is>
          <t>El punto mas alto del hemisferio occidental. Vista dominada por el puerto y Brooklyn. El truco real es entrar despues de las 20:00 a mitad de precio.</t>
        </is>
      </c>
      <c r="R18" s="16" t="inlineStr">
        <is>
          <t>117 West St</t>
        </is>
      </c>
      <c r="S18" s="17" t="inlineStr">
        <is>
          <t>Día 6 · jue 3/9</t>
        </is>
      </c>
      <c r="T18" s="18" t="inlineStr">
        <is>
          <t>Abrir ↗</t>
        </is>
      </c>
      <c r="U18" s="21" t="inlineStr">
        <is>
          <t>otros</t>
        </is>
      </c>
      <c r="V18" s="20" t="inlineStr">
        <is>
          <t>SÍ</t>
        </is>
      </c>
    </row>
    <row r="19" ht="46" customHeight="1">
      <c r="A19" s="9" t="inlineStr">
        <is>
          <t>SUMMIT One Vanderbilt</t>
        </is>
      </c>
      <c r="B19" s="10" t="inlineStr">
        <is>
          <t>Observatorio pago</t>
        </is>
      </c>
      <c r="C19" s="11" t="inlineStr">
        <is>
          <t>Mirador</t>
        </is>
      </c>
      <c r="D19" s="11" t="inlineStr">
        <is>
          <t>Midtown East</t>
        </is>
      </c>
      <c r="E19" s="11" t="inlineStr">
        <is>
          <t>Manhattan</t>
        </is>
      </c>
      <c r="F19" s="12" t="n">
        <v>2</v>
      </c>
      <c r="G19" s="12" t="n">
        <v>2</v>
      </c>
      <c r="H19" s="13">
        <f>IF(AND(F19=2,G19=2),"AMBOS",IF(AND(F19=2,G19&lt;2),"solo JP",IF(AND(F19&lt;2,G19=2),"solo Thais","-")))</f>
        <v/>
      </c>
      <c r="I19" s="14" t="n">
        <v>44</v>
      </c>
      <c r="J19" s="15" t="n">
        <v>1.5</v>
      </c>
      <c r="K19" s="13" t="inlineStr">
        <is>
          <t>SÍ</t>
        </is>
      </c>
      <c r="L19" s="16" t="inlineStr">
        <is>
          <t>lunes a domingo: 09:00–24:00</t>
        </is>
      </c>
      <c r="M19" s="11" t="inlineStr">
        <is>
          <t>—</t>
        </is>
      </c>
      <c r="N19" s="16" t="inlineStr">
        <is>
          <t>—</t>
        </is>
      </c>
      <c r="O19" s="16" t="inlineStr">
        <is>
          <t>ticket con horario, reservar 1-2 semanas antes</t>
        </is>
      </c>
      <c r="P19" s="16" t="inlineStr">
        <is>
          <t>Grand Central-42 St (4,5,6,7,S)</t>
        </is>
      </c>
      <c r="Q19" s="16" t="inlineStr">
        <is>
          <t>El unico observatorio que es una obra de arte en si: salas de espejos infinitos de Kusama, piso de vidrio y ascensor exterior. Mas experiencia que mirador.</t>
        </is>
      </c>
      <c r="R19" s="16" t="inlineStr">
        <is>
          <t>45 E 42nd St</t>
        </is>
      </c>
      <c r="S19" s="17" t="inlineStr">
        <is>
          <t>Día 7 · vie 4/9</t>
        </is>
      </c>
      <c r="T19" s="18" t="inlineStr">
        <is>
          <t>Abrir ↗</t>
        </is>
      </c>
      <c r="U19" s="19" t="inlineStr">
        <is>
          <t>lista google</t>
        </is>
      </c>
      <c r="V19" s="20" t="inlineStr">
        <is>
          <t>SÍ</t>
        </is>
      </c>
    </row>
    <row r="20" ht="46" customHeight="1">
      <c r="A20" s="9" t="inlineStr">
        <is>
          <t>Top of the Rock</t>
        </is>
      </c>
      <c r="B20" s="10" t="inlineStr">
        <is>
          <t>Observatorio pago</t>
        </is>
      </c>
      <c r="C20" s="11" t="inlineStr">
        <is>
          <t>Mirador</t>
        </is>
      </c>
      <c r="D20" s="11" t="inlineStr">
        <is>
          <t>Midtown</t>
        </is>
      </c>
      <c r="E20" s="11" t="inlineStr">
        <is>
          <t>Manhattan</t>
        </is>
      </c>
      <c r="F20" s="12" t="n">
        <v>2</v>
      </c>
      <c r="G20" s="12" t="n">
        <v>0</v>
      </c>
      <c r="H20" s="13">
        <f>IF(AND(F20=2,G20=2),"AMBOS",IF(AND(F20=2,G20&lt;2),"solo JP",IF(AND(F20&lt;2,G20=2),"solo Thais","-")))</f>
        <v/>
      </c>
      <c r="I20" s="14" t="n">
        <v>42</v>
      </c>
      <c r="J20" s="15" t="n">
        <v>1.5</v>
      </c>
      <c r="K20" s="13" t="inlineStr">
        <is>
          <t>SÍ</t>
        </is>
      </c>
      <c r="L20" s="16" t="inlineStr">
        <is>
          <t>lunes a domingo: 08:00–24:00</t>
        </is>
      </c>
      <c r="M20" s="11" t="inlineStr">
        <is>
          <t>—</t>
        </is>
      </c>
      <c r="N20" s="16" t="inlineStr">
        <is>
          <t>—</t>
        </is>
      </c>
      <c r="O20" s="16" t="inlineStr">
        <is>
          <t>ticket con horario</t>
        </is>
      </c>
      <c r="P20" s="16" t="inlineStr">
        <is>
          <t>47-50 Sts-Rockefeller Ctr (B,D,F,M)</t>
        </is>
      </c>
      <c r="Q20" s="16" t="inlineStr">
        <is>
          <t>El unico observatorio desde el que se ve el Empire State en el encuadre, con Central Park del otro lado. Si van a pagar uno solo, es este.</t>
        </is>
      </c>
      <c r="R20" s="16" t="inlineStr">
        <is>
          <t>30 Rockefeller Plaza</t>
        </is>
      </c>
      <c r="S20" s="17" t="inlineStr">
        <is>
          <t>Día 3 · lun 31/8</t>
        </is>
      </c>
      <c r="T20" s="18" t="inlineStr">
        <is>
          <t>Abrir ↗</t>
        </is>
      </c>
      <c r="U20" s="19" t="inlineStr">
        <is>
          <t>lista google</t>
        </is>
      </c>
      <c r="V20" s="20" t="inlineStr">
        <is>
          <t>SÍ</t>
        </is>
      </c>
    </row>
    <row r="21" ht="46" customHeight="1">
      <c r="A21" s="9" t="inlineStr">
        <is>
          <t>MO Lounge — Mandarin Oriental (piso 35)</t>
        </is>
      </c>
      <c r="B21" s="10" t="inlineStr">
        <is>
          <t>Rooftop bar</t>
        </is>
      </c>
      <c r="C21" s="11" t="inlineStr">
        <is>
          <t>Mirador</t>
        </is>
      </c>
      <c r="D21" s="11" t="inlineStr">
        <is>
          <t>Columbus Circle</t>
        </is>
      </c>
      <c r="E21" s="11" t="inlineStr">
        <is>
          <t>Manhattan</t>
        </is>
      </c>
      <c r="F21" s="12" t="n">
        <v>2</v>
      </c>
      <c r="G21" s="12" t="n">
        <v>2</v>
      </c>
      <c r="H21" s="13">
        <f>IF(AND(F21=2,G21=2),"AMBOS",IF(AND(F21=2,G21&lt;2),"solo JP",IF(AND(F21&lt;2,G21=2),"solo Thais","-")))</f>
        <v/>
      </c>
      <c r="I21" s="14" t="n">
        <v>30</v>
      </c>
      <c r="J21" s="15" t="n">
        <v>0.75</v>
      </c>
      <c r="K21" s="13" t="inlineStr">
        <is>
          <t>SÍ</t>
        </is>
      </c>
      <c r="L21" s="16" t="inlineStr">
        <is>
          <t>lunes a miércoles: 07:00–23:00 · jueves a sábado: 07:00–24:00 · domingo: 07:00–23:00</t>
        </is>
      </c>
      <c r="M21" s="11" t="inlineStr">
        <is>
          <t>—</t>
        </is>
      </c>
      <c r="N21" s="16" t="inlineStr">
        <is>
          <t>—</t>
        </is>
      </c>
      <c r="O21" s="16" t="inlineStr">
        <is>
          <t>recomendada (SevenRooms)</t>
        </is>
      </c>
      <c r="P21" s="16" t="inlineStr">
        <is>
          <t>59 St-Columbus Circle (1,A,B,C,D)</t>
        </is>
      </c>
      <c r="Q21"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1" s="16" t="inlineStr">
        <is>
          <t>80 Columbus Circle, piso 35</t>
        </is>
      </c>
      <c r="S21" s="17" t="inlineStr">
        <is>
          <t>Día 6 · jue 3/9</t>
        </is>
      </c>
      <c r="T21" s="18" t="inlineStr">
        <is>
          <t>Abrir ↗</t>
        </is>
      </c>
      <c r="U21" s="21" t="inlineStr">
        <is>
          <t>otros</t>
        </is>
      </c>
      <c r="V21" s="20" t="inlineStr"/>
    </row>
    <row r="22" ht="46" customHeight="1">
      <c r="A22" s="9" t="inlineStr">
        <is>
          <t>The Crown (50 Bowery)</t>
        </is>
      </c>
      <c r="B22" s="10" t="inlineStr">
        <is>
          <t>Rooftop bar</t>
        </is>
      </c>
      <c r="C22" s="11" t="inlineStr">
        <is>
          <t>Mirador</t>
        </is>
      </c>
      <c r="D22" s="11" t="inlineStr">
        <is>
          <t>Chinatown</t>
        </is>
      </c>
      <c r="E22" s="11" t="inlineStr">
        <is>
          <t>Manhattan</t>
        </is>
      </c>
      <c r="F22" s="12" t="n">
        <v>2</v>
      </c>
      <c r="G22" s="12" t="n">
        <v>2</v>
      </c>
      <c r="H22" s="13">
        <f>IF(AND(F22=2,G22=2),"AMBOS",IF(AND(F22=2,G22&lt;2),"solo JP",IF(AND(F22&lt;2,G22=2),"solo Thais","-")))</f>
        <v/>
      </c>
      <c r="I22" s="14" t="n">
        <v>20</v>
      </c>
      <c r="J22" s="15" t="n">
        <v>1</v>
      </c>
      <c r="K22" s="13" t="inlineStr">
        <is>
          <t>no</t>
        </is>
      </c>
      <c r="L22" s="16" t="inlineStr">
        <is>
          <t>—</t>
        </is>
      </c>
      <c r="M22" s="11" t="inlineStr">
        <is>
          <t>—</t>
        </is>
      </c>
      <c r="N22" s="16" t="inlineStr">
        <is>
          <t>—</t>
        </is>
      </c>
      <c r="O22" s="16" t="inlineStr">
        <is>
          <t>—</t>
        </is>
      </c>
      <c r="P22" s="16" t="inlineStr">
        <is>
          <t>Grand St (B,D), Canal St</t>
        </is>
      </c>
      <c r="Q22" s="16" t="inlineStr">
        <is>
          <t>Vista desde el sur con el Manhattan Bridge y los puentes en primer plano. Angulo que no da ningun observatorio pago.</t>
        </is>
      </c>
      <c r="R22" s="16" t="inlineStr">
        <is>
          <t>50 Bowery, piso 21</t>
        </is>
      </c>
      <c r="S22" s="17" t="inlineStr">
        <is>
          <t>Día 2 · dom 30/8</t>
        </is>
      </c>
      <c r="T22" s="18" t="inlineStr">
        <is>
          <t>Abrir ↗</t>
        </is>
      </c>
      <c r="U22" s="19" t="inlineStr">
        <is>
          <t>lista google</t>
        </is>
      </c>
      <c r="V22" s="20" t="inlineStr"/>
    </row>
    <row r="23" ht="46" customHeight="1">
      <c r="A23" s="9" t="inlineStr">
        <is>
          <t>Westlight (rooftop)</t>
        </is>
      </c>
      <c r="B23" s="10" t="inlineStr">
        <is>
          <t>Rooftop bar</t>
        </is>
      </c>
      <c r="C23" s="11" t="inlineStr">
        <is>
          <t>Mirador</t>
        </is>
      </c>
      <c r="D23" s="11" t="inlineStr">
        <is>
          <t>Williamsburg</t>
        </is>
      </c>
      <c r="E23" s="11" t="inlineStr">
        <is>
          <t>Brooklyn</t>
        </is>
      </c>
      <c r="F23" s="12" t="n">
        <v>1</v>
      </c>
      <c r="G23" s="12" t="n">
        <v>1</v>
      </c>
      <c r="H23" s="13">
        <f>IF(AND(F23=2,G23=2),"AMBOS",IF(AND(F23=2,G23&lt;2),"solo JP",IF(AND(F23&lt;2,G23=2),"solo Thais","-")))</f>
        <v/>
      </c>
      <c r="I23" s="14" t="n">
        <v>20</v>
      </c>
      <c r="J23" s="15" t="n">
        <v>1</v>
      </c>
      <c r="K23" s="13" t="inlineStr">
        <is>
          <t>no</t>
        </is>
      </c>
      <c r="L23" s="16" t="inlineStr">
        <is>
          <t>—</t>
        </is>
      </c>
      <c r="M23" s="11" t="inlineStr">
        <is>
          <t>—</t>
        </is>
      </c>
      <c r="N23" s="16" t="inlineStr">
        <is>
          <t>—</t>
        </is>
      </c>
      <c r="O23" s="16" t="inlineStr">
        <is>
          <t>—</t>
        </is>
      </c>
      <c r="P23" s="16" t="inlineStr">
        <is>
          <t>Bedford Av (L)</t>
        </is>
      </c>
      <c r="Q23" s="16" t="inlineStr">
        <is>
          <t>Panoramica completa de Manhattan desde Brooklyn, terraza abierta, sin entrada. La alternativa honesta a pagar $60 por un observatorio.</t>
        </is>
      </c>
      <c r="R23" s="16" t="inlineStr">
        <is>
          <t>111 N 12th St, piso 22, Brooklyn</t>
        </is>
      </c>
      <c r="S23" s="16" t="inlineStr">
        <is>
          <t>—</t>
        </is>
      </c>
      <c r="T23" s="18" t="inlineStr">
        <is>
          <t>Abrir ↗</t>
        </is>
      </c>
      <c r="U23" s="19" t="inlineStr">
        <is>
          <t>lista google</t>
        </is>
      </c>
      <c r="V23" s="20" t="inlineStr"/>
    </row>
    <row r="24" ht="46" customHeight="1">
      <c r="A24" s="9" t="inlineStr">
        <is>
          <t>The Morgan Library &amp; Museum</t>
        </is>
      </c>
      <c r="B24" s="10" t="inlineStr">
        <is>
          <t>Biblioteca histórica</t>
        </is>
      </c>
      <c r="C24" s="11" t="inlineStr">
        <is>
          <t>Museo</t>
        </is>
      </c>
      <c r="D24" s="11" t="inlineStr">
        <is>
          <t>Murray Hill</t>
        </is>
      </c>
      <c r="E24" s="11" t="inlineStr">
        <is>
          <t>Manhattan</t>
        </is>
      </c>
      <c r="F24" s="12" t="n">
        <v>2</v>
      </c>
      <c r="G24" s="12" t="n">
        <v>2</v>
      </c>
      <c r="H24" s="13">
        <f>IF(AND(F24=2,G24=2),"AMBOS",IF(AND(F24=2,G24&lt;2),"solo JP",IF(AND(F24&lt;2,G24=2),"solo Thais","-")))</f>
        <v/>
      </c>
      <c r="I24" s="14" t="n">
        <v>25</v>
      </c>
      <c r="J24" s="15" t="n">
        <v>1.5</v>
      </c>
      <c r="K24" s="13" t="inlineStr">
        <is>
          <t>no</t>
        </is>
      </c>
      <c r="L24" s="16" t="inlineStr">
        <is>
          <t>lunes: cerrado · martes a jueves: 10:30–17:00 · viernes: 10:30–20:00 · sábado a domingo: 10:30–17:00</t>
        </is>
      </c>
      <c r="M24" s="11" t="inlineStr">
        <is>
          <t>lunes</t>
        </is>
      </c>
      <c r="N24" s="22" t="inlineStr">
        <is>
          <t>VIERNES 17-20h GRATIS - reserva obligatoria, se liberan 1 semana antes (para el vie 4/9: reservar el vie 28/8)</t>
        </is>
      </c>
      <c r="O24" s="16" t="inlineStr">
        <is>
          <t>obligatoria para el viernes gratis</t>
        </is>
      </c>
      <c r="P24" s="16" t="inlineStr">
        <is>
          <t>33 St (6), Grand Central</t>
        </is>
      </c>
      <c r="Q24" s="16" t="inlineStr">
        <is>
          <t>La biblioteca privada de J.P. Morgan: tres pisos de estanterias de nogal, una Biblia de Gutenberg y manuscritos originales. Sala pequena, impacto enorme.</t>
        </is>
      </c>
      <c r="R24" s="16" t="inlineStr">
        <is>
          <t>225 Madison Ave</t>
        </is>
      </c>
      <c r="S24" s="17" t="inlineStr">
        <is>
          <t>Día 7 · vie 4/9</t>
        </is>
      </c>
      <c r="T24" s="18" t="inlineStr">
        <is>
          <t>Abrir ↗</t>
        </is>
      </c>
      <c r="U24" s="19" t="inlineStr">
        <is>
          <t>lista google</t>
        </is>
      </c>
      <c r="V24" s="20" t="inlineStr">
        <is>
          <t>SÍ</t>
        </is>
      </c>
    </row>
    <row r="25" ht="46" customHeight="1">
      <c r="A25" s="9" t="inlineStr">
        <is>
          <t>Brooklyn Museum</t>
        </is>
      </c>
      <c r="B25" s="10" t="inlineStr">
        <is>
          <t>Museo de arte</t>
        </is>
      </c>
      <c r="C25" s="11" t="inlineStr">
        <is>
          <t>Museo</t>
        </is>
      </c>
      <c r="D25" s="11" t="inlineStr">
        <is>
          <t>Prospect Heights</t>
        </is>
      </c>
      <c r="E25" s="11" t="inlineStr">
        <is>
          <t>Brooklyn</t>
        </is>
      </c>
      <c r="F25" s="12" t="n">
        <v>0</v>
      </c>
      <c r="G25" s="12" t="n">
        <v>0</v>
      </c>
      <c r="H25" s="13">
        <f>IF(AND(F25=2,G25=2),"AMBOS",IF(AND(F25=2,G25&lt;2),"solo JP",IF(AND(F25&lt;2,G25=2),"solo Thais","-")))</f>
        <v/>
      </c>
      <c r="I25" s="14" t="n">
        <v>16</v>
      </c>
      <c r="J25" s="15" t="n">
        <v>3</v>
      </c>
      <c r="K25" s="13" t="inlineStr">
        <is>
          <t>no</t>
        </is>
      </c>
      <c r="L25" s="16" t="inlineStr">
        <is>
          <t>lunes a martes: cerrado · miércoles a domingo: 11:00–18:00</t>
        </is>
      </c>
      <c r="M25" s="11" t="inlineStr">
        <is>
          <t>lunes y martes</t>
        </is>
      </c>
      <c r="N25" s="16" t="inlineStr">
        <is>
          <t>—</t>
        </is>
      </c>
      <c r="O25" s="16" t="inlineStr">
        <is>
          <t>—</t>
        </is>
      </c>
      <c r="P25" s="16" t="inlineStr">
        <is>
          <t>Eastern Pkwy-Brooklyn Museum (2,3)</t>
        </is>
      </c>
      <c r="Q25" s="16" t="inlineStr">
        <is>
          <t>Coleccion egipcia de primer nivel y 'The Dinner Party' de Judy Chicago en exhibicion permanente. Es el museo grande al que no va nadie, y eso lo mejora.</t>
        </is>
      </c>
      <c r="R25" s="16" t="inlineStr">
        <is>
          <t>200 Eastern Pkwy, Brooklyn</t>
        </is>
      </c>
      <c r="S25" s="16" t="inlineStr">
        <is>
          <t>—</t>
        </is>
      </c>
      <c r="T25" s="18" t="inlineStr">
        <is>
          <t>Abrir ↗</t>
        </is>
      </c>
      <c r="U25" s="21" t="inlineStr">
        <is>
          <t>otros</t>
        </is>
      </c>
      <c r="V25" s="20" t="inlineStr"/>
    </row>
    <row r="26" ht="46" customHeight="1">
      <c r="A26" s="9" t="inlineStr">
        <is>
          <t>Dia Beacon (excursion)</t>
        </is>
      </c>
      <c r="B26" s="10" t="inlineStr">
        <is>
          <t>Museo de arte</t>
        </is>
      </c>
      <c r="C26" s="11" t="inlineStr">
        <is>
          <t>Museo</t>
        </is>
      </c>
      <c r="D26" s="11" t="inlineStr">
        <is>
          <t>Beacon, NY</t>
        </is>
      </c>
      <c r="E26" s="11" t="inlineStr">
        <is>
          <t>Fuera de NYC</t>
        </is>
      </c>
      <c r="F26" s="12" t="n">
        <v>0</v>
      </c>
      <c r="G26" s="12" t="n">
        <v>0</v>
      </c>
      <c r="H26" s="13">
        <f>IF(AND(F26=2,G26=2),"AMBOS",IF(AND(F26=2,G26&lt;2),"solo JP",IF(AND(F26&lt;2,G26=2),"solo Thais","-")))</f>
        <v/>
      </c>
      <c r="I26" s="14" t="n">
        <v>60</v>
      </c>
      <c r="J26" s="15" t="n">
        <v>8</v>
      </c>
      <c r="K26" s="13" t="inlineStr">
        <is>
          <t>no</t>
        </is>
      </c>
      <c r="L26" s="16" t="inlineStr">
        <is>
          <t>—</t>
        </is>
      </c>
      <c r="M26" s="11" t="inlineStr">
        <is>
          <t>martes, miercoles y jueves</t>
        </is>
      </c>
      <c r="N26" s="16" t="inlineStr">
        <is>
          <t>—</t>
        </is>
      </c>
      <c r="O26" s="16" t="inlineStr">
        <is>
          <t>—</t>
        </is>
      </c>
      <c r="P26" s="16" t="inlineStr">
        <is>
          <t>Metro-North desde Grand Central, ~80 min</t>
        </is>
      </c>
      <c r="Q26" s="16" t="inlineStr">
        <is>
          <t>Fabrica Nabisco de 1929 convertida en 28.000 m2 de minimalismo con luz cenital: Richard Serra, Walter De Maria, Agnes Martin. Es la mejor excursion de arte del estado, pero se come un dia entero.</t>
        </is>
      </c>
      <c r="R26" s="16" t="inlineStr">
        <is>
          <t>3 Beekman St, Beacon NY</t>
        </is>
      </c>
      <c r="S26" s="16" t="inlineStr">
        <is>
          <t>—</t>
        </is>
      </c>
      <c r="T26" s="18" t="inlineStr">
        <is>
          <t>Abrir ↗</t>
        </is>
      </c>
      <c r="U26" s="21" t="inlineStr">
        <is>
          <t>otros</t>
        </is>
      </c>
      <c r="V26" s="20" t="inlineStr"/>
    </row>
    <row r="27" ht="46" customHeight="1">
      <c r="A27" s="9" t="inlineStr">
        <is>
          <t>Guggenheim</t>
        </is>
      </c>
      <c r="B27" s="10" t="inlineStr">
        <is>
          <t>Museo de arte</t>
        </is>
      </c>
      <c r="C27" s="11" t="inlineStr">
        <is>
          <t>Museo</t>
        </is>
      </c>
      <c r="D27" s="11" t="inlineStr">
        <is>
          <t>Upper East Side</t>
        </is>
      </c>
      <c r="E27" s="11" t="inlineStr">
        <is>
          <t>Manhattan</t>
        </is>
      </c>
      <c r="F27" s="12" t="n">
        <v>2</v>
      </c>
      <c r="G27" s="12" t="n">
        <v>2</v>
      </c>
      <c r="H27" s="13">
        <f>IF(AND(F27=2,G27=2),"AMBOS",IF(AND(F27=2,G27&lt;2),"solo JP",IF(AND(F27&lt;2,G27=2),"solo Thais","-")))</f>
        <v/>
      </c>
      <c r="I27" s="14" t="n">
        <v>16</v>
      </c>
      <c r="J27" s="15" t="n">
        <v>2</v>
      </c>
      <c r="K27" s="13" t="inlineStr">
        <is>
          <t>SÍ</t>
        </is>
      </c>
      <c r="L27" s="16" t="inlineStr">
        <is>
          <t>lunes a domingo: 10:30–17:30</t>
        </is>
      </c>
      <c r="M27" s="11" t="inlineStr">
        <is>
          <t>—</t>
        </is>
      </c>
      <c r="N27" s="22" t="inlineStr">
        <is>
          <t>Martes y domingos 16:00-17:30 pay-what-you-wish (sugerido $10, minimo $1) - NO CONFIRMADO en fuente oficial, solo en la oficina de turismo de NYC. LLAMAR ANTES.</t>
        </is>
      </c>
      <c r="O27" s="16" t="inlineStr">
        <is>
          <t>PWYW con cupo muy limitado. VERIFICAR POR TELEFONO antes de ir: el sitio del museo no publica el precio de forma legible y la rotonda esta en montaje.</t>
        </is>
      </c>
      <c r="P27" s="16" t="inlineStr">
        <is>
          <t>86 St (4,5,6)</t>
        </is>
      </c>
      <c r="Q27" s="16" t="inlineStr">
        <is>
          <t>El edificio de Frank Lloyd Wright vale la entrada por si solo: se sube en ascensor y se baja caminando la rampa espiralada. OJO: la rotonda esta en montaje durante el viaje, la muestra nueva abre el 18 de septiembre.</t>
        </is>
      </c>
      <c r="R27" s="16" t="inlineStr">
        <is>
          <t>1071 5th Ave</t>
        </is>
      </c>
      <c r="S27" s="17" t="inlineStr">
        <is>
          <t>Día 9 · dom 6/9</t>
        </is>
      </c>
      <c r="T27" s="18" t="inlineStr">
        <is>
          <t>Abrir ↗</t>
        </is>
      </c>
      <c r="U27" s="21" t="inlineStr">
        <is>
          <t>otros</t>
        </is>
      </c>
      <c r="V27" s="20" t="inlineStr">
        <is>
          <t>SÍ</t>
        </is>
      </c>
    </row>
    <row r="28" ht="46" customHeight="1">
      <c r="A28" s="9" t="inlineStr">
        <is>
          <t>MoMA</t>
        </is>
      </c>
      <c r="B28" s="10" t="inlineStr">
        <is>
          <t>Museo de arte</t>
        </is>
      </c>
      <c r="C28" s="11" t="inlineStr">
        <is>
          <t>Museo</t>
        </is>
      </c>
      <c r="D28" s="11" t="inlineStr">
        <is>
          <t>Midtown</t>
        </is>
      </c>
      <c r="E28" s="11" t="inlineStr">
        <is>
          <t>Manhattan</t>
        </is>
      </c>
      <c r="F28" s="12" t="n">
        <v>2</v>
      </c>
      <c r="G28" s="12" t="n">
        <v>0</v>
      </c>
      <c r="H28" s="13">
        <f>IF(AND(F28=2,G28=2),"AMBOS",IF(AND(F28=2,G28&lt;2),"solo JP",IF(AND(F28&lt;2,G28=2),"solo Thais","-")))</f>
        <v/>
      </c>
      <c r="I28" s="14" t="n">
        <v>30</v>
      </c>
      <c r="J28" s="15" t="n">
        <v>3</v>
      </c>
      <c r="K28" s="13" t="inlineStr">
        <is>
          <t>SÍ</t>
        </is>
      </c>
      <c r="L28" s="16" t="inlineStr">
        <is>
          <t>lunes a jueves: 10:30–17:30 · viernes: 10:30–20:30 · sábado a domingo: 10:30–17:30</t>
        </is>
      </c>
      <c r="M28" s="11" t="inlineStr">
        <is>
          <t>—</t>
        </is>
      </c>
      <c r="N28" s="22" t="inlineStr">
        <is>
          <t>Viernes UNIQLO: solo residentes del Estado de NY. No aplica para turistas.</t>
        </is>
      </c>
      <c r="O28" s="16" t="inlineStr">
        <is>
          <t>—</t>
        </is>
      </c>
      <c r="P28" s="16" t="inlineStr">
        <is>
          <t>5 Av/53 St (E,M)</t>
        </is>
      </c>
      <c r="Q28" s="16" t="inlineStr">
        <is>
          <t>Van Gogh, Picasso, Warhol, Rothko en un solo recorrido. Denso y muy concurrido: ir a la apertura o en las ultimas dos horas.</t>
        </is>
      </c>
      <c r="R28" s="16" t="inlineStr">
        <is>
          <t>11 W 53rd St</t>
        </is>
      </c>
      <c r="S28" s="17" t="inlineStr">
        <is>
          <t>Día 3 · lun 31/8</t>
        </is>
      </c>
      <c r="T28" s="18" t="inlineStr">
        <is>
          <t>Abrir ↗</t>
        </is>
      </c>
      <c r="U28" s="19" t="inlineStr">
        <is>
          <t>lista google</t>
        </is>
      </c>
      <c r="V28" s="20" t="inlineStr">
        <is>
          <t>SÍ</t>
        </is>
      </c>
    </row>
    <row r="29" ht="46" customHeight="1">
      <c r="A29" s="9" t="inlineStr">
        <is>
          <t>MoMA PS1</t>
        </is>
      </c>
      <c r="B29" s="10" t="inlineStr">
        <is>
          <t>Museo de arte</t>
        </is>
      </c>
      <c r="C29" s="11" t="inlineStr">
        <is>
          <t>Museo</t>
        </is>
      </c>
      <c r="D29" s="11" t="inlineStr">
        <is>
          <t>Long Island City</t>
        </is>
      </c>
      <c r="E29" s="11" t="inlineStr">
        <is>
          <t>Queens</t>
        </is>
      </c>
      <c r="F29" s="12" t="n">
        <v>2</v>
      </c>
      <c r="G29" s="12" t="n">
        <v>2</v>
      </c>
      <c r="H29" s="13">
        <f>IF(AND(F29=2,G29=2),"AMBOS",IF(AND(F29=2,G29&lt;2),"solo JP",IF(AND(F29&lt;2,G29=2),"solo Thais","-")))</f>
        <v/>
      </c>
      <c r="I29" s="14" t="n">
        <v>0</v>
      </c>
      <c r="J29" s="15" t="n">
        <v>2.5</v>
      </c>
      <c r="K29" s="13" t="inlineStr">
        <is>
          <t>no</t>
        </is>
      </c>
      <c r="L29" s="16" t="inlineStr">
        <is>
          <t>lunes: 12:00–18:00 · martes a miércoles: cerrado · jueves a viernes: 12:00–18:00 · sábado: 10:00–18:00 · domingo: 12:00–18:00</t>
        </is>
      </c>
      <c r="M29" s="11" t="inlineStr">
        <is>
          <t>martes y miercoles</t>
        </is>
      </c>
      <c r="N29" s="16" t="inlineStr">
        <is>
          <t>—</t>
        </is>
      </c>
      <c r="O29" s="16" t="inlineStr">
        <is>
          <t>—</t>
        </is>
      </c>
      <c r="P29" s="16" t="inlineStr">
        <is>
          <t>21 St-Van Alst (G), Court Sq (7,E,M)</t>
        </is>
      </c>
      <c r="Q29" s="16" t="inlineStr">
        <is>
          <t>Escuela publica reconvertida en arte contemporaneo con riesgo real: lo que el MoMA no se anima a mostrar. Y en 2026 no cuesta nada.</t>
        </is>
      </c>
      <c r="R29" s="16" t="inlineStr">
        <is>
          <t>22-25 Jackson Ave, LIC</t>
        </is>
      </c>
      <c r="S29" s="16" t="inlineStr">
        <is>
          <t>—</t>
        </is>
      </c>
      <c r="T29" s="18" t="inlineStr">
        <is>
          <t>Abrir ↗</t>
        </is>
      </c>
      <c r="U29" s="21" t="inlineStr">
        <is>
          <t>otros</t>
        </is>
      </c>
      <c r="V29" s="20" t="inlineStr">
        <is>
          <t>SÍ</t>
        </is>
      </c>
    </row>
    <row r="30" ht="46" customHeight="1">
      <c r="A30" s="9" t="inlineStr">
        <is>
          <t>Studio Museum in Harlem</t>
        </is>
      </c>
      <c r="B30" s="10" t="inlineStr">
        <is>
          <t>Museo de arte</t>
        </is>
      </c>
      <c r="C30" s="11" t="inlineStr">
        <is>
          <t>Museo</t>
        </is>
      </c>
      <c r="D30" s="11" t="inlineStr">
        <is>
          <t>Harlem</t>
        </is>
      </c>
      <c r="E30" s="11" t="inlineStr">
        <is>
          <t>Manhattan</t>
        </is>
      </c>
      <c r="F30" s="12" t="n">
        <v>2</v>
      </c>
      <c r="G30" s="12" t="n">
        <v>2</v>
      </c>
      <c r="H30" s="13">
        <f>IF(AND(F30=2,G30=2),"AMBOS",IF(AND(F30=2,G30&lt;2),"solo JP",IF(AND(F30&lt;2,G30=2),"solo Thais","-")))</f>
        <v/>
      </c>
      <c r="I30" s="14" t="n">
        <v>16</v>
      </c>
      <c r="J30" s="15" t="n">
        <v>2</v>
      </c>
      <c r="K30" s="13" t="inlineStr">
        <is>
          <t>no</t>
        </is>
      </c>
      <c r="L30" s="16" t="inlineStr">
        <is>
          <t>lunes a martes: cerrado · miércoles a jueves: 11:00–18:00 · viernes: 11:00–21:00 · sábado a domingo: 11:00–18:00</t>
        </is>
      </c>
      <c r="M30" s="11" t="inlineStr">
        <is>
          <t>lunes y martes</t>
        </is>
      </c>
      <c r="N30" s="22" t="inlineStr">
        <is>
          <t>DOMINGOS GRATIS</t>
        </is>
      </c>
      <c r="O30" s="16" t="inlineStr">
        <is>
          <t>—</t>
        </is>
      </c>
      <c r="P30" s="16" t="inlineStr">
        <is>
          <t>125 St (2,3,A,B,C,D)</t>
        </is>
      </c>
      <c r="Q30" s="16" t="inlineStr">
        <is>
          <t>Reabrio en noviembre 2025 en un edificio nuevo de David Adjaye. Es la novedad arquitectonica y curatorial mas relevante de la ciudad ahora mismo, y casi ningun turista lo sabe.</t>
        </is>
      </c>
      <c r="R30" s="16" t="inlineStr">
        <is>
          <t>144 W 125th St</t>
        </is>
      </c>
      <c r="S30" s="17" t="inlineStr">
        <is>
          <t>Día 1 · sáb 29/8</t>
        </is>
      </c>
      <c r="T30" s="18" t="inlineStr">
        <is>
          <t>Abrir ↗</t>
        </is>
      </c>
      <c r="U30" s="21" t="inlineStr">
        <is>
          <t>otros</t>
        </is>
      </c>
      <c r="V30" s="20" t="inlineStr"/>
    </row>
    <row r="31" ht="46" customHeight="1">
      <c r="A31" s="9" t="inlineStr">
        <is>
          <t>The Frick Collection</t>
        </is>
      </c>
      <c r="B31" s="10" t="inlineStr">
        <is>
          <t>Museo de arte</t>
        </is>
      </c>
      <c r="C31" s="11" t="inlineStr">
        <is>
          <t>Museo</t>
        </is>
      </c>
      <c r="D31" s="11" t="inlineStr">
        <is>
          <t>Upper East Side</t>
        </is>
      </c>
      <c r="E31" s="11" t="inlineStr">
        <is>
          <t>Manhattan</t>
        </is>
      </c>
      <c r="F31" s="12" t="n">
        <v>1</v>
      </c>
      <c r="G31" s="12" t="n">
        <v>0</v>
      </c>
      <c r="H31" s="13">
        <f>IF(AND(F31=2,G31=2),"AMBOS",IF(AND(F31=2,G31&lt;2),"solo JP",IF(AND(F31&lt;2,G31=2),"solo Thais","-")))</f>
        <v/>
      </c>
      <c r="I31" s="14" t="n">
        <v>30</v>
      </c>
      <c r="J31" s="15" t="n">
        <v>2</v>
      </c>
      <c r="K31" s="13" t="inlineStr">
        <is>
          <t>no</t>
        </is>
      </c>
      <c r="L31" s="16" t="inlineStr">
        <is>
          <t>lunes: 10:30–17:30 · martes: cerrado · miércoles a domingo: 10:30–17:30</t>
        </is>
      </c>
      <c r="M31" s="11" t="inlineStr">
        <is>
          <t>martes</t>
        </is>
      </c>
      <c r="N31" s="22" t="inlineStr">
        <is>
          <t>MIERCOLES 13:30-17:30 pay-what-you-wish. Online el minimo es $5 y garantiza la entrada; para pagar menos hay que ir en persona, sin garantia de lugar.</t>
        </is>
      </c>
      <c r="O31" s="16" t="inlineStr">
        <is>
          <t>—</t>
        </is>
      </c>
      <c r="P31" s="16" t="inlineStr">
        <is>
          <t>68 St-Hunter College (6)</t>
        </is>
      </c>
      <c r="Q31" s="16" t="inlineStr">
        <is>
          <t>La coleccion privada de un magnate del acero, en su propia mansion: Vermeer, Rembrandt, Bellini colgados como en una casa. Reabrio en 2025 tras cinco anos de obra. Es el museo mas placentero de NYC.</t>
        </is>
      </c>
      <c r="R31" s="16" t="inlineStr">
        <is>
          <t>1 E 70th St</t>
        </is>
      </c>
      <c r="S31" s="17" t="inlineStr">
        <is>
          <t>Día 5 · mié 2/9</t>
        </is>
      </c>
      <c r="T31" s="18" t="inlineStr">
        <is>
          <t>Abrir ↗</t>
        </is>
      </c>
      <c r="U31" s="19" t="inlineStr">
        <is>
          <t>lista google</t>
        </is>
      </c>
      <c r="V31" s="20" t="inlineStr"/>
    </row>
    <row r="32" ht="46" customHeight="1">
      <c r="A32" s="9" t="inlineStr">
        <is>
          <t>The Met Cloisters</t>
        </is>
      </c>
      <c r="B32" s="10" t="inlineStr">
        <is>
          <t>Museo de arte</t>
        </is>
      </c>
      <c r="C32" s="11" t="inlineStr">
        <is>
          <t>Museo</t>
        </is>
      </c>
      <c r="D32" s="11" t="inlineStr">
        <is>
          <t>Fort Tryon Park</t>
        </is>
      </c>
      <c r="E32" s="11" t="inlineStr">
        <is>
          <t>Manhattan</t>
        </is>
      </c>
      <c r="F32" s="12" t="n">
        <v>2</v>
      </c>
      <c r="G32" s="12" t="n">
        <v>0</v>
      </c>
      <c r="H32" s="13">
        <f>IF(AND(F32=2,G32=2),"AMBOS",IF(AND(F32=2,G32&lt;2),"solo JP",IF(AND(F32&lt;2,G32=2),"solo Thais","-")))</f>
        <v/>
      </c>
      <c r="I32" s="14" t="n">
        <v>0</v>
      </c>
      <c r="J32" s="15" t="n">
        <v>3</v>
      </c>
      <c r="K32" s="13" t="inlineStr">
        <is>
          <t>no</t>
        </is>
      </c>
      <c r="L32" s="16" t="inlineStr">
        <is>
          <t>lunes a martes: 10:00–17:00 · miércoles: cerrado · jueves a domingo: 10:00–17:00</t>
        </is>
      </c>
      <c r="M32" s="11" t="inlineStr">
        <is>
          <t>miercoles</t>
        </is>
      </c>
      <c r="N32" s="16" t="inlineStr">
        <is>
          <t>—</t>
        </is>
      </c>
      <c r="O32" s="16" t="inlineStr">
        <is>
          <t>—</t>
        </is>
      </c>
      <c r="P32" s="16" t="inlineStr">
        <is>
          <t>190 St (A)</t>
        </is>
      </c>
      <c r="Q32" s="16" t="inlineStr">
        <is>
          <t>Arte medieval en un edificio armado con claustros franceses reales, sobre un acantilado del Hudson. Casi no se cruza con el flujo turistico del MET principal.</t>
        </is>
      </c>
      <c r="R32" s="16" t="inlineStr">
        <is>
          <t>99 Margaret Corbin Dr</t>
        </is>
      </c>
      <c r="S32" s="17" t="inlineStr">
        <is>
          <t>Día 4 · mar 1/9</t>
        </is>
      </c>
      <c r="T32" s="18" t="inlineStr">
        <is>
          <t>Abrir ↗</t>
        </is>
      </c>
      <c r="U32" s="19" t="inlineStr">
        <is>
          <t>lista google</t>
        </is>
      </c>
      <c r="V32" s="20" t="inlineStr"/>
    </row>
    <row r="33" ht="46" customHeight="1">
      <c r="A33" s="9" t="inlineStr">
        <is>
          <t>The Metropolitan Museum of Art</t>
        </is>
      </c>
      <c r="B33" s="10" t="inlineStr">
        <is>
          <t>Museo de arte</t>
        </is>
      </c>
      <c r="C33" s="11" t="inlineStr">
        <is>
          <t>Museo</t>
        </is>
      </c>
      <c r="D33" s="11" t="inlineStr">
        <is>
          <t>Upper East Side</t>
        </is>
      </c>
      <c r="E33" s="11" t="inlineStr">
        <is>
          <t>Manhattan</t>
        </is>
      </c>
      <c r="F33" s="12" t="n">
        <v>2</v>
      </c>
      <c r="G33" s="12" t="n">
        <v>0</v>
      </c>
      <c r="H33" s="13">
        <f>IF(AND(F33=2,G33=2),"AMBOS",IF(AND(F33=2,G33&lt;2),"solo JP",IF(AND(F33&lt;2,G33=2),"solo Thais","-")))</f>
        <v/>
      </c>
      <c r="I33" s="14" t="n">
        <v>30</v>
      </c>
      <c r="J33" s="15" t="n">
        <v>4</v>
      </c>
      <c r="K33" s="13" t="inlineStr">
        <is>
          <t>SÍ</t>
        </is>
      </c>
      <c r="L33" s="16" t="inlineStr">
        <is>
          <t>lunes a martes: 10:00–17:00 · miércoles: cerrado · jueves: 10:00–17:00 · viernes a sábado: 10:00–21:00 · domingo: 10:00–17:00</t>
        </is>
      </c>
      <c r="M33" s="11" t="inlineStr">
        <is>
          <t>miercoles</t>
        </is>
      </c>
      <c r="N33" s="16" t="inlineStr">
        <is>
          <t>—</t>
        </is>
      </c>
      <c r="O33" s="16" t="inlineStr">
        <is>
          <t>—</t>
        </is>
      </c>
      <c r="P33" s="16" t="inlineStr">
        <is>
          <t>86 St (4,5,6)</t>
        </is>
      </c>
      <c r="Q33" s="16" t="inlineStr">
        <is>
          <t>Uno de los tres museos mas importantes del mundo. Imposible de agotar: elegir dos alas y hacerlas bien (egipcio + pintura europea, o armas + arte islamico).</t>
        </is>
      </c>
      <c r="R33" s="16" t="inlineStr">
        <is>
          <t>1000 5th Ave</t>
        </is>
      </c>
      <c r="S33" s="17" t="inlineStr">
        <is>
          <t>Día 4 · mar 1/9</t>
        </is>
      </c>
      <c r="T33" s="18" t="inlineStr">
        <is>
          <t>Abrir ↗</t>
        </is>
      </c>
      <c r="U33" s="19" t="inlineStr">
        <is>
          <t>lista google</t>
        </is>
      </c>
      <c r="V33" s="20" t="inlineStr">
        <is>
          <t>SÍ</t>
        </is>
      </c>
    </row>
    <row r="34" ht="46" customHeight="1">
      <c r="A34" s="9" t="inlineStr">
        <is>
          <t>The New York Earth Room</t>
        </is>
      </c>
      <c r="B34" s="10" t="inlineStr">
        <is>
          <t>Museo de arte</t>
        </is>
      </c>
      <c r="C34" s="11" t="inlineStr">
        <is>
          <t>Museo</t>
        </is>
      </c>
      <c r="D34" s="11" t="inlineStr">
        <is>
          <t>SoHo</t>
        </is>
      </c>
      <c r="E34" s="11" t="inlineStr">
        <is>
          <t>Manhattan</t>
        </is>
      </c>
      <c r="F34" s="12" t="n">
        <v>1</v>
      </c>
      <c r="G34" s="12" t="n">
        <v>1</v>
      </c>
      <c r="H34" s="13">
        <f>IF(AND(F34=2,G34=2),"AMBOS",IF(AND(F34=2,G34&lt;2),"solo JP",IF(AND(F34&lt;2,G34=2),"solo Thais","-")))</f>
        <v/>
      </c>
      <c r="I34" s="14" t="n">
        <v>0</v>
      </c>
      <c r="J34" s="15" t="n">
        <v>0.4</v>
      </c>
      <c r="K34" s="13" t="inlineStr">
        <is>
          <t>no</t>
        </is>
      </c>
      <c r="L34" s="16" t="inlineStr">
        <is>
          <t>—</t>
        </is>
      </c>
      <c r="M34" s="11" t="inlineStr">
        <is>
          <t>—</t>
        </is>
      </c>
      <c r="N34" s="16" t="inlineStr">
        <is>
          <t>—</t>
        </is>
      </c>
      <c r="O34" s="16" t="inlineStr">
        <is>
          <t>—</t>
        </is>
      </c>
      <c r="P34" s="16" t="inlineStr">
        <is>
          <t>Prince St (N,R,W)</t>
        </is>
      </c>
      <c r="Q34" s="16" t="inlineStr">
        <is>
          <t>127 metros cúbicos de tierra ocupando un loft del SoHo desde 1977. Gratis, absurdo y silencioso: de lo más no-turístico que hay.</t>
        </is>
      </c>
      <c r="R34" s="16" t="inlineStr">
        <is>
          <t>141 Wooster St, 2º piso</t>
        </is>
      </c>
      <c r="S34" s="16" t="inlineStr">
        <is>
          <t>—</t>
        </is>
      </c>
      <c r="T34" s="18" t="inlineStr">
        <is>
          <t>Abrir ↗</t>
        </is>
      </c>
      <c r="U34" s="19" t="inlineStr">
        <is>
          <t>lista google</t>
        </is>
      </c>
      <c r="V34" s="20" t="inlineStr"/>
    </row>
    <row r="35" ht="46" customHeight="1">
      <c r="A35" s="9" t="inlineStr">
        <is>
          <t>The Noguchi Museum</t>
        </is>
      </c>
      <c r="B35" s="10" t="inlineStr">
        <is>
          <t>Museo de arte</t>
        </is>
      </c>
      <c r="C35" s="11" t="inlineStr">
        <is>
          <t>Museo</t>
        </is>
      </c>
      <c r="D35" s="11" t="inlineStr">
        <is>
          <t>Long Island City</t>
        </is>
      </c>
      <c r="E35" s="11" t="inlineStr">
        <is>
          <t>Queens</t>
        </is>
      </c>
      <c r="F35" s="12" t="n">
        <v>0</v>
      </c>
      <c r="G35" s="12" t="n">
        <v>0</v>
      </c>
      <c r="H35" s="13">
        <f>IF(AND(F35=2,G35=2),"AMBOS",IF(AND(F35=2,G35&lt;2),"solo JP",IF(AND(F35&lt;2,G35=2),"solo Thais","-")))</f>
        <v/>
      </c>
      <c r="I35" s="14" t="n">
        <v>16</v>
      </c>
      <c r="J35" s="15" t="n">
        <v>2</v>
      </c>
      <c r="K35" s="13" t="inlineStr">
        <is>
          <t>no</t>
        </is>
      </c>
      <c r="L35" s="16" t="inlineStr">
        <is>
          <t>lunes a martes: cerrado · miércoles a domingo: 11:00–18:00</t>
        </is>
      </c>
      <c r="M35" s="11" t="inlineStr">
        <is>
          <t>lunes y martes</t>
        </is>
      </c>
      <c r="N35" s="22" t="inlineStr">
        <is>
          <t>1er viernes del mes GRATIS con horario extendido hasta las 20h -&gt; viernes 4 de septiembre</t>
        </is>
      </c>
      <c r="O35" s="16" t="inlineStr">
        <is>
          <t>reserva con horario</t>
        </is>
      </c>
      <c r="P35" s="16" t="inlineStr">
        <is>
          <t>Broadway (N,W), Queensbridge (F)</t>
        </is>
      </c>
      <c r="Q35" s="16" t="inlineStr">
        <is>
          <t>Noguchi diseno el museo el mismo alrededor de su taller, con un jardin de esculturas. Silencio absoluto. Es la visita mas serena de la ciudad.</t>
        </is>
      </c>
      <c r="R35" s="16" t="inlineStr">
        <is>
          <t>9-01 33rd Rd, LIC</t>
        </is>
      </c>
      <c r="S35" s="16" t="inlineStr">
        <is>
          <t>—</t>
        </is>
      </c>
      <c r="T35" s="18" t="inlineStr">
        <is>
          <t>Abrir ↗</t>
        </is>
      </c>
      <c r="U35" s="21" t="inlineStr">
        <is>
          <t>otros</t>
        </is>
      </c>
      <c r="V35" s="20" t="inlineStr"/>
    </row>
    <row r="36" ht="46" customHeight="1">
      <c r="A36" s="9" t="inlineStr">
        <is>
          <t>Whitney Museum</t>
        </is>
      </c>
      <c r="B36" s="10" t="inlineStr">
        <is>
          <t>Museo de arte</t>
        </is>
      </c>
      <c r="C36" s="11" t="inlineStr">
        <is>
          <t>Museo</t>
        </is>
      </c>
      <c r="D36" s="11" t="inlineStr">
        <is>
          <t>Meatpacking</t>
        </is>
      </c>
      <c r="E36" s="11" t="inlineStr">
        <is>
          <t>Manhattan</t>
        </is>
      </c>
      <c r="F36" s="12" t="n">
        <v>1</v>
      </c>
      <c r="G36" s="12" t="n">
        <v>1</v>
      </c>
      <c r="H36" s="13">
        <f>IF(AND(F36=2,G36=2),"AMBOS",IF(AND(F36=2,G36&lt;2),"solo JP",IF(AND(F36&lt;2,G36=2),"solo Thais","-")))</f>
        <v/>
      </c>
      <c r="I36" s="14" t="n">
        <v>30</v>
      </c>
      <c r="J36" s="15" t="n">
        <v>2.5</v>
      </c>
      <c r="K36" s="13" t="inlineStr">
        <is>
          <t>no</t>
        </is>
      </c>
      <c r="L36" s="16" t="inlineStr">
        <is>
          <t>lunes: 10:30–18:00 · martes: cerrado · miércoles a jueves: 10:30–18:00 · viernes: 10:30–22:00 · sábado a domingo: 10:30–18:00</t>
        </is>
      </c>
      <c r="M36" s="11" t="inlineStr">
        <is>
          <t>martes</t>
        </is>
      </c>
      <c r="N36" s="22" t="inlineStr">
        <is>
          <t>VIERNES 17-22h GRATIS PARA TODOS (sin restriccion de residencia) - REQUIERE TICKET RESERVADO, el cupo es limitado</t>
        </is>
      </c>
      <c r="O36" s="16" t="inlineStr">
        <is>
          <t>OBLIGATORIA para el viernes gratis: los tickets se liberan hasta 5 semanas antes y el cupo se agota. OJO: desde el 19 de agosto volvio al horario regular y CIERRA LOS MARTES.</t>
        </is>
      </c>
      <c r="P36" s="16" t="inlineStr">
        <is>
          <t>14 St (A,C,E), 8 Av (L)</t>
        </is>
      </c>
      <c r="Q36" s="16" t="inlineStr">
        <is>
          <t>Arte estadounidense del siglo XX y XXI en el edificio de Renzo Piano, con terrazas escalonadas sobre el High Line. El viernes a la noche es gratis y la vista al atardecer es parte de la visita.</t>
        </is>
      </c>
      <c r="R36" s="16" t="inlineStr">
        <is>
          <t>99 Gansevoort St</t>
        </is>
      </c>
      <c r="S36" s="16" t="inlineStr">
        <is>
          <t>—</t>
        </is>
      </c>
      <c r="T36" s="18" t="inlineStr">
        <is>
          <t>Abrir ↗</t>
        </is>
      </c>
      <c r="U36" s="19" t="inlineStr">
        <is>
          <t>lista google</t>
        </is>
      </c>
      <c r="V36" s="20" t="inlineStr"/>
    </row>
    <row r="37" ht="46" customHeight="1">
      <c r="A37" s="9" t="inlineStr">
        <is>
          <t>American Museum of Natural History</t>
        </is>
      </c>
      <c r="B37" s="10" t="inlineStr">
        <is>
          <t>Museo de ciencia</t>
        </is>
      </c>
      <c r="C37" s="11" t="inlineStr">
        <is>
          <t>Museo</t>
        </is>
      </c>
      <c r="D37" s="11" t="inlineStr">
        <is>
          <t>Upper West Side</t>
        </is>
      </c>
      <c r="E37" s="11" t="inlineStr">
        <is>
          <t>Manhattan</t>
        </is>
      </c>
      <c r="F37" s="12" t="n">
        <v>2</v>
      </c>
      <c r="G37" s="12" t="n">
        <v>0</v>
      </c>
      <c r="H37" s="13">
        <f>IF(AND(F37=2,G37=2),"AMBOS",IF(AND(F37=2,G37&lt;2),"solo JP",IF(AND(F37&lt;2,G37=2),"solo Thais","-")))</f>
        <v/>
      </c>
      <c r="I37" s="14" t="n">
        <v>37</v>
      </c>
      <c r="J37" s="15" t="n">
        <v>3</v>
      </c>
      <c r="K37" s="13" t="inlineStr">
        <is>
          <t>SÍ</t>
        </is>
      </c>
      <c r="L37" s="16" t="inlineStr">
        <is>
          <t>lunes a domingo: 10:00–17:30</t>
        </is>
      </c>
      <c r="M37" s="11" t="inlineStr">
        <is>
          <t>—</t>
        </is>
      </c>
      <c r="N37" s="16" t="inlineStr">
        <is>
          <t>—</t>
        </is>
      </c>
      <c r="O37" s="16" t="inlineStr">
        <is>
          <t>—</t>
        </is>
      </c>
      <c r="P37" s="16" t="inlineStr">
        <is>
          <t>81 St-Museum of Natural History (B,C)</t>
        </is>
      </c>
      <c r="Q37" s="16" t="inlineStr">
        <is>
          <t>Dinosaurios, la ballena azul y el nuevo Gilder Center de Studio Gang. A 4 cuadras del hotel The Beacon.</t>
        </is>
      </c>
      <c r="R37" s="16" t="inlineStr">
        <is>
          <t>200 Central Park West</t>
        </is>
      </c>
      <c r="S37" s="17" t="inlineStr">
        <is>
          <t>Día 5 · mié 2/9</t>
        </is>
      </c>
      <c r="T37" s="18" t="inlineStr">
        <is>
          <t>Abrir ↗</t>
        </is>
      </c>
      <c r="U37" s="19" t="inlineStr">
        <is>
          <t>lista google</t>
        </is>
      </c>
      <c r="V37" s="20" t="inlineStr">
        <is>
          <t>SÍ</t>
        </is>
      </c>
    </row>
    <row r="38" ht="46" customHeight="1">
      <c r="A38" s="9" t="inlineStr">
        <is>
          <t>9/11 Memorial Museum</t>
        </is>
      </c>
      <c r="B38" s="10" t="inlineStr">
        <is>
          <t>Museo de historia</t>
        </is>
      </c>
      <c r="C38" s="11" t="inlineStr">
        <is>
          <t>Museo</t>
        </is>
      </c>
      <c r="D38" s="11" t="inlineStr">
        <is>
          <t>Financial District</t>
        </is>
      </c>
      <c r="E38" s="11" t="inlineStr">
        <is>
          <t>Manhattan</t>
        </is>
      </c>
      <c r="F38" s="12" t="n">
        <v>2</v>
      </c>
      <c r="G38" s="12" t="n">
        <v>0</v>
      </c>
      <c r="H38" s="13">
        <f>IF(AND(F38=2,G38=2),"AMBOS",IF(AND(F38=2,G38&lt;2),"solo JP",IF(AND(F38&lt;2,G38=2),"solo Thais","-")))</f>
        <v/>
      </c>
      <c r="I38" s="14" t="n">
        <v>36</v>
      </c>
      <c r="J38" s="15" t="n">
        <v>2.5</v>
      </c>
      <c r="K38" s="13" t="inlineStr">
        <is>
          <t>no</t>
        </is>
      </c>
      <c r="L38" s="16" t="inlineStr">
        <is>
          <t>lunes: 09:00–19:00 · martes: cerrado · miércoles a domingo: 09:00–19:00</t>
        </is>
      </c>
      <c r="M38" s="11" t="inlineStr">
        <is>
          <t>martes (salvo algunos)</t>
        </is>
      </c>
      <c r="N38" s="22" t="inlineStr">
        <is>
          <t>los lunes hay franja gratis por la tarde (la mecanica y el horario cambian: verificar en 911memorial.org)</t>
        </is>
      </c>
      <c r="O38" s="16" t="inlineStr">
        <is>
          <t>OBLIGATORIA - timed ticket</t>
        </is>
      </c>
      <c r="P38" s="16" t="inlineStr">
        <is>
          <t>WTC Cortlandt (1), Fulton St</t>
        </is>
      </c>
      <c r="Q38" s="16" t="inlineStr">
        <is>
          <t>Duro y muy bien hecho. Si el presupuesto aprieta, el memorial exterior solo ya transmite casi todo.</t>
        </is>
      </c>
      <c r="R38" s="16" t="inlineStr">
        <is>
          <t>180 Greenwich St</t>
        </is>
      </c>
      <c r="S38" s="17" t="inlineStr">
        <is>
          <t>Día 6 · jue 3/9</t>
        </is>
      </c>
      <c r="T38" s="18" t="inlineStr">
        <is>
          <t>Abrir ↗</t>
        </is>
      </c>
      <c r="U38" s="19" t="inlineStr">
        <is>
          <t>lista google</t>
        </is>
      </c>
      <c r="V38" s="20" t="inlineStr">
        <is>
          <t>SÍ</t>
        </is>
      </c>
    </row>
    <row r="39" ht="46" customHeight="1">
      <c r="A39" s="9" t="inlineStr">
        <is>
          <t>Federal Hall National Memorial</t>
        </is>
      </c>
      <c r="B39" s="10" t="inlineStr">
        <is>
          <t>Museo de historia</t>
        </is>
      </c>
      <c r="C39" s="11" t="inlineStr">
        <is>
          <t>Museo</t>
        </is>
      </c>
      <c r="D39" s="11" t="inlineStr">
        <is>
          <t>Financial District</t>
        </is>
      </c>
      <c r="E39" s="11" t="inlineStr">
        <is>
          <t>Manhattan</t>
        </is>
      </c>
      <c r="F39" s="12" t="n">
        <v>1</v>
      </c>
      <c r="G39" s="12" t="n">
        <v>1</v>
      </c>
      <c r="H39" s="13">
        <f>IF(AND(F39=2,G39=2),"AMBOS",IF(AND(F39=2,G39&lt;2),"solo JP",IF(AND(F39&lt;2,G39=2),"solo Thais","-")))</f>
        <v/>
      </c>
      <c r="I39" s="14" t="n">
        <v>0</v>
      </c>
      <c r="J39" s="15" t="n">
        <v>0.75</v>
      </c>
      <c r="K39" s="13" t="inlineStr">
        <is>
          <t>no</t>
        </is>
      </c>
      <c r="L39" s="16" t="inlineStr">
        <is>
          <t>—</t>
        </is>
      </c>
      <c r="M39" s="11" t="inlineStr">
        <is>
          <t>—</t>
        </is>
      </c>
      <c r="N39" s="16" t="inlineStr">
        <is>
          <t>—</t>
        </is>
      </c>
      <c r="O39" s="16" t="inlineStr">
        <is>
          <t>—</t>
        </is>
      </c>
      <c r="P39" s="16" t="inlineStr">
        <is>
          <t>Wall St (4,5)</t>
        </is>
      </c>
      <c r="Q39" s="16" t="inlineStr">
        <is>
          <t>Donde Washington juró como primer presidente. GRATIS, y casi siempre vacío pese a estar frente a la Bolsa.</t>
        </is>
      </c>
      <c r="R39" s="16" t="inlineStr">
        <is>
          <t>26 Wall St</t>
        </is>
      </c>
      <c r="S39" s="16" t="inlineStr">
        <is>
          <t>—</t>
        </is>
      </c>
      <c r="T39" s="18" t="inlineStr">
        <is>
          <t>Abrir ↗</t>
        </is>
      </c>
      <c r="U39" s="19" t="inlineStr">
        <is>
          <t>lista google</t>
        </is>
      </c>
      <c r="V39" s="20" t="inlineStr"/>
    </row>
    <row r="40" ht="46" customHeight="1">
      <c r="A40" s="9" t="inlineStr">
        <is>
          <t>Museum of the City of New York</t>
        </is>
      </c>
      <c r="B40" s="10" t="inlineStr">
        <is>
          <t>Museo de historia</t>
        </is>
      </c>
      <c r="C40" s="11" t="inlineStr">
        <is>
          <t>Museo</t>
        </is>
      </c>
      <c r="D40" s="11" t="inlineStr">
        <is>
          <t>East Harlem</t>
        </is>
      </c>
      <c r="E40" s="11" t="inlineStr">
        <is>
          <t>Manhattan</t>
        </is>
      </c>
      <c r="F40" s="12" t="n">
        <v>0</v>
      </c>
      <c r="G40" s="12" t="n">
        <v>0</v>
      </c>
      <c r="H40" s="13">
        <f>IF(AND(F40=2,G40=2),"AMBOS",IF(AND(F40=2,G40&lt;2),"solo JP",IF(AND(F40&lt;2,G40=2),"solo Thais","-")))</f>
        <v/>
      </c>
      <c r="I40" s="14" t="n">
        <v>23</v>
      </c>
      <c r="J40" s="15" t="n">
        <v>2</v>
      </c>
      <c r="K40" s="13" t="inlineStr">
        <is>
          <t>no</t>
        </is>
      </c>
      <c r="L40" s="16" t="inlineStr">
        <is>
          <t>lunes a martes: 10:00–17:00 · miércoles: 10:00–21:00 · jueves a viernes: 10:00–17:00 · sábado a domingo: 10:00–18:00</t>
        </is>
      </c>
      <c r="M40" s="11" t="inlineStr">
        <is>
          <t>—</t>
        </is>
      </c>
      <c r="N40" s="22" t="inlineStr">
        <is>
          <t>MIERCOLES GRATIS TODO EL DIA para todos - los tickets gratis SOLO se retiran en la ventanilla del museo, no online</t>
        </is>
      </c>
      <c r="O40" s="16" t="inlineStr">
        <is>
          <t>—</t>
        </is>
      </c>
      <c r="P40" s="16" t="inlineStr">
        <is>
          <t>103 St (6)</t>
        </is>
      </c>
      <c r="Q40" s="16" t="inlineStr">
        <is>
          <t>La historia de la ciudad contada bien, incluida 'Timescapes'. El mejor lugar para entender NYC en las primeras 48 horas. Y los miercoles no cuesta nada.</t>
        </is>
      </c>
      <c r="R40" s="16" t="inlineStr">
        <is>
          <t>1220 5th Ave</t>
        </is>
      </c>
      <c r="S40" s="16" t="inlineStr">
        <is>
          <t>—</t>
        </is>
      </c>
      <c r="T40" s="18" t="inlineStr">
        <is>
          <t>Abrir ↗</t>
        </is>
      </c>
      <c r="U40" s="21" t="inlineStr">
        <is>
          <t>otros</t>
        </is>
      </c>
      <c r="V40" s="20" t="inlineStr"/>
    </row>
    <row r="41" ht="46" customHeight="1">
      <c r="A41" s="9" t="inlineStr">
        <is>
          <t>New York Transit Museum</t>
        </is>
      </c>
      <c r="B41" s="10" t="inlineStr">
        <is>
          <t>Museo de historia</t>
        </is>
      </c>
      <c r="C41" s="11" t="inlineStr">
        <is>
          <t>Museo</t>
        </is>
      </c>
      <c r="D41" s="11" t="inlineStr">
        <is>
          <t>Brooklyn Heights</t>
        </is>
      </c>
      <c r="E41" s="11" t="inlineStr">
        <is>
          <t>Brooklyn</t>
        </is>
      </c>
      <c r="F41" s="12" t="n">
        <v>2</v>
      </c>
      <c r="G41" s="12" t="n">
        <v>2</v>
      </c>
      <c r="H41" s="13">
        <f>IF(AND(F41=2,G41=2),"AMBOS",IF(AND(F41=2,G41&lt;2),"solo JP",IF(AND(F41&lt;2,G41=2),"solo Thais","-")))</f>
        <v/>
      </c>
      <c r="I41" s="14" t="n">
        <v>10</v>
      </c>
      <c r="J41" s="15" t="n">
        <v>1.5</v>
      </c>
      <c r="K41" s="13" t="inlineStr">
        <is>
          <t>no</t>
        </is>
      </c>
      <c r="L41" s="16" t="inlineStr">
        <is>
          <t>lunes a martes: cerrado · miércoles a domingo: 10:00–16:00</t>
        </is>
      </c>
      <c r="M41" s="11" t="inlineStr">
        <is>
          <t>lunes y martes</t>
        </is>
      </c>
      <c r="N41" s="16" t="inlineStr">
        <is>
          <t>—</t>
        </is>
      </c>
      <c r="O41" s="16" t="inlineStr">
        <is>
          <t>—</t>
        </is>
      </c>
      <c r="P41" s="16" t="inlineStr">
        <is>
          <t>Court St-Borough Hall (2,3,4,5,R)</t>
        </is>
      </c>
      <c r="Q41" s="16" t="inlineStr">
        <is>
          <t>Una estacion de subte clausurada de 1936 con 20 vagones historicos en las vias originales; se puede subir a todos. AVISO: el aire acondicionado de las galerias traseras esta roto.</t>
        </is>
      </c>
      <c r="R41" s="16" t="inlineStr">
        <is>
          <t>99 Schermerhorn St, Brooklyn</t>
        </is>
      </c>
      <c r="S41" s="17" t="inlineStr">
        <is>
          <t>Día 8 · sáb 5/9</t>
        </is>
      </c>
      <c r="T41" s="18" t="inlineStr">
        <is>
          <t>Abrir ↗</t>
        </is>
      </c>
      <c r="U41" s="19" t="inlineStr">
        <is>
          <t>lista google</t>
        </is>
      </c>
      <c r="V41" s="20" t="inlineStr"/>
    </row>
    <row r="42" ht="46" customHeight="1">
      <c r="A42" s="9" t="inlineStr">
        <is>
          <t>Tenement Museum</t>
        </is>
      </c>
      <c r="B42" s="10" t="inlineStr">
        <is>
          <t>Museo de historia</t>
        </is>
      </c>
      <c r="C42" s="11" t="inlineStr">
        <is>
          <t>Museo</t>
        </is>
      </c>
      <c r="D42" s="11" t="inlineStr">
        <is>
          <t>Lower East Side</t>
        </is>
      </c>
      <c r="E42" s="11" t="inlineStr">
        <is>
          <t>Manhattan</t>
        </is>
      </c>
      <c r="F42" s="12" t="n">
        <v>0</v>
      </c>
      <c r="G42" s="12" t="n">
        <v>0</v>
      </c>
      <c r="H42" s="13">
        <f>IF(AND(F42=2,G42=2),"AMBOS",IF(AND(F42=2,G42&lt;2),"solo JP",IF(AND(F42&lt;2,G42=2),"solo Thais","-")))</f>
        <v/>
      </c>
      <c r="I42" s="14" t="n">
        <v>33</v>
      </c>
      <c r="J42" s="15" t="n">
        <v>1.75</v>
      </c>
      <c r="K42" s="13" t="inlineStr">
        <is>
          <t>no</t>
        </is>
      </c>
      <c r="L42" s="16" t="inlineStr">
        <is>
          <t>lunes: 10:00–18:00 · martes a jueves: 10:00–17:00 · viernes a domingo: 10:00–18:00</t>
        </is>
      </c>
      <c r="M42" s="11" t="inlineStr">
        <is>
          <t>—</t>
        </is>
      </c>
      <c r="N42" s="16" t="inlineStr">
        <is>
          <t>—</t>
        </is>
      </c>
      <c r="O42" s="16" t="inlineStr">
        <is>
          <t>OBLIGATORIA - muchos tours se agotan; tickets extra se liberan los jueves</t>
        </is>
      </c>
      <c r="P42" s="16" t="inlineStr">
        <is>
          <t>Delancey-Essex St (F,J,M,Z)</t>
        </is>
      </c>
      <c r="Q42" s="16" t="inlineStr">
        <is>
          <t>Departamentos restaurados de familias inmigrantes reales, solo con guia. No es un museo de objetos: es la historia de la inmigracion contada dentro de la casa donde paso.</t>
        </is>
      </c>
      <c r="R42" s="16" t="inlineStr">
        <is>
          <t>103 Orchard St</t>
        </is>
      </c>
      <c r="S42" s="16" t="inlineStr">
        <is>
          <t>—</t>
        </is>
      </c>
      <c r="T42" s="18" t="inlineStr">
        <is>
          <t>Abrir ↗</t>
        </is>
      </c>
      <c r="U42" s="21" t="inlineStr">
        <is>
          <t>otros</t>
        </is>
      </c>
      <c r="V42" s="20" t="inlineStr"/>
    </row>
    <row r="43" ht="46" customHeight="1">
      <c r="A43" s="9" t="inlineStr">
        <is>
          <t>The City Reliquary</t>
        </is>
      </c>
      <c r="B43" s="10" t="inlineStr">
        <is>
          <t>Museo de historia</t>
        </is>
      </c>
      <c r="C43" s="11" t="inlineStr">
        <is>
          <t>Museo</t>
        </is>
      </c>
      <c r="D43" s="11" t="inlineStr">
        <is>
          <t>Williamsburg</t>
        </is>
      </c>
      <c r="E43" s="11" t="inlineStr">
        <is>
          <t>Brooklyn</t>
        </is>
      </c>
      <c r="F43" s="12" t="n">
        <v>1</v>
      </c>
      <c r="G43" s="12" t="n">
        <v>1</v>
      </c>
      <c r="H43" s="13">
        <f>IF(AND(F43=2,G43=2),"AMBOS",IF(AND(F43=2,G43&lt;2),"solo JP",IF(AND(F43&lt;2,G43=2),"solo Thais","-")))</f>
        <v/>
      </c>
      <c r="I43" s="14" t="n">
        <v>7</v>
      </c>
      <c r="J43" s="15" t="n">
        <v>0.75</v>
      </c>
      <c r="K43" s="13" t="inlineStr">
        <is>
          <t>no</t>
        </is>
      </c>
      <c r="L43" s="16" t="inlineStr">
        <is>
          <t>lunes a viernes: cerrado · sábado a domingo: 12:00–18:00</t>
        </is>
      </c>
      <c r="M43" s="11" t="inlineStr">
        <is>
          <t>de lunes a viernes (solo abre sábados y domingos 12-18h)</t>
        </is>
      </c>
      <c r="N43" s="16" t="inlineStr">
        <is>
          <t>—</t>
        </is>
      </c>
      <c r="O43" s="16" t="inlineStr">
        <is>
          <t>—</t>
        </is>
      </c>
      <c r="P43" s="16" t="inlineStr">
        <is>
          <t>Metropolitan Av (G), Lorimer St (L)</t>
        </is>
      </c>
      <c r="Q43" s="16" t="inlineStr">
        <is>
          <t>Museo de objetos descartados de NYC en una vidriera: fichas de subte, fragmentos de la Feria Mundial, botellas de seltzer. Absurdo y encantador.</t>
        </is>
      </c>
      <c r="R43" s="16" t="inlineStr">
        <is>
          <t>370 Metropolitan Ave, Brooklyn</t>
        </is>
      </c>
      <c r="S43" s="16" t="inlineStr">
        <is>
          <t>—</t>
        </is>
      </c>
      <c r="T43" s="18" t="inlineStr">
        <is>
          <t>Abrir ↗</t>
        </is>
      </c>
      <c r="U43" s="21" t="inlineStr">
        <is>
          <t>otros</t>
        </is>
      </c>
      <c r="V43" s="20" t="inlineStr"/>
    </row>
    <row r="44" ht="46" customHeight="1">
      <c r="A44" s="9" t="inlineStr">
        <is>
          <t>Balloon Museum NYC - DAYDREAM</t>
        </is>
      </c>
      <c r="B44" s="10" t="inlineStr">
        <is>
          <t>Museo temático</t>
        </is>
      </c>
      <c r="C44" s="11" t="inlineStr">
        <is>
          <t>Museo</t>
        </is>
      </c>
      <c r="D44" s="11" t="inlineStr">
        <is>
          <t>Manhattan</t>
        </is>
      </c>
      <c r="E44" s="11" t="inlineStr">
        <is>
          <t>Manhattan</t>
        </is>
      </c>
      <c r="F44" s="12" t="n">
        <v>1</v>
      </c>
      <c r="G44" s="12" t="n">
        <v>1</v>
      </c>
      <c r="H44" s="13">
        <f>IF(AND(F44=2,G44=2),"AMBOS",IF(AND(F44=2,G44&lt;2),"solo JP",IF(AND(F44&lt;2,G44=2),"solo Thais","-")))</f>
        <v/>
      </c>
      <c r="I44" s="14" t="n">
        <v>40</v>
      </c>
      <c r="J44" s="15" t="n">
        <v>1.25</v>
      </c>
      <c r="K44" s="13" t="inlineStr">
        <is>
          <t>SÍ</t>
        </is>
      </c>
      <c r="L44" s="16" t="inlineStr">
        <is>
          <t>—</t>
        </is>
      </c>
      <c r="M44" s="11" t="inlineStr">
        <is>
          <t>—</t>
        </is>
      </c>
      <c r="N44" s="16" t="inlineStr">
        <is>
          <t>—</t>
        </is>
      </c>
      <c r="O44" s="16" t="inlineStr">
        <is>
          <t>—</t>
        </is>
      </c>
      <c r="P44" s="16" t="inlineStr">
        <is>
          <t>-</t>
        </is>
      </c>
      <c r="Q44" s="16" t="inlineStr">
        <is>
          <t>Arte inflable inmersivo, muy fotografiable. Exposición itinerante: verificar que siga en cartel.</t>
        </is>
      </c>
      <c r="R44" s="16" t="inlineStr"/>
      <c r="S44" s="16" t="inlineStr">
        <is>
          <t>—</t>
        </is>
      </c>
      <c r="T44" s="18" t="inlineStr">
        <is>
          <t>Abrir ↗</t>
        </is>
      </c>
      <c r="U44" s="19" t="inlineStr">
        <is>
          <t>lista google</t>
        </is>
      </c>
      <c r="V44" s="20" t="inlineStr"/>
    </row>
    <row r="45" ht="46" customHeight="1">
      <c r="A45" s="9" t="inlineStr">
        <is>
          <t>Intrepid Museum</t>
        </is>
      </c>
      <c r="B45" s="10" t="inlineStr">
        <is>
          <t>Museo temático</t>
        </is>
      </c>
      <c r="C45" s="11" t="inlineStr">
        <is>
          <t>Museo</t>
        </is>
      </c>
      <c r="D45" s="11" t="inlineStr">
        <is>
          <t>Hell's Kitchen</t>
        </is>
      </c>
      <c r="E45" s="11" t="inlineStr">
        <is>
          <t>Manhattan</t>
        </is>
      </c>
      <c r="F45" s="12" t="n">
        <v>2</v>
      </c>
      <c r="G45" s="12" t="n">
        <v>0</v>
      </c>
      <c r="H45" s="13">
        <f>IF(AND(F45=2,G45=2),"AMBOS",IF(AND(F45=2,G45&lt;2),"solo JP",IF(AND(F45&lt;2,G45=2),"solo Thais","-")))</f>
        <v/>
      </c>
      <c r="I45" s="14" t="n">
        <v>38</v>
      </c>
      <c r="J45" s="15" t="n">
        <v>2.5</v>
      </c>
      <c r="K45" s="13" t="inlineStr">
        <is>
          <t>no</t>
        </is>
      </c>
      <c r="L45" s="16" t="inlineStr">
        <is>
          <t>lunes a viernes: 10:00–17:00 · sábado a domingo: 10:00–18:00</t>
        </is>
      </c>
      <c r="M45" s="11" t="inlineStr">
        <is>
          <t>—</t>
        </is>
      </c>
      <c r="N45" s="16" t="inlineStr">
        <is>
          <t>—</t>
        </is>
      </c>
      <c r="O45" s="16" t="inlineStr">
        <is>
          <t>—</t>
        </is>
      </c>
      <c r="P45" s="16" t="inlineStr">
        <is>
          <t>50 St (C,E) + caminata</t>
        </is>
      </c>
      <c r="Q45" s="16" t="inlineStr">
        <is>
          <t>Portaaviones de la Segunda Guerra con un transbordador espacial y un submarino. Esta a 3 cuadras del hotel Ink48.</t>
        </is>
      </c>
      <c r="R45" s="16" t="inlineStr">
        <is>
          <t>Pier 86, W 46th St &amp; 12th Ave</t>
        </is>
      </c>
      <c r="S45" s="16" t="inlineStr">
        <is>
          <t>—</t>
        </is>
      </c>
      <c r="T45" s="18" t="inlineStr">
        <is>
          <t>Abrir ↗</t>
        </is>
      </c>
      <c r="U45" s="19" t="inlineStr">
        <is>
          <t>lista google</t>
        </is>
      </c>
      <c r="V45" s="20" t="inlineStr"/>
    </row>
    <row r="46" ht="46" customHeight="1">
      <c r="A46" s="9" t="inlineStr">
        <is>
          <t>Mercer Labs — Museum of Art and Technology</t>
        </is>
      </c>
      <c r="B46" s="10" t="inlineStr">
        <is>
          <t>Museo temático</t>
        </is>
      </c>
      <c r="C46" s="11" t="inlineStr">
        <is>
          <t>Museo</t>
        </is>
      </c>
      <c r="D46" s="11" t="inlineStr">
        <is>
          <t>Financial District</t>
        </is>
      </c>
      <c r="E46" s="11" t="inlineStr">
        <is>
          <t>Manhattan</t>
        </is>
      </c>
      <c r="F46" s="12" t="n">
        <v>2</v>
      </c>
      <c r="G46" s="12" t="n">
        <v>2</v>
      </c>
      <c r="H46" s="13">
        <f>IF(AND(F46=2,G46=2),"AMBOS",IF(AND(F46=2,G46&lt;2),"solo JP",IF(AND(F46&lt;2,G46=2),"solo Thais","-")))</f>
        <v/>
      </c>
      <c r="I46" s="14" t="n">
        <v>57</v>
      </c>
      <c r="J46" s="15" t="n">
        <v>1.25</v>
      </c>
      <c r="K46" s="13" t="inlineStr">
        <is>
          <t>SÍ</t>
        </is>
      </c>
      <c r="L46" s="16" t="inlineStr">
        <is>
          <t>lunes a miércoles: 10:00–20:00 · jueves a domingo: 10:00–22:00</t>
        </is>
      </c>
      <c r="M46" s="11" t="inlineStr">
        <is>
          <t>—</t>
        </is>
      </c>
      <c r="N46" s="16" t="inlineStr">
        <is>
          <t>—</t>
        </is>
      </c>
      <c r="O46" s="16" t="inlineStr">
        <is>
          <t>timed ticket online (Fever) - reservar antes</t>
        </is>
      </c>
      <c r="P46" s="16" t="inlineStr">
        <is>
          <t>Fulton St (A,C,2,3,4,5), WTC Cortlandt (1)</t>
        </is>
      </c>
      <c r="Q46" s="16" t="inlineStr">
        <is>
          <t>15 salas inmersivas de arte y tecnologia de Roy Nachum, frente al Oculus: proyecciones, sonido espacial y salas interactivas. La visita es a tu ritmo, 60-90 min.</t>
        </is>
      </c>
      <c r="R46" s="16" t="inlineStr">
        <is>
          <t>21 Dey St</t>
        </is>
      </c>
      <c r="S46" s="17" t="inlineStr">
        <is>
          <t>Día 2 · dom 30/8</t>
        </is>
      </c>
      <c r="T46" s="18" t="inlineStr">
        <is>
          <t>Abrir ↗</t>
        </is>
      </c>
      <c r="U46" s="19" t="inlineStr">
        <is>
          <t>lista google</t>
        </is>
      </c>
      <c r="V46" s="20" t="inlineStr"/>
    </row>
    <row r="47" ht="46" customHeight="1">
      <c r="A47" s="9" t="inlineStr">
        <is>
          <t>Museum of the Moving Image</t>
        </is>
      </c>
      <c r="B47" s="10" t="inlineStr">
        <is>
          <t>Museo temático</t>
        </is>
      </c>
      <c r="C47" s="11" t="inlineStr">
        <is>
          <t>Museo</t>
        </is>
      </c>
      <c r="D47" s="11" t="inlineStr">
        <is>
          <t>Astoria</t>
        </is>
      </c>
      <c r="E47" s="11" t="inlineStr">
        <is>
          <t>Queens</t>
        </is>
      </c>
      <c r="F47" s="12" t="n">
        <v>2</v>
      </c>
      <c r="G47" s="12" t="n">
        <v>2</v>
      </c>
      <c r="H47" s="13">
        <f>IF(AND(F47=2,G47=2),"AMBOS",IF(AND(F47=2,G47&lt;2),"solo JP",IF(AND(F47&lt;2,G47=2),"solo Thais","-")))</f>
        <v/>
      </c>
      <c r="I47" s="14" t="n">
        <v>20</v>
      </c>
      <c r="J47" s="15" t="n">
        <v>2.5</v>
      </c>
      <c r="K47" s="13" t="inlineStr">
        <is>
          <t>no</t>
        </is>
      </c>
      <c r="L47" s="16" t="inlineStr">
        <is>
          <t>lunes a miércoles: cerrado · jueves: 14:00–18:00 · viernes: 14:00–20:00 · sábado a domingo: 11:00–18:00</t>
        </is>
      </c>
      <c r="M47" s="11" t="inlineStr">
        <is>
          <t>lunes, martes y miercoles</t>
        </is>
      </c>
      <c r="N47" s="22" t="inlineStr">
        <is>
          <t>JUEVES 14-18h GRATIS -&gt; jueves 3 de septiembre</t>
        </is>
      </c>
      <c r="O47" s="16" t="inlineStr">
        <is>
          <t>—</t>
        </is>
      </c>
      <c r="P47" s="16" t="inlineStr">
        <is>
          <t>Steinway St (M,R), 36 Av (N,W)</t>
        </is>
      </c>
      <c r="Q47" s="16" t="inlineStr">
        <is>
          <t>Historia material del cine y la television, con la coleccion permanente de Jim Henson (los Muppets originales). Interactivo de verdad, no de vitrina.</t>
        </is>
      </c>
      <c r="R47" s="16" t="inlineStr">
        <is>
          <t>36-01 35th Ave, Astoria</t>
        </is>
      </c>
      <c r="S47" s="17" t="inlineStr">
        <is>
          <t>Día 6 · jue 3/9</t>
        </is>
      </c>
      <c r="T47" s="18" t="inlineStr">
        <is>
          <t>Abrir ↗</t>
        </is>
      </c>
      <c r="U47" s="21" t="inlineStr">
        <is>
          <t>otros</t>
        </is>
      </c>
      <c r="V47" s="20" t="inlineStr">
        <is>
          <t>SÍ</t>
        </is>
      </c>
    </row>
    <row r="48" ht="46" customHeight="1">
      <c r="A48" s="9" t="inlineStr">
        <is>
          <t>East Village</t>
        </is>
      </c>
      <c r="B48" s="10" t="inlineStr">
        <is>
          <t>Barrio histórico</t>
        </is>
      </c>
      <c r="C48" s="11" t="inlineStr">
        <is>
          <t>Barrio</t>
        </is>
      </c>
      <c r="D48" s="11" t="inlineStr">
        <is>
          <t>East Village</t>
        </is>
      </c>
      <c r="E48" s="11" t="inlineStr">
        <is>
          <t>Manhattan</t>
        </is>
      </c>
      <c r="F48" s="12" t="n">
        <v>1</v>
      </c>
      <c r="G48" s="12" t="n">
        <v>1</v>
      </c>
      <c r="H48" s="13">
        <f>IF(AND(F48=2,G48=2),"AMBOS",IF(AND(F48=2,G48&lt;2),"solo JP",IF(AND(F48&lt;2,G48=2),"solo Thais","-")))</f>
        <v/>
      </c>
      <c r="I48" s="14" t="n">
        <v>0</v>
      </c>
      <c r="J48" s="15" t="n">
        <v>1.5</v>
      </c>
      <c r="K48" s="13" t="inlineStr">
        <is>
          <t>no</t>
        </is>
      </c>
      <c r="L48" s="16" t="inlineStr">
        <is>
          <t>—</t>
        </is>
      </c>
      <c r="M48" s="11" t="inlineStr">
        <is>
          <t>—</t>
        </is>
      </c>
      <c r="N48" s="16" t="inlineStr">
        <is>
          <t>—</t>
        </is>
      </c>
      <c r="O48" s="16" t="inlineStr">
        <is>
          <t>—</t>
        </is>
      </c>
      <c r="P48" s="16" t="inlineStr">
        <is>
          <t>Astor Pl (6), 1 Av (L)</t>
        </is>
      </c>
      <c r="Q48" s="16" t="inlineStr">
        <is>
          <t>Lo que queda del downtown punk y ucraniano: bares de tugurio, St. Marks y jardines comunitarios.</t>
        </is>
      </c>
      <c r="R48" s="16" t="inlineStr"/>
      <c r="S48" s="16" t="inlineStr">
        <is>
          <t>—</t>
        </is>
      </c>
      <c r="T48" s="18" t="inlineStr">
        <is>
          <t>Abrir ↗</t>
        </is>
      </c>
      <c r="U48" s="19" t="inlineStr">
        <is>
          <t>lista google</t>
        </is>
      </c>
      <c r="V48" s="20" t="inlineStr"/>
    </row>
    <row r="49" ht="46" customHeight="1">
      <c r="A49" s="9" t="inlineStr">
        <is>
          <t>Harlem</t>
        </is>
      </c>
      <c r="B49" s="10" t="inlineStr">
        <is>
          <t>Barrio histórico</t>
        </is>
      </c>
      <c r="C49" s="11" t="inlineStr">
        <is>
          <t>Barrio</t>
        </is>
      </c>
      <c r="D49" s="11" t="inlineStr">
        <is>
          <t>Harlem</t>
        </is>
      </c>
      <c r="E49" s="11" t="inlineStr">
        <is>
          <t>Manhattan</t>
        </is>
      </c>
      <c r="F49" s="12" t="n">
        <v>2</v>
      </c>
      <c r="G49" s="12" t="n">
        <v>2</v>
      </c>
      <c r="H49" s="13">
        <f>IF(AND(F49=2,G49=2),"AMBOS",IF(AND(F49=2,G49&lt;2),"solo JP",IF(AND(F49&lt;2,G49=2),"solo Thais","-")))</f>
        <v/>
      </c>
      <c r="I49" s="14" t="n">
        <v>0</v>
      </c>
      <c r="J49" s="15" t="n">
        <v>4</v>
      </c>
      <c r="K49" s="13" t="inlineStr">
        <is>
          <t>no</t>
        </is>
      </c>
      <c r="L49" s="16" t="inlineStr">
        <is>
          <t>—</t>
        </is>
      </c>
      <c r="M49" s="11" t="inlineStr">
        <is>
          <t>—</t>
        </is>
      </c>
      <c r="N49" s="16" t="inlineStr">
        <is>
          <t>—</t>
        </is>
      </c>
      <c r="O49" s="16" t="inlineStr">
        <is>
          <t>—</t>
        </is>
      </c>
      <c r="P49" s="16" t="inlineStr">
        <is>
          <t>125 St (2,3,A,B,C,D)</t>
        </is>
      </c>
      <c r="Q49" s="16" t="inlineStr">
        <is>
          <t>El Studio Museum nuevo de Adjaye, Strivers' Row (casas de 1891 entre la 138 y la 139), Marcus Garvey Park y las brownstones de Mount Morris. Arquitectura residencial que no se parece a nada en el resto de la ciudad.</t>
        </is>
      </c>
      <c r="R49" s="16" t="inlineStr">
        <is>
          <t>W 125th St, Manhattan</t>
        </is>
      </c>
      <c r="S49" s="17" t="inlineStr">
        <is>
          <t>Día 1 · sáb 29/8</t>
        </is>
      </c>
      <c r="T49" s="18" t="inlineStr">
        <is>
          <t>Abrir ↗</t>
        </is>
      </c>
      <c r="U49" s="21" t="inlineStr">
        <is>
          <t>otros</t>
        </is>
      </c>
      <c r="V49" s="20" t="inlineStr"/>
    </row>
    <row r="50" ht="46" customHeight="1">
      <c r="A50" s="9" t="inlineStr">
        <is>
          <t>Inwood</t>
        </is>
      </c>
      <c r="B50" s="10" t="inlineStr">
        <is>
          <t>Barrio histórico</t>
        </is>
      </c>
      <c r="C50" s="11" t="inlineStr">
        <is>
          <t>Barrio</t>
        </is>
      </c>
      <c r="D50" s="11" t="inlineStr">
        <is>
          <t>Inwood</t>
        </is>
      </c>
      <c r="E50" s="11" t="inlineStr">
        <is>
          <t>Manhattan</t>
        </is>
      </c>
      <c r="F50" s="12" t="n">
        <v>2</v>
      </c>
      <c r="G50" s="12" t="n">
        <v>0</v>
      </c>
      <c r="H50" s="13">
        <f>IF(AND(F50=2,G50=2),"AMBOS",IF(AND(F50=2,G50&lt;2),"solo JP",IF(AND(F50&lt;2,G50=2),"solo Thais","-")))</f>
        <v/>
      </c>
      <c r="I50" s="14" t="n">
        <v>0</v>
      </c>
      <c r="J50" s="15" t="n">
        <v>3.5</v>
      </c>
      <c r="K50" s="13" t="inlineStr">
        <is>
          <t>no</t>
        </is>
      </c>
      <c r="L50" s="16" t="inlineStr">
        <is>
          <t>—</t>
        </is>
      </c>
      <c r="M50" s="11" t="inlineStr">
        <is>
          <t>—</t>
        </is>
      </c>
      <c r="N50" s="16" t="inlineStr">
        <is>
          <t>—</t>
        </is>
      </c>
      <c r="O50" s="16" t="inlineStr">
        <is>
          <t>—</t>
        </is>
      </c>
      <c r="P50" s="16" t="inlineStr">
        <is>
          <t>Dyckman St o 207 St (A), 215 St (1)</t>
        </is>
      </c>
      <c r="Q50" s="16" t="inlineStr">
        <is>
          <t>Inwood Hill Park es el unico bosque primario que queda en Manhattan, con cuevas de roca usadas por los Lenape. Abajo, Dyckman St es dominicana pura. Literalmente no parece Manhattan.</t>
        </is>
      </c>
      <c r="R50" s="16" t="inlineStr">
        <is>
          <t>Dyckman St, Manhattan</t>
        </is>
      </c>
      <c r="S50" s="16" t="inlineStr">
        <is>
          <t>—</t>
        </is>
      </c>
      <c r="T50" s="18" t="inlineStr">
        <is>
          <t>Abrir ↗</t>
        </is>
      </c>
      <c r="U50" s="21" t="inlineStr">
        <is>
          <t>otros</t>
        </is>
      </c>
      <c r="V50" s="20" t="inlineStr"/>
    </row>
    <row r="51" ht="46" customHeight="1">
      <c r="A51" s="9" t="inlineStr">
        <is>
          <t>Lower East Side</t>
        </is>
      </c>
      <c r="B51" s="10" t="inlineStr">
        <is>
          <t>Barrio histórico</t>
        </is>
      </c>
      <c r="C51" s="11" t="inlineStr">
        <is>
          <t>Barrio</t>
        </is>
      </c>
      <c r="D51" s="11" t="inlineStr">
        <is>
          <t>Lower East Side</t>
        </is>
      </c>
      <c r="E51" s="11" t="inlineStr">
        <is>
          <t>Manhattan</t>
        </is>
      </c>
      <c r="F51" s="12" t="n">
        <v>2</v>
      </c>
      <c r="G51" s="12" t="n">
        <v>2</v>
      </c>
      <c r="H51" s="13">
        <f>IF(AND(F51=2,G51=2),"AMBOS",IF(AND(F51=2,G51&lt;2),"solo JP",IF(AND(F51&lt;2,G51=2),"solo Thais","-")))</f>
        <v/>
      </c>
      <c r="I51" s="14" t="n">
        <v>0</v>
      </c>
      <c r="J51" s="15" t="n">
        <v>4</v>
      </c>
      <c r="K51" s="13" t="inlineStr">
        <is>
          <t>no</t>
        </is>
      </c>
      <c r="L51" s="16" t="inlineStr">
        <is>
          <t>—</t>
        </is>
      </c>
      <c r="M51" s="11" t="inlineStr">
        <is>
          <t>—</t>
        </is>
      </c>
      <c r="N51" s="16" t="inlineStr">
        <is>
          <t>—</t>
        </is>
      </c>
      <c r="O51" s="16" t="inlineStr">
        <is>
          <t>—</t>
        </is>
      </c>
      <c r="P51" s="16" t="inlineStr">
        <is>
          <t>Delancey-Essex St (F,J,M,Z)</t>
        </is>
      </c>
      <c r="Q51" s="16" t="inlineStr">
        <is>
          <t>La unica parte de Manhattan donde tres capas de inmigracion (judia, china, dominicana) siguen visibles en la misma cuadra. Essex Market, Eldridge Street, Tenement Museum, Katz's.</t>
        </is>
      </c>
      <c r="R51" s="16" t="inlineStr">
        <is>
          <t>Orchard St &amp; Delancey St</t>
        </is>
      </c>
      <c r="S51" s="17" t="inlineStr">
        <is>
          <t>Día 2 · dom 30/8</t>
        </is>
      </c>
      <c r="T51" s="18" t="inlineStr">
        <is>
          <t>Abrir ↗</t>
        </is>
      </c>
      <c r="U51" s="21" t="inlineStr">
        <is>
          <t>otros</t>
        </is>
      </c>
      <c r="V51" s="20" t="inlineStr"/>
    </row>
    <row r="52" ht="46" customHeight="1">
      <c r="A52" s="9" t="inlineStr">
        <is>
          <t>SoHo</t>
        </is>
      </c>
      <c r="B52" s="10" t="inlineStr">
        <is>
          <t>Barrio histórico</t>
        </is>
      </c>
      <c r="C52" s="11" t="inlineStr">
        <is>
          <t>Barrio</t>
        </is>
      </c>
      <c r="D52" s="11" t="inlineStr">
        <is>
          <t>SoHo</t>
        </is>
      </c>
      <c r="E52" s="11" t="inlineStr">
        <is>
          <t>Manhattan</t>
        </is>
      </c>
      <c r="F52" s="12" t="n">
        <v>1</v>
      </c>
      <c r="G52" s="12" t="n">
        <v>1</v>
      </c>
      <c r="H52" s="13">
        <f>IF(AND(F52=2,G52=2),"AMBOS",IF(AND(F52=2,G52&lt;2),"solo JP",IF(AND(F52&lt;2,G52=2),"solo Thais","-")))</f>
        <v/>
      </c>
      <c r="I52" s="14" t="n">
        <v>0</v>
      </c>
      <c r="J52" s="15" t="n">
        <v>1.5</v>
      </c>
      <c r="K52" s="13" t="inlineStr">
        <is>
          <t>SÍ</t>
        </is>
      </c>
      <c r="L52" s="16" t="inlineStr">
        <is>
          <t>—</t>
        </is>
      </c>
      <c r="M52" s="11" t="inlineStr">
        <is>
          <t>—</t>
        </is>
      </c>
      <c r="N52" s="16" t="inlineStr">
        <is>
          <t>—</t>
        </is>
      </c>
      <c r="O52" s="16" t="inlineStr">
        <is>
          <t>—</t>
        </is>
      </c>
      <c r="P52" s="16" t="inlineStr">
        <is>
          <t>Prince St (N,R,W), Spring St (6)</t>
        </is>
      </c>
      <c r="Q52" s="16" t="inlineStr">
        <is>
          <t>El mayor conjunto de arquitectura de hierro fundido del mundo, hoy con las marcas abajo y los lofts arriba. Es el barrio del JGStay.</t>
        </is>
      </c>
      <c r="R52" s="16" t="inlineStr"/>
      <c r="S52" s="16" t="inlineStr">
        <is>
          <t>—</t>
        </is>
      </c>
      <c r="T52" s="18" t="inlineStr">
        <is>
          <t>Abrir ↗</t>
        </is>
      </c>
      <c r="U52" s="19" t="inlineStr">
        <is>
          <t>lista google</t>
        </is>
      </c>
      <c r="V52" s="20" t="inlineStr"/>
    </row>
    <row r="53" ht="46" customHeight="1">
      <c r="A53" s="9" t="inlineStr">
        <is>
          <t>West Village</t>
        </is>
      </c>
      <c r="B53" s="10" t="inlineStr">
        <is>
          <t>Barrio histórico</t>
        </is>
      </c>
      <c r="C53" s="11" t="inlineStr">
        <is>
          <t>Barrio</t>
        </is>
      </c>
      <c r="D53" s="11" t="inlineStr">
        <is>
          <t>West Village</t>
        </is>
      </c>
      <c r="E53" s="11" t="inlineStr">
        <is>
          <t>Manhattan</t>
        </is>
      </c>
      <c r="F53" s="12" t="n">
        <v>2</v>
      </c>
      <c r="G53" s="12" t="n">
        <v>0</v>
      </c>
      <c r="H53" s="13">
        <f>IF(AND(F53=2,G53=2),"AMBOS",IF(AND(F53=2,G53&lt;2),"solo JP",IF(AND(F53&lt;2,G53=2),"solo Thais","-")))</f>
        <v/>
      </c>
      <c r="I53" s="14" t="n">
        <v>0</v>
      </c>
      <c r="J53" s="15" t="n">
        <v>3</v>
      </c>
      <c r="K53" s="13" t="inlineStr">
        <is>
          <t>SÍ</t>
        </is>
      </c>
      <c r="L53" s="16" t="inlineStr">
        <is>
          <t>—</t>
        </is>
      </c>
      <c r="M53" s="11" t="inlineStr">
        <is>
          <t>—</t>
        </is>
      </c>
      <c r="N53" s="16" t="inlineStr">
        <is>
          <t>—</t>
        </is>
      </c>
      <c r="O53" s="16" t="inlineStr">
        <is>
          <t>—</t>
        </is>
      </c>
      <c r="P53" s="16" t="inlineStr">
        <is>
          <t>Christopher St (1), W 4 St (A,B,C,D,E,F,M)</t>
        </is>
      </c>
      <c r="Q53" s="16" t="inlineStr">
        <is>
          <t>La unica grilla rota de Manhattan: calles curvas de 1800, casas bajas de ladrillo, y todos los clubes de jazz historicos a cuatro cuadras uno de otro. Se camina sin plan.</t>
        </is>
      </c>
      <c r="R53" s="16" t="inlineStr">
        <is>
          <t>Bleecker St &amp; Bank St</t>
        </is>
      </c>
      <c r="S53" s="17" t="inlineStr">
        <is>
          <t>Día 4 · mar 1/9</t>
        </is>
      </c>
      <c r="T53" s="18" t="inlineStr">
        <is>
          <t>Abrir ↗</t>
        </is>
      </c>
      <c r="U53" s="21" t="inlineStr">
        <is>
          <t>otros</t>
        </is>
      </c>
      <c r="V53" s="20" t="inlineStr"/>
    </row>
    <row r="54" ht="46" customHeight="1">
      <c r="A54" s="9" t="inlineStr">
        <is>
          <t>Arthur Avenue (Belmont)</t>
        </is>
      </c>
      <c r="B54" s="10" t="inlineStr">
        <is>
          <t>Barrio étnico</t>
        </is>
      </c>
      <c r="C54" s="11" t="inlineStr">
        <is>
          <t>Barrio</t>
        </is>
      </c>
      <c r="D54" s="11" t="inlineStr">
        <is>
          <t>Belmont</t>
        </is>
      </c>
      <c r="E54" s="11" t="inlineStr">
        <is>
          <t>Bronx</t>
        </is>
      </c>
      <c r="F54" s="12" t="n">
        <v>2</v>
      </c>
      <c r="G54" s="12" t="n">
        <v>2</v>
      </c>
      <c r="H54" s="13">
        <f>IF(AND(F54=2,G54=2),"AMBOS",IF(AND(F54=2,G54&lt;2),"solo JP",IF(AND(F54&lt;2,G54=2),"solo Thais","-")))</f>
        <v/>
      </c>
      <c r="I54" s="14" t="n">
        <v>0</v>
      </c>
      <c r="J54" s="15" t="n">
        <v>4.5</v>
      </c>
      <c r="K54" s="13" t="inlineStr">
        <is>
          <t>no</t>
        </is>
      </c>
      <c r="L54" s="16" t="inlineStr">
        <is>
          <t>—</t>
        </is>
      </c>
      <c r="M54" s="11" t="inlineStr">
        <is>
          <t>—</t>
        </is>
      </c>
      <c r="N54" s="16" t="inlineStr">
        <is>
          <t>—</t>
        </is>
      </c>
      <c r="O54" s="16" t="inlineStr">
        <is>
          <t>—</t>
        </is>
      </c>
      <c r="P54" s="16" t="inlineStr">
        <is>
          <t>Fordham Rd (B,D,4) o Metro-North a Fordham</t>
        </is>
      </c>
      <c r="Q54" s="16" t="inlineStr">
        <is>
          <t>La Little Italy real. En Mulberry Street quedan ocho restaurantes para turistas; aca quedan las carnicerias, los panaderos de 1918 y la gente haciendo las compras. Encima hay un enclave albanes.</t>
        </is>
      </c>
      <c r="R54" s="16" t="inlineStr">
        <is>
          <t>Arthur Ave &amp; E 187th St, Bronx</t>
        </is>
      </c>
      <c r="S54" s="17" t="inlineStr">
        <is>
          <t>Día 1 · sáb 29/8</t>
        </is>
      </c>
      <c r="T54" s="18" t="inlineStr">
        <is>
          <t>Abrir ↗</t>
        </is>
      </c>
      <c r="U54" s="19" t="inlineStr">
        <is>
          <t>lista google</t>
        </is>
      </c>
      <c r="V54" s="20" t="inlineStr"/>
    </row>
    <row r="55" ht="46" customHeight="1">
      <c r="A55" s="9" t="inlineStr">
        <is>
          <t>Astoria</t>
        </is>
      </c>
      <c r="B55" s="10" t="inlineStr">
        <is>
          <t>Barrio étnico</t>
        </is>
      </c>
      <c r="C55" s="11" t="inlineStr">
        <is>
          <t>Barrio</t>
        </is>
      </c>
      <c r="D55" s="11" t="inlineStr">
        <is>
          <t>Astoria</t>
        </is>
      </c>
      <c r="E55" s="11" t="inlineStr">
        <is>
          <t>Queens</t>
        </is>
      </c>
      <c r="F55" s="12" t="n">
        <v>2</v>
      </c>
      <c r="G55" s="12" t="n">
        <v>2</v>
      </c>
      <c r="H55" s="13">
        <f>IF(AND(F55=2,G55=2),"AMBOS",IF(AND(F55=2,G55&lt;2),"solo JP",IF(AND(F55&lt;2,G55=2),"solo Thais","-")))</f>
        <v/>
      </c>
      <c r="I55" s="14" t="n">
        <v>0</v>
      </c>
      <c r="J55" s="15" t="n">
        <v>5</v>
      </c>
      <c r="K55" s="13" t="inlineStr">
        <is>
          <t>no</t>
        </is>
      </c>
      <c r="L55" s="16" t="inlineStr">
        <is>
          <t>—</t>
        </is>
      </c>
      <c r="M55" s="11" t="inlineStr">
        <is>
          <t>—</t>
        </is>
      </c>
      <c r="N55" s="16" t="inlineStr">
        <is>
          <t>—</t>
        </is>
      </c>
      <c r="O55" s="16" t="inlineStr">
        <is>
          <t>—</t>
        </is>
      </c>
      <c r="P55" s="16" t="inlineStr">
        <is>
          <t>Broadway o 30 Av (N,W)</t>
        </is>
      </c>
      <c r="Q55" s="16" t="inlineStr">
        <is>
          <t>El nucleo griego real, no la version de menu turistico. En una sola caminata: Socrates Sculpture Park, el Noguchi, tabernas griegas y Astoria Park bajo el Hell Gate Bridge al atardecer.</t>
        </is>
      </c>
      <c r="R55" s="16" t="inlineStr">
        <is>
          <t>30th Ave &amp; 31st St, Astoria</t>
        </is>
      </c>
      <c r="S55" s="16" t="inlineStr">
        <is>
          <t>—</t>
        </is>
      </c>
      <c r="T55" s="18" t="inlineStr">
        <is>
          <t>Abrir ↗</t>
        </is>
      </c>
      <c r="U55" s="21" t="inlineStr">
        <is>
          <t>otros</t>
        </is>
      </c>
      <c r="V55" s="20" t="inlineStr"/>
    </row>
    <row r="56" ht="46" customHeight="1">
      <c r="A56" s="9" t="inlineStr">
        <is>
          <t>Bay Ridge</t>
        </is>
      </c>
      <c r="B56" s="10" t="inlineStr">
        <is>
          <t>Barrio étnico</t>
        </is>
      </c>
      <c r="C56" s="11" t="inlineStr">
        <is>
          <t>Barrio</t>
        </is>
      </c>
      <c r="D56" s="11" t="inlineStr">
        <is>
          <t>Bay Ridge</t>
        </is>
      </c>
      <c r="E56" s="11" t="inlineStr">
        <is>
          <t>Brooklyn</t>
        </is>
      </c>
      <c r="F56" s="12" t="n">
        <v>1</v>
      </c>
      <c r="G56" s="12" t="n">
        <v>1</v>
      </c>
      <c r="H56" s="13">
        <f>IF(AND(F56=2,G56=2),"AMBOS",IF(AND(F56=2,G56&lt;2),"solo JP",IF(AND(F56&lt;2,G56=2),"solo Thais","-")))</f>
        <v/>
      </c>
      <c r="I56" s="14" t="n">
        <v>0</v>
      </c>
      <c r="J56" s="15" t="n">
        <v>3.5</v>
      </c>
      <c r="K56" s="13" t="inlineStr">
        <is>
          <t>no</t>
        </is>
      </c>
      <c r="L56" s="16" t="inlineStr">
        <is>
          <t>—</t>
        </is>
      </c>
      <c r="M56" s="11" t="inlineStr">
        <is>
          <t>—</t>
        </is>
      </c>
      <c r="N56" s="16" t="inlineStr">
        <is>
          <t>—</t>
        </is>
      </c>
      <c r="O56" s="16" t="inlineStr">
        <is>
          <t>—</t>
        </is>
      </c>
      <c r="P56" s="16" t="inlineStr">
        <is>
          <t>86 St o Bay Ridge Av (R)</t>
        </is>
      </c>
      <c r="Q56" s="16" t="inlineStr">
        <is>
          <t>Enclave libanes-palestino-sirio sobre 5th Avenue, mas el mejor paseo costero de la ciudad: se camina hasta quedar literalmente debajo del Verrazzano-Narrows Bridge.</t>
        </is>
      </c>
      <c r="R56" s="16" t="inlineStr">
        <is>
          <t>5th Ave &amp; 86th St, Brooklyn</t>
        </is>
      </c>
      <c r="S56" s="16" t="inlineStr">
        <is>
          <t>—</t>
        </is>
      </c>
      <c r="T56" s="18" t="inlineStr">
        <is>
          <t>Abrir ↗</t>
        </is>
      </c>
      <c r="U56" s="21" t="inlineStr">
        <is>
          <t>otros</t>
        </is>
      </c>
      <c r="V56" s="20" t="inlineStr"/>
    </row>
    <row r="57" ht="46" customHeight="1">
      <c r="A57" s="9" t="inlineStr">
        <is>
          <t>Chinatown (Manhattan)</t>
        </is>
      </c>
      <c r="B57" s="10" t="inlineStr">
        <is>
          <t>Barrio étnico</t>
        </is>
      </c>
      <c r="C57" s="11" t="inlineStr">
        <is>
          <t>Barrio</t>
        </is>
      </c>
      <c r="D57" s="11" t="inlineStr">
        <is>
          <t>Chinatown</t>
        </is>
      </c>
      <c r="E57" s="11" t="inlineStr">
        <is>
          <t>Manhattan</t>
        </is>
      </c>
      <c r="F57" s="12" t="n">
        <v>2</v>
      </c>
      <c r="G57" s="12" t="n">
        <v>2</v>
      </c>
      <c r="H57" s="13">
        <f>IF(AND(F57=2,G57=2),"AMBOS",IF(AND(F57=2,G57&lt;2),"solo JP",IF(AND(F57&lt;2,G57=2),"solo Thais","-")))</f>
        <v/>
      </c>
      <c r="I57" s="14" t="n">
        <v>0</v>
      </c>
      <c r="J57" s="15" t="n">
        <v>2.5</v>
      </c>
      <c r="K57" s="13" t="inlineStr">
        <is>
          <t>SÍ</t>
        </is>
      </c>
      <c r="L57" s="16" t="inlineStr">
        <is>
          <t>—</t>
        </is>
      </c>
      <c r="M57" s="11" t="inlineStr">
        <is>
          <t>—</t>
        </is>
      </c>
      <c r="N57" s="16" t="inlineStr">
        <is>
          <t>—</t>
        </is>
      </c>
      <c r="O57" s="16" t="inlineStr">
        <is>
          <t>—</t>
        </is>
      </c>
      <c r="P57" s="16" t="inlineStr">
        <is>
          <t>Canal St (J,N,Q,R,W,Z,6), Grand St (B,D)</t>
        </is>
      </c>
      <c r="Q57" s="16" t="inlineStr">
        <is>
          <t>El mas antiguo y todavia el mas denso. Vale por el paisaje urbano y las pescaderias de la calle, no tanto por los restaurantes (para eso, Flushing o Sunset Park).</t>
        </is>
      </c>
      <c r="R57" s="16" t="inlineStr">
        <is>
          <t>Mott St &amp; Canal St</t>
        </is>
      </c>
      <c r="S57" s="17" t="inlineStr">
        <is>
          <t>Día 2 · dom 30/8</t>
        </is>
      </c>
      <c r="T57" s="18" t="inlineStr">
        <is>
          <t>Abrir ↗</t>
        </is>
      </c>
      <c r="U57" s="21" t="inlineStr">
        <is>
          <t>otros</t>
        </is>
      </c>
      <c r="V57" s="20" t="inlineStr">
        <is>
          <t>SÍ</t>
        </is>
      </c>
    </row>
    <row r="58" ht="46" customHeight="1">
      <c r="A58" s="9" t="inlineStr">
        <is>
          <t>Flushing</t>
        </is>
      </c>
      <c r="B58" s="10" t="inlineStr">
        <is>
          <t>Barrio étnico</t>
        </is>
      </c>
      <c r="C58" s="11" t="inlineStr">
        <is>
          <t>Barrio</t>
        </is>
      </c>
      <c r="D58" s="11" t="inlineStr">
        <is>
          <t>Flushing</t>
        </is>
      </c>
      <c r="E58" s="11" t="inlineStr">
        <is>
          <t>Queens</t>
        </is>
      </c>
      <c r="F58" s="12" t="n">
        <v>1</v>
      </c>
      <c r="G58" s="12" t="n">
        <v>1</v>
      </c>
      <c r="H58" s="13">
        <f>IF(AND(F58=2,G58=2),"AMBOS",IF(AND(F58=2,G58&lt;2),"solo JP",IF(AND(F58&lt;2,G58=2),"solo Thais","-")))</f>
        <v/>
      </c>
      <c r="I58" s="14" t="n">
        <v>0</v>
      </c>
      <c r="J58" s="15" t="n">
        <v>4</v>
      </c>
      <c r="K58" s="13" t="inlineStr">
        <is>
          <t>no</t>
        </is>
      </c>
      <c r="L58" s="16" t="inlineStr">
        <is>
          <t>—</t>
        </is>
      </c>
      <c r="M58" s="11" t="inlineStr">
        <is>
          <t>—</t>
        </is>
      </c>
      <c r="N58" s="16" t="inlineStr">
        <is>
          <t>—</t>
        </is>
      </c>
      <c r="O58" s="16" t="inlineStr">
        <is>
          <t>—</t>
        </is>
      </c>
      <c r="P58" s="16" t="inlineStr">
        <is>
          <t>Main St (7), ultima parada</t>
        </is>
      </c>
      <c r="Q58" s="16" t="inlineStr">
        <is>
          <t>El Chinatown mas grande y mas regional de la ciudad: dongbei, Xi'an, uigur, taiwanes, y coreano al lado. El de Manhattan es mayormente cantones y turistico; aca se come regional de verdad. OJO: el 7 va lleno por el US Open.</t>
        </is>
      </c>
      <c r="R58" s="16" t="inlineStr">
        <is>
          <t>Main St &amp; Roosevelt Ave, Flushing</t>
        </is>
      </c>
      <c r="S58" s="16" t="inlineStr">
        <is>
          <t>—</t>
        </is>
      </c>
      <c r="T58" s="18" t="inlineStr">
        <is>
          <t>Abrir ↗</t>
        </is>
      </c>
      <c r="U58" s="21" t="inlineStr">
        <is>
          <t>otros</t>
        </is>
      </c>
      <c r="V58" s="20" t="inlineStr"/>
    </row>
    <row r="59" ht="46" customHeight="1">
      <c r="A59" s="9" t="inlineStr">
        <is>
          <t>Greenpoint</t>
        </is>
      </c>
      <c r="B59" s="10" t="inlineStr">
        <is>
          <t>Barrio étnico</t>
        </is>
      </c>
      <c r="C59" s="11" t="inlineStr">
        <is>
          <t>Barrio</t>
        </is>
      </c>
      <c r="D59" s="11" t="inlineStr">
        <is>
          <t>Greenpoint</t>
        </is>
      </c>
      <c r="E59" s="11" t="inlineStr">
        <is>
          <t>Brooklyn</t>
        </is>
      </c>
      <c r="F59" s="12" t="n">
        <v>1</v>
      </c>
      <c r="G59" s="12" t="n">
        <v>1</v>
      </c>
      <c r="H59" s="13">
        <f>IF(AND(F59=2,G59=2),"AMBOS",IF(AND(F59=2,G59&lt;2),"solo JP",IF(AND(F59&lt;2,G59=2),"solo Thais","-")))</f>
        <v/>
      </c>
      <c r="I59" s="14" t="n">
        <v>0</v>
      </c>
      <c r="J59" s="15" t="n">
        <v>4</v>
      </c>
      <c r="K59" s="13" t="inlineStr">
        <is>
          <t>no</t>
        </is>
      </c>
      <c r="L59" s="16" t="inlineStr">
        <is>
          <t>—</t>
        </is>
      </c>
      <c r="M59" s="11" t="inlineStr">
        <is>
          <t>—</t>
        </is>
      </c>
      <c r="N59" s="16" t="inlineStr">
        <is>
          <t>—</t>
        </is>
      </c>
      <c r="O59" s="16" t="inlineStr">
        <is>
          <t>—</t>
        </is>
      </c>
      <c r="P59" s="16" t="inlineStr">
        <is>
          <t>Nassau Av o Greenpoint Av (G)</t>
        </is>
      </c>
      <c r="Q59" s="16" t="inlineStr">
        <is>
          <t>La Polonia de Nueva York, todavia funcionando: carnicerias, panaderias y bares donde se pide en polaco. Es el ultimo barrio etnico europeo intacto; el resto se gentrifico del todo.</t>
        </is>
      </c>
      <c r="R59" s="16" t="inlineStr">
        <is>
          <t>Manhattan Ave &amp; Nassau Ave, Brooklyn</t>
        </is>
      </c>
      <c r="S59" s="16" t="inlineStr">
        <is>
          <t>—</t>
        </is>
      </c>
      <c r="T59" s="18" t="inlineStr">
        <is>
          <t>Abrir ↗</t>
        </is>
      </c>
      <c r="U59" s="21" t="inlineStr">
        <is>
          <t>otros</t>
        </is>
      </c>
      <c r="V59" s="20" t="inlineStr"/>
    </row>
    <row r="60" ht="46" customHeight="1">
      <c r="A60" s="9" t="inlineStr">
        <is>
          <t>Jackson Heights</t>
        </is>
      </c>
      <c r="B60" s="10" t="inlineStr">
        <is>
          <t>Barrio étnico</t>
        </is>
      </c>
      <c r="C60" s="11" t="inlineStr">
        <is>
          <t>Barrio</t>
        </is>
      </c>
      <c r="D60" s="11" t="inlineStr">
        <is>
          <t>Jackson Heights</t>
        </is>
      </c>
      <c r="E60" s="11" t="inlineStr">
        <is>
          <t>Queens</t>
        </is>
      </c>
      <c r="F60" s="12" t="n">
        <v>0</v>
      </c>
      <c r="G60" s="12" t="n">
        <v>0</v>
      </c>
      <c r="H60" s="13">
        <f>IF(AND(F60=2,G60=2),"AMBOS",IF(AND(F60=2,G60&lt;2),"solo JP",IF(AND(F60&lt;2,G60=2),"solo Thais","-")))</f>
        <v/>
      </c>
      <c r="I60" s="14" t="n">
        <v>0</v>
      </c>
      <c r="J60" s="15" t="n">
        <v>4.5</v>
      </c>
      <c r="K60" s="13" t="inlineStr">
        <is>
          <t>no</t>
        </is>
      </c>
      <c r="L60" s="16" t="inlineStr">
        <is>
          <t>—</t>
        </is>
      </c>
      <c r="M60" s="11" t="inlineStr">
        <is>
          <t>—</t>
        </is>
      </c>
      <c r="N60" s="16" t="inlineStr">
        <is>
          <t>—</t>
        </is>
      </c>
      <c r="O60" s="16" t="inlineStr">
        <is>
          <t>—</t>
        </is>
      </c>
      <c r="P60" s="16" t="inlineStr">
        <is>
          <t>74 St-Roosevelt Av (7,E,F,M,R)</t>
        </is>
      </c>
      <c r="Q60"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60" s="16" t="inlineStr">
        <is>
          <t>74th St &amp; Roosevelt Ave, Queens</t>
        </is>
      </c>
      <c r="S60" s="16" t="inlineStr">
        <is>
          <t>—</t>
        </is>
      </c>
      <c r="T60" s="18" t="inlineStr">
        <is>
          <t>Abrir ↗</t>
        </is>
      </c>
      <c r="U60" s="21" t="inlineStr">
        <is>
          <t>otros</t>
        </is>
      </c>
      <c r="V60" s="20" t="inlineStr"/>
    </row>
    <row r="61" ht="46" customHeight="1">
      <c r="A61" s="9" t="inlineStr">
        <is>
          <t>Ridgewood</t>
        </is>
      </c>
      <c r="B61" s="10" t="inlineStr">
        <is>
          <t>Barrio étnico</t>
        </is>
      </c>
      <c r="C61" s="11" t="inlineStr">
        <is>
          <t>Barrio</t>
        </is>
      </c>
      <c r="D61" s="11" t="inlineStr">
        <is>
          <t>Ridgewood</t>
        </is>
      </c>
      <c r="E61" s="11" t="inlineStr">
        <is>
          <t>Queens</t>
        </is>
      </c>
      <c r="F61" s="12" t="n">
        <v>1</v>
      </c>
      <c r="G61" s="12" t="n">
        <v>1</v>
      </c>
      <c r="H61" s="13">
        <f>IF(AND(F61=2,G61=2),"AMBOS",IF(AND(F61=2,G61&lt;2),"solo JP",IF(AND(F61&lt;2,G61=2),"solo Thais","-")))</f>
        <v/>
      </c>
      <c r="I61" s="14" t="n">
        <v>0</v>
      </c>
      <c r="J61" s="15" t="n">
        <v>3.5</v>
      </c>
      <c r="K61" s="13" t="inlineStr">
        <is>
          <t>no</t>
        </is>
      </c>
      <c r="L61" s="16" t="inlineStr">
        <is>
          <t>—</t>
        </is>
      </c>
      <c r="M61" s="11" t="inlineStr">
        <is>
          <t>—</t>
        </is>
      </c>
      <c r="N61" s="16" t="inlineStr">
        <is>
          <t>—</t>
        </is>
      </c>
      <c r="O61" s="16" t="inlineStr">
        <is>
          <t>—</t>
        </is>
      </c>
      <c r="P61" s="16" t="inlineStr">
        <is>
          <t>Forest Av o Seneca Av (M), Myrtle-Wyckoff (L,M)</t>
        </is>
      </c>
      <c r="Q61" s="16" t="inlineStr">
        <is>
          <t>Aleman-yugoslavo historico, ahora tambien nepali, mexicano y venezolano, con manzanas enteras de casas de ladrillo amarillo protegidas. Es lo que era Bushwick hace 15 anos, sin la puesta en escena.</t>
        </is>
      </c>
      <c r="R61" s="16" t="inlineStr">
        <is>
          <t>Forest Ave, Ridgewood, Queens</t>
        </is>
      </c>
      <c r="S61" s="16" t="inlineStr">
        <is>
          <t>—</t>
        </is>
      </c>
      <c r="T61" s="18" t="inlineStr">
        <is>
          <t>Abrir ↗</t>
        </is>
      </c>
      <c r="U61" s="21" t="inlineStr">
        <is>
          <t>otros</t>
        </is>
      </c>
      <c r="V61" s="20" t="inlineStr"/>
    </row>
    <row r="62" ht="46" customHeight="1">
      <c r="A62" s="9" t="inlineStr">
        <is>
          <t>Sunset Park (barrio)</t>
        </is>
      </c>
      <c r="B62" s="10" t="inlineStr">
        <is>
          <t>Barrio étnico</t>
        </is>
      </c>
      <c r="C62" s="11" t="inlineStr">
        <is>
          <t>Barrio</t>
        </is>
      </c>
      <c r="D62" s="11" t="inlineStr">
        <is>
          <t>Sunset Park</t>
        </is>
      </c>
      <c r="E62" s="11" t="inlineStr">
        <is>
          <t>Brooklyn</t>
        </is>
      </c>
      <c r="F62" s="12" t="n">
        <v>1</v>
      </c>
      <c r="G62" s="12" t="n">
        <v>1</v>
      </c>
      <c r="H62" s="13">
        <f>IF(AND(F62=2,G62=2),"AMBOS",IF(AND(F62=2,G62&lt;2),"solo JP",IF(AND(F62&lt;2,G62=2),"solo Thais","-")))</f>
        <v/>
      </c>
      <c r="I62" s="14" t="n">
        <v>0</v>
      </c>
      <c r="J62" s="15" t="n">
        <v>4.5</v>
      </c>
      <c r="K62" s="13" t="inlineStr">
        <is>
          <t>no</t>
        </is>
      </c>
      <c r="L62" s="16" t="inlineStr">
        <is>
          <t>—</t>
        </is>
      </c>
      <c r="M62" s="11" t="inlineStr">
        <is>
          <t>—</t>
        </is>
      </c>
      <c r="N62" s="16" t="inlineStr">
        <is>
          <t>—</t>
        </is>
      </c>
      <c r="O62" s="16" t="inlineStr">
        <is>
          <t>—</t>
        </is>
      </c>
      <c r="P62" s="16" t="inlineStr">
        <is>
          <t>45 St / 53 St (R), 8 Av (N)</t>
        </is>
      </c>
      <c r="Q62" s="16" t="inlineStr">
        <is>
          <t>Dos barrios paralelos: 5th Avenue es mexicana-poblana, 8th Avenue es el Chinatown fujianes (mas grande que el de Manhattan). El contraste etnico mas brusco que se puede caminar en 15 minutos.</t>
        </is>
      </c>
      <c r="R62" s="16" t="inlineStr">
        <is>
          <t>5th Ave &amp; 45th St, Brooklyn</t>
        </is>
      </c>
      <c r="S62" s="16" t="inlineStr">
        <is>
          <t>—</t>
        </is>
      </c>
      <c r="T62" s="18" t="inlineStr">
        <is>
          <t>Abrir ↗</t>
        </is>
      </c>
      <c r="U62" s="21" t="inlineStr">
        <is>
          <t>otros</t>
        </is>
      </c>
      <c r="V62" s="20" t="inlineStr"/>
    </row>
    <row r="63" ht="46" customHeight="1">
      <c r="A63" s="9" t="inlineStr">
        <is>
          <t>Governors Island</t>
        </is>
      </c>
      <c r="B63" s="10" t="inlineStr">
        <is>
          <t>Isla</t>
        </is>
      </c>
      <c r="C63" s="11" t="inlineStr">
        <is>
          <t>Barrio</t>
        </is>
      </c>
      <c r="D63" s="11" t="inlineStr">
        <is>
          <t>Governors Island</t>
        </is>
      </c>
      <c r="E63" s="11" t="inlineStr">
        <is>
          <t>Manhattan</t>
        </is>
      </c>
      <c r="F63" s="12" t="n">
        <v>1</v>
      </c>
      <c r="G63" s="12" t="n">
        <v>1</v>
      </c>
      <c r="H63" s="13">
        <f>IF(AND(F63=2,G63=2),"AMBOS",IF(AND(F63=2,G63&lt;2),"solo JP",IF(AND(F63&lt;2,G63=2),"solo Thais","-")))</f>
        <v/>
      </c>
      <c r="I63" s="14" t="n">
        <v>5</v>
      </c>
      <c r="J63" s="15" t="n">
        <v>4</v>
      </c>
      <c r="K63" s="13" t="inlineStr">
        <is>
          <t>no</t>
        </is>
      </c>
      <c r="L63" s="16" t="inlineStr">
        <is>
          <t>—</t>
        </is>
      </c>
      <c r="M63" s="11" t="inlineStr">
        <is>
          <t>—</t>
        </is>
      </c>
      <c r="N63" s="16" t="inlineStr">
        <is>
          <t>—</t>
        </is>
      </c>
      <c r="O63" s="16" t="inlineStr">
        <is>
          <t>ferry con horario</t>
        </is>
      </c>
      <c r="P63" s="16" t="inlineStr">
        <is>
          <t>Ferry desde Battery Maritime Bldg (10 South St)</t>
        </is>
      </c>
      <c r="Q63" s="16" t="inlineStr">
        <is>
          <t>Ex base militar sin autos. Outlook Hill da 360 grados con la Estatua de frente; Nolan Park tiene casas de oficiales del siglo XIX con arte adentro. Se siente fuera de la ciudad.</t>
        </is>
      </c>
      <c r="R63" s="16" t="inlineStr">
        <is>
          <t>Governors Island, New York</t>
        </is>
      </c>
      <c r="S63" s="16" t="inlineStr">
        <is>
          <t>—</t>
        </is>
      </c>
      <c r="T63" s="18" t="inlineStr">
        <is>
          <t>Abrir ↗</t>
        </is>
      </c>
      <c r="U63" s="21" t="inlineStr">
        <is>
          <t>otros</t>
        </is>
      </c>
      <c r="V63" s="20" t="inlineStr"/>
    </row>
    <row r="64" ht="46" customHeight="1">
      <c r="A64" s="9" t="inlineStr">
        <is>
          <t>Roosevelt Island</t>
        </is>
      </c>
      <c r="B64" s="10" t="inlineStr">
        <is>
          <t>Isla</t>
        </is>
      </c>
      <c r="C64" s="11" t="inlineStr">
        <is>
          <t>Barrio</t>
        </is>
      </c>
      <c r="D64" s="11" t="inlineStr">
        <is>
          <t>Roosevelt Island</t>
        </is>
      </c>
      <c r="E64" s="11" t="inlineStr">
        <is>
          <t>Manhattan</t>
        </is>
      </c>
      <c r="F64" s="12" t="n">
        <v>2</v>
      </c>
      <c r="G64" s="12" t="n">
        <v>2</v>
      </c>
      <c r="H64" s="13">
        <f>IF(AND(F64=2,G64=2),"AMBOS",IF(AND(F64=2,G64&lt;2),"solo JP",IF(AND(F64&lt;2,G64=2),"solo Thais","-")))</f>
        <v/>
      </c>
      <c r="I64" s="14" t="n">
        <v>3</v>
      </c>
      <c r="J64" s="15" t="n">
        <v>2.5</v>
      </c>
      <c r="K64" s="13" t="inlineStr">
        <is>
          <t>no</t>
        </is>
      </c>
      <c r="L64" s="16" t="inlineStr">
        <is>
          <t>—</t>
        </is>
      </c>
      <c r="M64" s="11" t="inlineStr">
        <is>
          <t>—</t>
        </is>
      </c>
      <c r="N64" s="16" t="inlineStr">
        <is>
          <t>—</t>
        </is>
      </c>
      <c r="O64" s="16" t="inlineStr">
        <is>
          <t>—</t>
        </is>
      </c>
      <c r="P64" s="16" t="inlineStr">
        <is>
          <t>Tramway (59 St &amp; 2 Av) o Roosevelt Island (F)</t>
        </is>
      </c>
      <c r="Q64" s="16" t="inlineStr">
        <is>
          <t>Se llega en teleferico por $3 y se camina hasta el FDR Four Freedoms Park de Louis Kahn, pasando por las ruinas del Smallpox Hospital. Una de las mejores obras de arquitectura moderna de la ciudad, gratis y vacia.</t>
        </is>
      </c>
      <c r="R64" s="16" t="inlineStr">
        <is>
          <t>Roosevelt Island, New York</t>
        </is>
      </c>
      <c r="S64" s="16" t="inlineStr">
        <is>
          <t>—</t>
        </is>
      </c>
      <c r="T64" s="18" t="inlineStr">
        <is>
          <t>Abrir ↗</t>
        </is>
      </c>
      <c r="U64" s="19" t="inlineStr">
        <is>
          <t>lista google</t>
        </is>
      </c>
      <c r="V64" s="20" t="inlineStr"/>
    </row>
    <row r="65" ht="46" customHeight="1">
      <c r="A65" s="9" t="inlineStr">
        <is>
          <t>DUMBO</t>
        </is>
      </c>
      <c r="B65" s="10" t="inlineStr">
        <is>
          <t>Waterfront</t>
        </is>
      </c>
      <c r="C65" s="11" t="inlineStr">
        <is>
          <t>Barrio</t>
        </is>
      </c>
      <c r="D65" s="11" t="inlineStr">
        <is>
          <t>DUMBO</t>
        </is>
      </c>
      <c r="E65" s="11" t="inlineStr">
        <is>
          <t>Brooklyn</t>
        </is>
      </c>
      <c r="F65" s="12" t="n">
        <v>2</v>
      </c>
      <c r="G65" s="12" t="n">
        <v>1</v>
      </c>
      <c r="H65" s="13">
        <f>IF(AND(F65=2,G65=2),"AMBOS",IF(AND(F65=2,G65&lt;2),"solo JP",IF(AND(F65&lt;2,G65=2),"solo Thais","-")))</f>
        <v/>
      </c>
      <c r="I65" s="14" t="n">
        <v>0</v>
      </c>
      <c r="J65" s="15" t="n">
        <v>2</v>
      </c>
      <c r="K65" s="13" t="inlineStr">
        <is>
          <t>SÍ</t>
        </is>
      </c>
      <c r="L65" s="16" t="inlineStr">
        <is>
          <t>—</t>
        </is>
      </c>
      <c r="M65" s="11" t="inlineStr">
        <is>
          <t>—</t>
        </is>
      </c>
      <c r="N65" s="16" t="inlineStr">
        <is>
          <t>—</t>
        </is>
      </c>
      <c r="O65" s="16" t="inlineStr">
        <is>
          <t>—</t>
        </is>
      </c>
      <c r="P65" s="16" t="inlineStr">
        <is>
          <t>York St (F), High St (A,C)</t>
        </is>
      </c>
      <c r="Q65" s="16" t="inlineStr">
        <is>
          <t>La foto del Manhattan Bridge encuadrado entre edificios (Washington y Water) y Brooklyn Bridge Park abajo. Muy turistico: ir antes de las 9 de la manana o se convierte en cola de fotos.</t>
        </is>
      </c>
      <c r="R65" s="16" t="inlineStr">
        <is>
          <t>Washington St &amp; Water St, Brooklyn</t>
        </is>
      </c>
      <c r="S65" s="17" t="inlineStr">
        <is>
          <t>Día 2 · dom 30/8</t>
        </is>
      </c>
      <c r="T65" s="18" t="inlineStr">
        <is>
          <t>Abrir ↗</t>
        </is>
      </c>
      <c r="U65" s="21" t="inlineStr">
        <is>
          <t>otros</t>
        </is>
      </c>
      <c r="V65" s="20" t="inlineStr">
        <is>
          <t>SÍ</t>
        </is>
      </c>
    </row>
    <row r="66" ht="46" customHeight="1">
      <c r="A66" s="9" t="inlineStr">
        <is>
          <t>Red Hook</t>
        </is>
      </c>
      <c r="B66" s="10" t="inlineStr">
        <is>
          <t>Waterfront</t>
        </is>
      </c>
      <c r="C66" s="11" t="inlineStr">
        <is>
          <t>Barrio</t>
        </is>
      </c>
      <c r="D66" s="11" t="inlineStr">
        <is>
          <t>Red Hook</t>
        </is>
      </c>
      <c r="E66" s="11" t="inlineStr">
        <is>
          <t>Brooklyn</t>
        </is>
      </c>
      <c r="F66" s="12" t="n">
        <v>1</v>
      </c>
      <c r="G66" s="12" t="n">
        <v>1</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sin subte: NYC Ferry o bus B61 desde Carroll St (F,G)</t>
        </is>
      </c>
      <c r="Q66" s="16" t="inlineStr">
        <is>
          <t>Adoquines, gruas portuarias, ni una torre a la vista. El unico barrio de NYC que se siente como un pueblo portuario. Que no tenga subte es exactamente la razon por la que sigue asi.</t>
        </is>
      </c>
      <c r="R66" s="16" t="inlineStr">
        <is>
          <t>Van Brunt St, Brooklyn</t>
        </is>
      </c>
      <c r="S66" s="16" t="inlineStr">
        <is>
          <t>—</t>
        </is>
      </c>
      <c r="T66" s="18" t="inlineStr">
        <is>
          <t>Abrir ↗</t>
        </is>
      </c>
      <c r="U66" s="21" t="inlineStr">
        <is>
          <t>otros</t>
        </is>
      </c>
      <c r="V66" s="20" t="inlineStr"/>
    </row>
    <row r="67" ht="46" customHeight="1">
      <c r="A67" s="9" t="inlineStr">
        <is>
          <t>% Arabica</t>
        </is>
      </c>
      <c r="B67" s="10" t="inlineStr">
        <is>
          <t>Café y brunch</t>
        </is>
      </c>
      <c r="C67" s="11" t="inlineStr">
        <is>
          <t>Comida</t>
        </is>
      </c>
      <c r="D67" s="11" t="inlineStr">
        <is>
          <t>Manhattan</t>
        </is>
      </c>
      <c r="E67" s="11" t="inlineStr">
        <is>
          <t>Manhattan</t>
        </is>
      </c>
      <c r="F67" s="12" t="n">
        <v>1</v>
      </c>
      <c r="G67" s="12" t="n">
        <v>1</v>
      </c>
      <c r="H67" s="13">
        <f>IF(AND(F67=2,G67=2),"AMBOS",IF(AND(F67=2,G67&lt;2),"solo JP",IF(AND(F67&lt;2,G67=2),"solo Thais","-")))</f>
        <v/>
      </c>
      <c r="I67" s="14" t="n">
        <v>10</v>
      </c>
      <c r="J67" s="15" t="n">
        <v>0.4</v>
      </c>
      <c r="K67" s="13" t="inlineStr">
        <is>
          <t>no</t>
        </is>
      </c>
      <c r="L67" s="16" t="inlineStr">
        <is>
          <t>—</t>
        </is>
      </c>
      <c r="M67" s="11" t="inlineStr">
        <is>
          <t>—</t>
        </is>
      </c>
      <c r="N67" s="16" t="inlineStr">
        <is>
          <t>—</t>
        </is>
      </c>
      <c r="O67" s="16" t="inlineStr">
        <is>
          <t>—</t>
        </is>
      </c>
      <c r="P67" s="16" t="inlineStr">
        <is>
          <t>-</t>
        </is>
      </c>
      <c r="Q67" s="16" t="inlineStr">
        <is>
          <t>Café japonés-kuwaití minimalista, buen espresso para llevar caminando.</t>
        </is>
      </c>
      <c r="R67" s="16" t="inlineStr"/>
      <c r="S67" s="16" t="inlineStr">
        <is>
          <t>—</t>
        </is>
      </c>
      <c r="T67" s="18" t="inlineStr">
        <is>
          <t>Abrir ↗</t>
        </is>
      </c>
      <c r="U67" s="19" t="inlineStr">
        <is>
          <t>lista google</t>
        </is>
      </c>
      <c r="V67" s="20" t="inlineStr"/>
    </row>
    <row r="68" ht="46" customHeight="1">
      <c r="A68" s="9" t="inlineStr">
        <is>
          <t>Bibliothèque</t>
        </is>
      </c>
      <c r="B68" s="10" t="inlineStr">
        <is>
          <t>Café y brunch</t>
        </is>
      </c>
      <c r="C68" s="11" t="inlineStr">
        <is>
          <t>Comida</t>
        </is>
      </c>
      <c r="D68" s="11" t="inlineStr">
        <is>
          <t>Manhattan</t>
        </is>
      </c>
      <c r="E68" s="11" t="inlineStr">
        <is>
          <t>Manhattan</t>
        </is>
      </c>
      <c r="F68" s="12" t="n">
        <v>1</v>
      </c>
      <c r="G68" s="12" t="n">
        <v>1</v>
      </c>
      <c r="H68" s="13">
        <f>IF(AND(F68=2,G68=2),"AMBOS",IF(AND(F68=2,G68&lt;2),"solo JP",IF(AND(F68&lt;2,G68=2),"solo Thais","-")))</f>
        <v/>
      </c>
      <c r="I68" s="14" t="n">
        <v>25</v>
      </c>
      <c r="J68" s="15" t="n">
        <v>1</v>
      </c>
      <c r="K68" s="13" t="inlineStr">
        <is>
          <t>no</t>
        </is>
      </c>
      <c r="L68" s="16" t="inlineStr">
        <is>
          <t>—</t>
        </is>
      </c>
      <c r="M68" s="11" t="inlineStr">
        <is>
          <t>—</t>
        </is>
      </c>
      <c r="N68" s="16" t="inlineStr">
        <is>
          <t>—</t>
        </is>
      </c>
      <c r="O68" s="16" t="inlineStr">
        <is>
          <t>—</t>
        </is>
      </c>
      <c r="P68" s="16" t="inlineStr">
        <is>
          <t>-</t>
        </is>
      </c>
      <c r="Q68" s="16" t="inlineStr">
        <is>
          <t>Café-librería para sentarse un rato largo sin que te apuren.</t>
        </is>
      </c>
      <c r="R68" s="16" t="inlineStr"/>
      <c r="S68" s="16" t="inlineStr">
        <is>
          <t>—</t>
        </is>
      </c>
      <c r="T68" s="18" t="inlineStr">
        <is>
          <t>Abrir ↗</t>
        </is>
      </c>
      <c r="U68" s="19" t="inlineStr">
        <is>
          <t>lista google</t>
        </is>
      </c>
      <c r="V68" s="20" t="inlineStr"/>
    </row>
    <row r="69" ht="46" customHeight="1">
      <c r="A69" s="9" t="inlineStr">
        <is>
          <t>Bluestone Lane UWS Café</t>
        </is>
      </c>
      <c r="B69" s="10" t="inlineStr">
        <is>
          <t>Café y brunch</t>
        </is>
      </c>
      <c r="C69" s="11" t="inlineStr">
        <is>
          <t>Comida</t>
        </is>
      </c>
      <c r="D69" s="11" t="inlineStr">
        <is>
          <t>Upper West Side</t>
        </is>
      </c>
      <c r="E69" s="11" t="inlineStr">
        <is>
          <t>Manhattan</t>
        </is>
      </c>
      <c r="F69" s="12" t="n">
        <v>1</v>
      </c>
      <c r="G69" s="12" t="n">
        <v>1</v>
      </c>
      <c r="H69" s="13">
        <f>IF(AND(F69=2,G69=2),"AMBOS",IF(AND(F69=2,G69&lt;2),"solo JP",IF(AND(F69&lt;2,G69=2),"solo Thais","-")))</f>
        <v/>
      </c>
      <c r="I69" s="14" t="n">
        <v>18</v>
      </c>
      <c r="J69" s="15" t="n">
        <v>0.6</v>
      </c>
      <c r="K69" s="13" t="inlineStr">
        <is>
          <t>no</t>
        </is>
      </c>
      <c r="L69" s="16" t="inlineStr">
        <is>
          <t>—</t>
        </is>
      </c>
      <c r="M69" s="11" t="inlineStr">
        <is>
          <t>—</t>
        </is>
      </c>
      <c r="N69" s="16" t="inlineStr">
        <is>
          <t>—</t>
        </is>
      </c>
      <c r="O69" s="16" t="inlineStr">
        <is>
          <t>—</t>
        </is>
      </c>
      <c r="P69" s="16" t="inlineStr">
        <is>
          <t>79 St (1)</t>
        </is>
      </c>
      <c r="Q69" s="16" t="inlineStr">
        <is>
          <t>Café australiano: flat white decente y avocado toast, a tres cuadras de The Beacon.</t>
        </is>
      </c>
      <c r="R69" s="16" t="inlineStr"/>
      <c r="S69" s="16" t="inlineStr">
        <is>
          <t>—</t>
        </is>
      </c>
      <c r="T69" s="18" t="inlineStr">
        <is>
          <t>Abrir ↗</t>
        </is>
      </c>
      <c r="U69" s="19" t="inlineStr">
        <is>
          <t>lista google</t>
        </is>
      </c>
      <c r="V69" s="20" t="inlineStr"/>
    </row>
    <row r="70" ht="46" customHeight="1">
      <c r="A70" s="9" t="inlineStr">
        <is>
          <t>Culture Espresso</t>
        </is>
      </c>
      <c r="B70" s="10" t="inlineStr">
        <is>
          <t>Café y brunch</t>
        </is>
      </c>
      <c r="C70" s="11" t="inlineStr">
        <is>
          <t>Comida</t>
        </is>
      </c>
      <c r="D70" s="11" t="inlineStr">
        <is>
          <t>Midtown</t>
        </is>
      </c>
      <c r="E70" s="11" t="inlineStr">
        <is>
          <t>Manhattan</t>
        </is>
      </c>
      <c r="F70" s="12" t="n">
        <v>1</v>
      </c>
      <c r="G70" s="12" t="n">
        <v>1</v>
      </c>
      <c r="H70" s="13">
        <f>IF(AND(F70=2,G70=2),"AMBOS",IF(AND(F70=2,G70&lt;2),"solo JP",IF(AND(F70&lt;2,G70=2),"solo Thais","-")))</f>
        <v/>
      </c>
      <c r="I70" s="14" t="n">
        <v>8</v>
      </c>
      <c r="J70" s="15" t="n">
        <v>0.4</v>
      </c>
      <c r="K70" s="13" t="inlineStr">
        <is>
          <t>no</t>
        </is>
      </c>
      <c r="L70" s="16" t="inlineStr">
        <is>
          <t>—</t>
        </is>
      </c>
      <c r="M70" s="11" t="inlineStr">
        <is>
          <t>—</t>
        </is>
      </c>
      <c r="N70" s="16" t="inlineStr">
        <is>
          <t>—</t>
        </is>
      </c>
      <c r="O70" s="16" t="inlineStr">
        <is>
          <t>—</t>
        </is>
      </c>
      <c r="P70" s="16" t="inlineStr">
        <is>
          <t>34 St-Herald Sq (B,D,F,M,N,Q,R,W)</t>
        </is>
      </c>
      <c r="Q70" s="16" t="inlineStr">
        <is>
          <t>Café pequeño famoso por su cookie de chocolate, que compite en serio con Levain.</t>
        </is>
      </c>
      <c r="R70" s="16" t="inlineStr">
        <is>
          <t>72 W 38th St</t>
        </is>
      </c>
      <c r="S70" s="16" t="inlineStr">
        <is>
          <t>—</t>
        </is>
      </c>
      <c r="T70" s="18" t="inlineStr">
        <is>
          <t>Abrir ↗</t>
        </is>
      </c>
      <c r="U70" s="19" t="inlineStr">
        <is>
          <t>lista google</t>
        </is>
      </c>
      <c r="V70" s="20" t="inlineStr"/>
    </row>
    <row r="71" ht="46" customHeight="1">
      <c r="A71" s="9" t="inlineStr">
        <is>
          <t>Jack's Wife Freda</t>
        </is>
      </c>
      <c r="B71" s="10" t="inlineStr">
        <is>
          <t>Café y brunch</t>
        </is>
      </c>
      <c r="C71" s="11" t="inlineStr">
        <is>
          <t>Comida</t>
        </is>
      </c>
      <c r="D71" s="11" t="inlineStr">
        <is>
          <t>SoHo</t>
        </is>
      </c>
      <c r="E71" s="11" t="inlineStr">
        <is>
          <t>Manhattan</t>
        </is>
      </c>
      <c r="F71" s="12" t="n">
        <v>1</v>
      </c>
      <c r="G71" s="12" t="n">
        <v>1</v>
      </c>
      <c r="H71" s="13">
        <f>IF(AND(F71=2,G71=2),"AMBOS",IF(AND(F71=2,G71&lt;2),"solo JP",IF(AND(F71&lt;2,G71=2),"solo Thais","-")))</f>
        <v/>
      </c>
      <c r="I71" s="14" t="n">
        <v>30</v>
      </c>
      <c r="J71" s="15" t="n">
        <v>1</v>
      </c>
      <c r="K71" s="13" t="inlineStr">
        <is>
          <t>SÍ</t>
        </is>
      </c>
      <c r="L71" s="16" t="inlineStr">
        <is>
          <t>—</t>
        </is>
      </c>
      <c r="M71" s="11" t="inlineStr">
        <is>
          <t>—</t>
        </is>
      </c>
      <c r="N71" s="16" t="inlineStr">
        <is>
          <t>—</t>
        </is>
      </c>
      <c r="O71" s="16" t="inlineStr">
        <is>
          <t>—</t>
        </is>
      </c>
      <c r="P71" s="16" t="inlineStr">
        <is>
          <t>Spring St (6)</t>
        </is>
      </c>
      <c r="Q71" s="16" t="inlineStr">
        <is>
          <t>Brunch sudafricano-israelí, chico y siempre lleno. A dos cuadras del JGStay.</t>
        </is>
      </c>
      <c r="R71" s="16" t="inlineStr">
        <is>
          <t>224 Lafayette St</t>
        </is>
      </c>
      <c r="S71" s="16" t="inlineStr">
        <is>
          <t>—</t>
        </is>
      </c>
      <c r="T71" s="18" t="inlineStr">
        <is>
          <t>Abrir ↗</t>
        </is>
      </c>
      <c r="U71" s="19" t="inlineStr">
        <is>
          <t>lista google</t>
        </is>
      </c>
      <c r="V71" s="20" t="inlineStr"/>
    </row>
    <row r="72" ht="46" customHeight="1">
      <c r="A72" s="9" t="inlineStr">
        <is>
          <t>Sarabeth's Central Park South</t>
        </is>
      </c>
      <c r="B72" s="10" t="inlineStr">
        <is>
          <t>Café y brunch</t>
        </is>
      </c>
      <c r="C72" s="11" t="inlineStr">
        <is>
          <t>Comida</t>
        </is>
      </c>
      <c r="D72" s="11" t="inlineStr">
        <is>
          <t>Midtown</t>
        </is>
      </c>
      <c r="E72" s="11" t="inlineStr">
        <is>
          <t>Manhattan</t>
        </is>
      </c>
      <c r="F72" s="12" t="n">
        <v>1</v>
      </c>
      <c r="G72" s="12" t="n">
        <v>1</v>
      </c>
      <c r="H72" s="13">
        <f>IF(AND(F72=2,G72=2),"AMBOS",IF(AND(F72=2,G72&lt;2),"solo JP",IF(AND(F72&lt;2,G72=2),"solo Thais","-")))</f>
        <v/>
      </c>
      <c r="I72" s="14" t="n">
        <v>35</v>
      </c>
      <c r="J72" s="15" t="n">
        <v>1</v>
      </c>
      <c r="K72" s="13" t="inlineStr">
        <is>
          <t>SÍ</t>
        </is>
      </c>
      <c r="L72" s="16" t="inlineStr">
        <is>
          <t>—</t>
        </is>
      </c>
      <c r="M72" s="11" t="inlineStr">
        <is>
          <t>—</t>
        </is>
      </c>
      <c r="N72" s="16" t="inlineStr">
        <is>
          <t>—</t>
        </is>
      </c>
      <c r="O72" s="16" t="inlineStr">
        <is>
          <t>—</t>
        </is>
      </c>
      <c r="P72" s="16" t="inlineStr">
        <is>
          <t>59 St-Columbus Circle (1,A,B,C,D)</t>
        </is>
      </c>
      <c r="Q72" s="16" t="inlineStr">
        <is>
          <t>El brunch clásico del Upper East/Central Park South. Mermeladas propias, cola los domingos.</t>
        </is>
      </c>
      <c r="R72" s="16" t="inlineStr">
        <is>
          <t>40 Central Park S</t>
        </is>
      </c>
      <c r="S72" s="16" t="inlineStr">
        <is>
          <t>—</t>
        </is>
      </c>
      <c r="T72" s="18" t="inlineStr">
        <is>
          <t>Abrir ↗</t>
        </is>
      </c>
      <c r="U72" s="19" t="inlineStr">
        <is>
          <t>lista google</t>
        </is>
      </c>
      <c r="V72" s="20" t="inlineStr"/>
    </row>
    <row r="73" ht="46" customHeight="1">
      <c r="A73" s="9" t="inlineStr">
        <is>
          <t>Starbucks Reserve Roastery</t>
        </is>
      </c>
      <c r="B73" s="10" t="inlineStr">
        <is>
          <t>Café y brunch</t>
        </is>
      </c>
      <c r="C73" s="11" t="inlineStr">
        <is>
          <t>Comida</t>
        </is>
      </c>
      <c r="D73" s="11" t="inlineStr">
        <is>
          <t>Chelsea</t>
        </is>
      </c>
      <c r="E73" s="11" t="inlineStr">
        <is>
          <t>Manhattan</t>
        </is>
      </c>
      <c r="F73" s="12" t="n">
        <v>1</v>
      </c>
      <c r="G73" s="12" t="n">
        <v>1</v>
      </c>
      <c r="H73" s="13">
        <f>IF(AND(F73=2,G73=2),"AMBOS",IF(AND(F73=2,G73&lt;2),"solo JP",IF(AND(F73&lt;2,G73=2),"solo Thais","-")))</f>
        <v/>
      </c>
      <c r="I73" s="14" t="n">
        <v>15</v>
      </c>
      <c r="J73" s="15" t="n">
        <v>0.75</v>
      </c>
      <c r="K73" s="13" t="inlineStr">
        <is>
          <t>SÍ</t>
        </is>
      </c>
      <c r="L73" s="16" t="inlineStr">
        <is>
          <t>—</t>
        </is>
      </c>
      <c r="M73" s="11" t="inlineStr">
        <is>
          <t>—</t>
        </is>
      </c>
      <c r="N73" s="16" t="inlineStr">
        <is>
          <t>—</t>
        </is>
      </c>
      <c r="O73" s="16" t="inlineStr">
        <is>
          <t>—</t>
        </is>
      </c>
      <c r="P73" s="16" t="inlineStr">
        <is>
          <t>14 St (A,C,E)</t>
        </is>
      </c>
      <c r="Q73" s="16" t="inlineStr">
        <is>
          <t>La tostadora gigante a la vista: más fábrica-espectáculo que café. Entrar es gratis.</t>
        </is>
      </c>
      <c r="R73" s="16" t="inlineStr">
        <is>
          <t>61 9th Ave</t>
        </is>
      </c>
      <c r="S73" s="16" t="inlineStr">
        <is>
          <t>—</t>
        </is>
      </c>
      <c r="T73" s="18" t="inlineStr">
        <is>
          <t>Abrir ↗</t>
        </is>
      </c>
      <c r="U73" s="19" t="inlineStr">
        <is>
          <t>lista google</t>
        </is>
      </c>
      <c r="V73" s="20" t="inlineStr"/>
    </row>
    <row r="74" ht="46" customHeight="1">
      <c r="A74" s="9" t="inlineStr">
        <is>
          <t>The Grey Dog - Union Square</t>
        </is>
      </c>
      <c r="B74" s="10" t="inlineStr">
        <is>
          <t>Café y brunch</t>
        </is>
      </c>
      <c r="C74" s="11" t="inlineStr">
        <is>
          <t>Comida</t>
        </is>
      </c>
      <c r="D74" s="11" t="inlineStr">
        <is>
          <t>Union Square</t>
        </is>
      </c>
      <c r="E74" s="11" t="inlineStr">
        <is>
          <t>Manhattan</t>
        </is>
      </c>
      <c r="F74" s="12" t="n">
        <v>1</v>
      </c>
      <c r="G74" s="12" t="n">
        <v>1</v>
      </c>
      <c r="H74" s="13">
        <f>IF(AND(F74=2,G74=2),"AMBOS",IF(AND(F74=2,G74&lt;2),"solo JP",IF(AND(F74&lt;2,G74=2),"solo Thais","-")))</f>
        <v/>
      </c>
      <c r="I74" s="14" t="n">
        <v>25</v>
      </c>
      <c r="J74" s="15" t="n">
        <v>0.75</v>
      </c>
      <c r="K74" s="13" t="inlineStr">
        <is>
          <t>no</t>
        </is>
      </c>
      <c r="L74" s="16" t="inlineStr">
        <is>
          <t>—</t>
        </is>
      </c>
      <c r="M74" s="11" t="inlineStr">
        <is>
          <t>—</t>
        </is>
      </c>
      <c r="N74" s="16" t="inlineStr">
        <is>
          <t>—</t>
        </is>
      </c>
      <c r="O74" s="16" t="inlineStr">
        <is>
          <t>—</t>
        </is>
      </c>
      <c r="P74" s="16" t="inlineStr">
        <is>
          <t>14 St-Union Sq (4,5,6,L,N,Q,R,W)</t>
        </is>
      </c>
      <c r="Q74" s="16" t="inlineStr">
        <is>
          <t>Café-restaurante de barrio, desayuno todo el día, el antídoto al brunch de cola.</t>
        </is>
      </c>
      <c r="R74" s="16" t="inlineStr">
        <is>
          <t>90 University Pl</t>
        </is>
      </c>
      <c r="S74" s="16" t="inlineStr">
        <is>
          <t>—</t>
        </is>
      </c>
      <c r="T74" s="18" t="inlineStr">
        <is>
          <t>Abrir ↗</t>
        </is>
      </c>
      <c r="U74" s="19" t="inlineStr">
        <is>
          <t>lista google</t>
        </is>
      </c>
      <c r="V74" s="20" t="inlineStr"/>
    </row>
    <row r="75" ht="46" customHeight="1">
      <c r="A75" s="9" t="inlineStr">
        <is>
          <t>Double Chicken Please</t>
        </is>
      </c>
      <c r="B75" s="10" t="inlineStr">
        <is>
          <t>Coctelería</t>
        </is>
      </c>
      <c r="C75" s="11" t="inlineStr">
        <is>
          <t>Comida</t>
        </is>
      </c>
      <c r="D75" s="11" t="inlineStr">
        <is>
          <t>Lower East Side</t>
        </is>
      </c>
      <c r="E75" s="11" t="inlineStr">
        <is>
          <t>Manhattan</t>
        </is>
      </c>
      <c r="F75" s="12" t="n">
        <v>1</v>
      </c>
      <c r="G75" s="12" t="n">
        <v>1</v>
      </c>
      <c r="H75" s="13">
        <f>IF(AND(F75=2,G75=2),"AMBOS",IF(AND(F75=2,G75&lt;2),"solo JP",IF(AND(F75&lt;2,G75=2),"solo Thais","-")))</f>
        <v/>
      </c>
      <c r="I75" s="14" t="n">
        <v>40</v>
      </c>
      <c r="J75" s="15" t="n">
        <v>1.5</v>
      </c>
      <c r="K75" s="13" t="inlineStr">
        <is>
          <t>SÍ</t>
        </is>
      </c>
      <c r="L75" s="16" t="inlineStr">
        <is>
          <t>—</t>
        </is>
      </c>
      <c r="M75" s="11" t="inlineStr">
        <is>
          <t>—</t>
        </is>
      </c>
      <c r="N75" s="16" t="inlineStr">
        <is>
          <t>—</t>
        </is>
      </c>
      <c r="O75" s="16" t="inlineStr">
        <is>
          <t>—</t>
        </is>
      </c>
      <c r="P75" s="16" t="inlineStr">
        <is>
          <t>Delancey St-Essex St (F,J,M,Z)</t>
        </is>
      </c>
      <c r="Q75" s="16" t="inlineStr">
        <is>
          <t>Entra en las listas de mejores bares del mundo: cócteles que replican platos (el 'Cold Pizza' es real).</t>
        </is>
      </c>
      <c r="R75" s="16" t="inlineStr">
        <is>
          <t>115 Allen St</t>
        </is>
      </c>
      <c r="S75" s="16" t="inlineStr">
        <is>
          <t>—</t>
        </is>
      </c>
      <c r="T75" s="18" t="inlineStr">
        <is>
          <t>Abrir ↗</t>
        </is>
      </c>
      <c r="U75" s="19" t="inlineStr">
        <is>
          <t>lista google</t>
        </is>
      </c>
      <c r="V75" s="20" t="inlineStr"/>
    </row>
    <row r="76" ht="46" customHeight="1">
      <c r="A76" s="9" t="inlineStr">
        <is>
          <t>Adel's Famous Halal Food</t>
        </is>
      </c>
      <c r="B76" s="10" t="inlineStr">
        <is>
          <t>Comida al paso</t>
        </is>
      </c>
      <c r="C76" s="11" t="inlineStr">
        <is>
          <t>Comida</t>
        </is>
      </c>
      <c r="D76" s="11" t="inlineStr">
        <is>
          <t>Astoria</t>
        </is>
      </c>
      <c r="E76" s="11" t="inlineStr">
        <is>
          <t>Queens</t>
        </is>
      </c>
      <c r="F76" s="12" t="n">
        <v>1</v>
      </c>
      <c r="G76" s="12" t="n">
        <v>1</v>
      </c>
      <c r="H76" s="13">
        <f>IF(AND(F76=2,G76=2),"AMBOS",IF(AND(F76=2,G76&lt;2),"solo JP",IF(AND(F76&lt;2,G76=2),"solo Thais","-")))</f>
        <v/>
      </c>
      <c r="I76" s="14" t="n">
        <v>12</v>
      </c>
      <c r="J76" s="15" t="n">
        <v>0.5</v>
      </c>
      <c r="K76" s="13" t="inlineStr">
        <is>
          <t>no</t>
        </is>
      </c>
      <c r="L76" s="16" t="inlineStr">
        <is>
          <t>—</t>
        </is>
      </c>
      <c r="M76" s="11" t="inlineStr">
        <is>
          <t>—</t>
        </is>
      </c>
      <c r="N76" s="16" t="inlineStr">
        <is>
          <t>—</t>
        </is>
      </c>
      <c r="O76" s="16" t="inlineStr">
        <is>
          <t>—</t>
        </is>
      </c>
      <c r="P76" s="16" t="inlineStr">
        <is>
          <t>Broadway (N,W)</t>
        </is>
      </c>
      <c r="Q76" s="16" t="inlineStr">
        <is>
          <t>Carrito halal de culto: arroz amarillo, pollo y la salsa blanca, a precio de carrito.</t>
        </is>
      </c>
      <c r="R76" s="16" t="inlineStr"/>
      <c r="S76" s="16" t="inlineStr">
        <is>
          <t>—</t>
        </is>
      </c>
      <c r="T76" s="18" t="inlineStr">
        <is>
          <t>Abrir ↗</t>
        </is>
      </c>
      <c r="U76" s="19" t="inlineStr">
        <is>
          <t>lista google</t>
        </is>
      </c>
      <c r="V76" s="20" t="inlineStr"/>
    </row>
    <row r="77" ht="46" customHeight="1">
      <c r="A77" s="9" t="inlineStr">
        <is>
          <t>Bark Barbecue</t>
        </is>
      </c>
      <c r="B77" s="10" t="inlineStr">
        <is>
          <t>Comida al paso</t>
        </is>
      </c>
      <c r="C77" s="11" t="inlineStr">
        <is>
          <t>Comida</t>
        </is>
      </c>
      <c r="D77" s="11" t="inlineStr">
        <is>
          <t>Queens</t>
        </is>
      </c>
      <c r="E77" s="11" t="inlineStr">
        <is>
          <t>Queens</t>
        </is>
      </c>
      <c r="F77" s="12" t="n">
        <v>1</v>
      </c>
      <c r="G77" s="12" t="n">
        <v>1</v>
      </c>
      <c r="H77" s="13">
        <f>IF(AND(F77=2,G77=2),"AMBOS",IF(AND(F77=2,G77&lt;2),"solo JP",IF(AND(F77&lt;2,G77=2),"solo Thais","-")))</f>
        <v/>
      </c>
      <c r="I77" s="14" t="n">
        <v>25</v>
      </c>
      <c r="J77" s="15" t="n">
        <v>1</v>
      </c>
      <c r="K77" s="13" t="inlineStr">
        <is>
          <t>no</t>
        </is>
      </c>
      <c r="L77" s="16" t="inlineStr">
        <is>
          <t>—</t>
        </is>
      </c>
      <c r="M77" s="11" t="inlineStr">
        <is>
          <t>—</t>
        </is>
      </c>
      <c r="N77" s="16" t="inlineStr">
        <is>
          <t>—</t>
        </is>
      </c>
      <c r="O77" s="16" t="inlineStr">
        <is>
          <t>—</t>
        </is>
      </c>
      <c r="P77" s="16" t="inlineStr">
        <is>
          <t>-</t>
        </is>
      </c>
      <c r="Q77" s="16" t="inlineStr">
        <is>
          <t>Barbacoa texana con acento mexicano, de las mejor rankeadas de la ciudad.</t>
        </is>
      </c>
      <c r="R77" s="16" t="inlineStr"/>
      <c r="S77" s="16" t="inlineStr">
        <is>
          <t>—</t>
        </is>
      </c>
      <c r="T77" s="18" t="inlineStr">
        <is>
          <t>Abrir ↗</t>
        </is>
      </c>
      <c r="U77" s="19" t="inlineStr">
        <is>
          <t>lista google</t>
        </is>
      </c>
      <c r="V77" s="20" t="inlineStr"/>
    </row>
    <row r="78" ht="46" customHeight="1">
      <c r="A78" s="9" t="inlineStr">
        <is>
          <t>Casa Della Mozzarella</t>
        </is>
      </c>
      <c r="B78" s="10" t="inlineStr">
        <is>
          <t>Comida al paso</t>
        </is>
      </c>
      <c r="C78" s="11" t="inlineStr">
        <is>
          <t>Comida</t>
        </is>
      </c>
      <c r="D78" s="11" t="inlineStr">
        <is>
          <t>Belmont</t>
        </is>
      </c>
      <c r="E78" s="11" t="inlineStr">
        <is>
          <t>Bronx</t>
        </is>
      </c>
      <c r="F78" s="12" t="n">
        <v>2</v>
      </c>
      <c r="G78" s="12" t="n">
        <v>2</v>
      </c>
      <c r="H78" s="13">
        <f>IF(AND(F78=2,G78=2),"AMBOS",IF(AND(F78=2,G78&lt;2),"solo JP",IF(AND(F78&lt;2,G78=2),"solo Thais","-")))</f>
        <v/>
      </c>
      <c r="I78" s="14" t="n">
        <v>14</v>
      </c>
      <c r="J78" s="15" t="n">
        <v>0.5</v>
      </c>
      <c r="K78" s="13" t="inlineStr">
        <is>
          <t>no</t>
        </is>
      </c>
      <c r="L78" s="16" t="inlineStr">
        <is>
          <t>—</t>
        </is>
      </c>
      <c r="M78" s="11" t="inlineStr">
        <is>
          <t>—</t>
        </is>
      </c>
      <c r="N78" s="16" t="inlineStr">
        <is>
          <t>—</t>
        </is>
      </c>
      <c r="O78" s="16" t="inlineStr">
        <is>
          <t>—</t>
        </is>
      </c>
      <c r="P78" s="16" t="inlineStr">
        <is>
          <t>Fordham Rd (B,D,4)</t>
        </is>
      </c>
      <c r="Q78" s="16" t="inlineStr">
        <is>
          <t>Sandwich de mozzarella hecha esa manana con prosciutto y pimientos secos en pan de sesamo. Uno de los mejores sandwiches de la ciudad, y cuesta lo que una cerveza en Manhattan.</t>
        </is>
      </c>
      <c r="R78" s="16" t="inlineStr">
        <is>
          <t>604 E 187th St, Bronx</t>
        </is>
      </c>
      <c r="S78" s="16" t="inlineStr">
        <is>
          <t>—</t>
        </is>
      </c>
      <c r="T78" s="18" t="inlineStr">
        <is>
          <t>Abrir ↗</t>
        </is>
      </c>
      <c r="U78" s="19" t="inlineStr">
        <is>
          <t>lista google</t>
        </is>
      </c>
      <c r="V78" s="20" t="inlineStr"/>
    </row>
    <row r="79" ht="46" customHeight="1">
      <c r="A79" s="9" t="inlineStr">
        <is>
          <t>Cosenza's Fish Market</t>
        </is>
      </c>
      <c r="B79" s="10" t="inlineStr">
        <is>
          <t>Comida al paso</t>
        </is>
      </c>
      <c r="C79" s="11" t="inlineStr">
        <is>
          <t>Comida</t>
        </is>
      </c>
      <c r="D79" s="11" t="inlineStr">
        <is>
          <t>Belmont</t>
        </is>
      </c>
      <c r="E79" s="11" t="inlineStr">
        <is>
          <t>Bronx</t>
        </is>
      </c>
      <c r="F79" s="12" t="n">
        <v>0</v>
      </c>
      <c r="G79" s="12" t="n">
        <v>0</v>
      </c>
      <c r="H79" s="13">
        <f>IF(AND(F79=2,G79=2),"AMBOS",IF(AND(F79=2,G79&lt;2),"solo JP",IF(AND(F79&lt;2,G79=2),"solo Thais","-")))</f>
        <v/>
      </c>
      <c r="I79" s="14" t="n">
        <v>15</v>
      </c>
      <c r="J79" s="15" t="n">
        <v>0.5</v>
      </c>
      <c r="K79" s="13" t="inlineStr">
        <is>
          <t>no</t>
        </is>
      </c>
      <c r="L79" s="16" t="inlineStr">
        <is>
          <t>—</t>
        </is>
      </c>
      <c r="M79" s="11" t="inlineStr">
        <is>
          <t>—</t>
        </is>
      </c>
      <c r="N79" s="16" t="inlineStr">
        <is>
          <t>—</t>
        </is>
      </c>
      <c r="O79" s="16" t="inlineStr">
        <is>
          <t>—</t>
        </is>
      </c>
      <c r="P79" s="16" t="inlineStr">
        <is>
          <t>Fordham Rd (B,D,4)</t>
        </is>
      </c>
      <c r="Q79" s="16" t="inlineStr">
        <is>
          <t>Barra de ostras montada en la vereda, con los condimentos afuera. Se come parado en la calle. Es la mejor media hora de Arthur Avenue.</t>
        </is>
      </c>
      <c r="R79" s="16" t="inlineStr">
        <is>
          <t>2354 Arthur Ave, Bronx</t>
        </is>
      </c>
      <c r="S79" s="16" t="inlineStr">
        <is>
          <t>—</t>
        </is>
      </c>
      <c r="T79" s="18" t="inlineStr">
        <is>
          <t>Abrir ↗</t>
        </is>
      </c>
      <c r="U79" s="21" t="inlineStr">
        <is>
          <t>otros</t>
        </is>
      </c>
      <c r="V79" s="20" t="inlineStr"/>
    </row>
    <row r="80" ht="46" customHeight="1">
      <c r="A80" s="9" t="inlineStr">
        <is>
          <t>Los Tacos No. 1</t>
        </is>
      </c>
      <c r="B80" s="10" t="inlineStr">
        <is>
          <t>Comida al paso</t>
        </is>
      </c>
      <c r="C80" s="11" t="inlineStr">
        <is>
          <t>Comida</t>
        </is>
      </c>
      <c r="D80" s="11" t="inlineStr">
        <is>
          <t>Chelsea</t>
        </is>
      </c>
      <c r="E80" s="11" t="inlineStr">
        <is>
          <t>Manhattan</t>
        </is>
      </c>
      <c r="F80" s="12" t="n">
        <v>2</v>
      </c>
      <c r="G80" s="12" t="n">
        <v>1</v>
      </c>
      <c r="H80" s="13">
        <f>IF(AND(F80=2,G80=2),"AMBOS",IF(AND(F80=2,G80&lt;2),"solo JP",IF(AND(F80&lt;2,G80=2),"solo Thais","-")))</f>
        <v/>
      </c>
      <c r="I80" s="14" t="n">
        <v>15</v>
      </c>
      <c r="J80" s="15" t="n">
        <v>0.5</v>
      </c>
      <c r="K80" s="13" t="inlineStr">
        <is>
          <t>SÍ</t>
        </is>
      </c>
      <c r="L80" s="16" t="inlineStr">
        <is>
          <t>—</t>
        </is>
      </c>
      <c r="M80" s="11" t="inlineStr">
        <is>
          <t>—</t>
        </is>
      </c>
      <c r="N80" s="16" t="inlineStr">
        <is>
          <t>—</t>
        </is>
      </c>
      <c r="O80" s="16" t="inlineStr">
        <is>
          <t>—</t>
        </is>
      </c>
      <c r="P80" s="16" t="inlineStr">
        <is>
          <t>14 St-8 Av (A,C,E,L)</t>
        </is>
      </c>
      <c r="Q80" s="16" t="inlineStr">
        <is>
          <t>Lo mejor de Chelsea Market y de las pocas cosas por las que vale entrar. Adobada y nopal, tortilla hecha ahi. Se come parado.</t>
        </is>
      </c>
      <c r="R80" s="16" t="inlineStr">
        <is>
          <t>75 9th Ave (Chelsea Market)</t>
        </is>
      </c>
      <c r="S80" s="16" t="inlineStr">
        <is>
          <t>—</t>
        </is>
      </c>
      <c r="T80" s="18" t="inlineStr">
        <is>
          <t>Abrir ↗</t>
        </is>
      </c>
      <c r="U80" s="21" t="inlineStr">
        <is>
          <t>otros</t>
        </is>
      </c>
      <c r="V80" s="20" t="inlineStr"/>
    </row>
    <row r="81" ht="46" customHeight="1">
      <c r="A81" s="9" t="inlineStr">
        <is>
          <t>Frankel's Delicatessen</t>
        </is>
      </c>
      <c r="B81" s="10" t="inlineStr">
        <is>
          <t>Deli y pastrami</t>
        </is>
      </c>
      <c r="C81" s="11" t="inlineStr">
        <is>
          <t>Comida</t>
        </is>
      </c>
      <c r="D81" s="11" t="inlineStr">
        <is>
          <t>Greenpoint</t>
        </is>
      </c>
      <c r="E81" s="11" t="inlineStr">
        <is>
          <t>Brooklyn</t>
        </is>
      </c>
      <c r="F81" s="12" t="n">
        <v>2</v>
      </c>
      <c r="G81" s="12" t="n">
        <v>2</v>
      </c>
      <c r="H81" s="13">
        <f>IF(AND(F81=2,G81=2),"AMBOS",IF(AND(F81=2,G81&lt;2),"solo JP",IF(AND(F81&lt;2,G81=2),"solo Thais","-")))</f>
        <v/>
      </c>
      <c r="I81" s="14" t="n">
        <v>20</v>
      </c>
      <c r="J81" s="15" t="n">
        <v>1</v>
      </c>
      <c r="K81" s="13" t="inlineStr">
        <is>
          <t>no</t>
        </is>
      </c>
      <c r="L81" s="16" t="inlineStr">
        <is>
          <t>—</t>
        </is>
      </c>
      <c r="M81" s="11" t="inlineStr">
        <is>
          <t>—</t>
        </is>
      </c>
      <c r="N81" s="16" t="inlineStr">
        <is>
          <t>—</t>
        </is>
      </c>
      <c r="O81" s="16" t="inlineStr">
        <is>
          <t>—</t>
        </is>
      </c>
      <c r="P81" s="16" t="inlineStr">
        <is>
          <t>Nassau Av (G)</t>
        </is>
      </c>
      <c r="Q81" s="16" t="inlineStr">
        <is>
          <t>El pastrami-huevo-queso sobre challah entro en la lista del NYT de sandwiches que definen NYC. Deli judio version Brooklyn contemporaneo.</t>
        </is>
      </c>
      <c r="R81" s="16" t="inlineStr">
        <is>
          <t>631 Manhattan Ave, Brooklyn</t>
        </is>
      </c>
      <c r="S81" s="16" t="inlineStr">
        <is>
          <t>—</t>
        </is>
      </c>
      <c r="T81" s="18" t="inlineStr">
        <is>
          <t>Abrir ↗</t>
        </is>
      </c>
      <c r="U81" s="19" t="inlineStr">
        <is>
          <t>lista google</t>
        </is>
      </c>
      <c r="V81" s="20" t="inlineStr"/>
    </row>
    <row r="82" ht="46" customHeight="1">
      <c r="A82" s="9" t="inlineStr">
        <is>
          <t>Katz's Delicatessen</t>
        </is>
      </c>
      <c r="B82" s="10" t="inlineStr">
        <is>
          <t>Deli y pastrami</t>
        </is>
      </c>
      <c r="C82" s="11" t="inlineStr">
        <is>
          <t>Comida</t>
        </is>
      </c>
      <c r="D82" s="11" t="inlineStr">
        <is>
          <t>Lower East Side</t>
        </is>
      </c>
      <c r="E82" s="11" t="inlineStr">
        <is>
          <t>Manhattan</t>
        </is>
      </c>
      <c r="F82" s="12" t="n">
        <v>2</v>
      </c>
      <c r="G82" s="12" t="n">
        <v>2</v>
      </c>
      <c r="H82" s="13">
        <f>IF(AND(F82=2,G82=2),"AMBOS",IF(AND(F82=2,G82&lt;2),"solo JP",IF(AND(F82&lt;2,G82=2),"solo Thais","-")))</f>
        <v/>
      </c>
      <c r="I82" s="14" t="n">
        <v>32</v>
      </c>
      <c r="J82" s="15" t="n">
        <v>1.25</v>
      </c>
      <c r="K82" s="13" t="inlineStr">
        <is>
          <t>SÍ</t>
        </is>
      </c>
      <c r="L82" s="16" t="inlineStr">
        <is>
          <t>—</t>
        </is>
      </c>
      <c r="M82" s="11" t="inlineStr">
        <is>
          <t>—</t>
        </is>
      </c>
      <c r="N82" s="16" t="inlineStr">
        <is>
          <t>—</t>
        </is>
      </c>
      <c r="O82" s="16" t="inlineStr">
        <is>
          <t>—</t>
        </is>
      </c>
      <c r="P82" s="16" t="inlineStr">
        <is>
          <t>2 Av (F)</t>
        </is>
      </c>
      <c r="Q82" s="16" t="inlineStr">
        <is>
          <t>1888. El pastrami cura 30 dias y se corta a cuchillo. TRUCO: sentarse en el mostrador, dar propina al cortador, e ir un martes a las 15h en vez de un sabado al mediodia. Guardar el ticket o se paga multa.</t>
        </is>
      </c>
      <c r="R82" s="16" t="inlineStr">
        <is>
          <t>205 E Houston St</t>
        </is>
      </c>
      <c r="S82" s="17" t="inlineStr">
        <is>
          <t>Día 2 · dom 30/8</t>
        </is>
      </c>
      <c r="T82" s="18" t="inlineStr">
        <is>
          <t>Abrir ↗</t>
        </is>
      </c>
      <c r="U82" s="19" t="inlineStr">
        <is>
          <t>lista google</t>
        </is>
      </c>
      <c r="V82" s="20" t="inlineStr"/>
    </row>
    <row r="83" ht="46" customHeight="1">
      <c r="A83" s="9" t="inlineStr">
        <is>
          <t>Russ &amp; Daughters</t>
        </is>
      </c>
      <c r="B83" s="10" t="inlineStr">
        <is>
          <t>Deli y pastrami</t>
        </is>
      </c>
      <c r="C83" s="11" t="inlineStr">
        <is>
          <t>Comida</t>
        </is>
      </c>
      <c r="D83" s="11" t="inlineStr">
        <is>
          <t>Lower East Side</t>
        </is>
      </c>
      <c r="E83" s="11" t="inlineStr">
        <is>
          <t>Manhattan</t>
        </is>
      </c>
      <c r="F83" s="12" t="n">
        <v>2</v>
      </c>
      <c r="G83" s="12" t="n">
        <v>2</v>
      </c>
      <c r="H83" s="13">
        <f>IF(AND(F83=2,G83=2),"AMBOS",IF(AND(F83=2,G83&lt;2),"solo JP",IF(AND(F83&lt;2,G83=2),"solo Thais","-")))</f>
        <v/>
      </c>
      <c r="I83" s="14" t="n">
        <v>22</v>
      </c>
      <c r="J83" s="15" t="n">
        <v>0.75</v>
      </c>
      <c r="K83" s="13" t="inlineStr">
        <is>
          <t>SÍ</t>
        </is>
      </c>
      <c r="L83" s="16" t="inlineStr">
        <is>
          <t>lunes a viernes: 08:00–16:00 · sábado a domingo: 08:00–17:00</t>
        </is>
      </c>
      <c r="M83" s="11" t="inlineStr">
        <is>
          <t>—</t>
        </is>
      </c>
      <c r="N83" s="16" t="inlineStr">
        <is>
          <t>—</t>
        </is>
      </c>
      <c r="O83" s="16" t="inlineStr">
        <is>
          <t>—</t>
        </is>
      </c>
      <c r="P83" s="16" t="inlineStr">
        <is>
          <t>2 Av (F)</t>
        </is>
      </c>
      <c r="Q83" s="16" t="inlineStr">
        <is>
          <t>Appetizing store de 1914, cuarta generacion de la misma familia. Salmon curado cortado a mano sobre bagel. El mostrador es mejor experiencia que el cafe de al lado.</t>
        </is>
      </c>
      <c r="R83" s="16" t="inlineStr">
        <is>
          <t>179 E Houston St</t>
        </is>
      </c>
      <c r="S83" s="17" t="inlineStr">
        <is>
          <t>Día 2 · dom 30/8</t>
        </is>
      </c>
      <c r="T83" s="18" t="inlineStr">
        <is>
          <t>Abrir ↗</t>
        </is>
      </c>
      <c r="U83" s="19" t="inlineStr">
        <is>
          <t>lista google</t>
        </is>
      </c>
      <c r="V83" s="20" t="inlineStr"/>
    </row>
    <row r="84" ht="46" customHeight="1">
      <c r="A84" s="9" t="inlineStr">
        <is>
          <t>Russ &amp; Daughters Cafe</t>
        </is>
      </c>
      <c r="B84" s="10" t="inlineStr">
        <is>
          <t>Deli y pastrami</t>
        </is>
      </c>
      <c r="C84" s="11" t="inlineStr">
        <is>
          <t>Comida</t>
        </is>
      </c>
      <c r="D84" s="11" t="inlineStr">
        <is>
          <t>Lower East Side</t>
        </is>
      </c>
      <c r="E84" s="11" t="inlineStr">
        <is>
          <t>Manhattan</t>
        </is>
      </c>
      <c r="F84" s="12" t="n">
        <v>1</v>
      </c>
      <c r="G84" s="12" t="n">
        <v>1</v>
      </c>
      <c r="H84" s="13">
        <f>IF(AND(F84=2,G84=2),"AMBOS",IF(AND(F84=2,G84&lt;2),"solo JP",IF(AND(F84&lt;2,G84=2),"solo Thais","-")))</f>
        <v/>
      </c>
      <c r="I84" s="14" t="n">
        <v>40</v>
      </c>
      <c r="J84" s="15" t="n">
        <v>1.25</v>
      </c>
      <c r="K84" s="13" t="inlineStr">
        <is>
          <t>SÍ</t>
        </is>
      </c>
      <c r="L84" s="16" t="inlineStr">
        <is>
          <t>—</t>
        </is>
      </c>
      <c r="M84" s="11" t="inlineStr">
        <is>
          <t>—</t>
        </is>
      </c>
      <c r="N84" s="16" t="inlineStr">
        <is>
          <t>—</t>
        </is>
      </c>
      <c r="O84" s="16" t="inlineStr">
        <is>
          <t>—</t>
        </is>
      </c>
      <c r="P84" s="16" t="inlineStr">
        <is>
          <t>Delancey St-Essex St (F,J,M,Z)</t>
        </is>
      </c>
      <c r="Q84" s="16" t="inlineStr">
        <is>
          <t>La versión SENTADA del appetizing de 1914: mismo salmón, con mesa y platos. Distinto del local de Houston.</t>
        </is>
      </c>
      <c r="R84" s="16" t="inlineStr">
        <is>
          <t>127 Orchard St</t>
        </is>
      </c>
      <c r="S84" s="16" t="inlineStr">
        <is>
          <t>—</t>
        </is>
      </c>
      <c r="T84" s="18" t="inlineStr">
        <is>
          <t>Abrir ↗</t>
        </is>
      </c>
      <c r="U84" s="19" t="inlineStr">
        <is>
          <t>lista google</t>
        </is>
      </c>
      <c r="V84" s="20" t="inlineStr"/>
    </row>
    <row r="85" ht="46" customHeight="1">
      <c r="A85" s="9" t="inlineStr">
        <is>
          <t>S&amp;P Lunch</t>
        </is>
      </c>
      <c r="B85" s="10" t="inlineStr">
        <is>
          <t>Deli y pastrami</t>
        </is>
      </c>
      <c r="C85" s="11" t="inlineStr">
        <is>
          <t>Comida</t>
        </is>
      </c>
      <c r="D85" s="11" t="inlineStr">
        <is>
          <t>Flatiron</t>
        </is>
      </c>
      <c r="E85" s="11" t="inlineStr">
        <is>
          <t>Manhattan</t>
        </is>
      </c>
      <c r="F85" s="12" t="n">
        <v>2</v>
      </c>
      <c r="G85" s="12" t="n">
        <v>2</v>
      </c>
      <c r="H85" s="13">
        <f>IF(AND(F85=2,G85=2),"AMBOS",IF(AND(F85=2,G85&lt;2),"solo JP",IF(AND(F85&lt;2,G85=2),"solo Thais","-")))</f>
        <v/>
      </c>
      <c r="I85" s="14" t="n">
        <v>22</v>
      </c>
      <c r="J85" s="15" t="n">
        <v>1</v>
      </c>
      <c r="K85" s="13" t="inlineStr">
        <is>
          <t>no</t>
        </is>
      </c>
      <c r="L85" s="16" t="inlineStr">
        <is>
          <t>—</t>
        </is>
      </c>
      <c r="M85" s="11" t="inlineStr">
        <is>
          <t>—</t>
        </is>
      </c>
      <c r="N85" s="16" t="inlineStr">
        <is>
          <t>—</t>
        </is>
      </c>
      <c r="O85" s="16" t="inlineStr">
        <is>
          <t>—</t>
        </is>
      </c>
      <c r="P85" s="16" t="inlineStr">
        <is>
          <t>23 St (R,W,6)</t>
        </is>
      </c>
      <c r="Q85" s="16" t="inlineStr">
        <is>
          <t>Ocupa el local del Eisenberg's (1929), con pastrami cortado a mano. Es la alternativa a Katz's sin la cola ni el circo.</t>
        </is>
      </c>
      <c r="R85" s="16" t="inlineStr">
        <is>
          <t>174 5th Ave</t>
        </is>
      </c>
      <c r="S85" s="16" t="inlineStr">
        <is>
          <t>—</t>
        </is>
      </c>
      <c r="T85" s="18" t="inlineStr">
        <is>
          <t>Abrir ↗</t>
        </is>
      </c>
      <c r="U85" s="19" t="inlineStr">
        <is>
          <t>lista google</t>
        </is>
      </c>
      <c r="V85" s="20" t="inlineStr"/>
    </row>
    <row r="86" ht="46" customHeight="1">
      <c r="A86" s="9" t="inlineStr">
        <is>
          <t>Sarge's Delicatessen &amp; Diner</t>
        </is>
      </c>
      <c r="B86" s="10" t="inlineStr">
        <is>
          <t>Deli y pastrami</t>
        </is>
      </c>
      <c r="C86" s="11" t="inlineStr">
        <is>
          <t>Comida</t>
        </is>
      </c>
      <c r="D86" s="11" t="inlineStr">
        <is>
          <t>Murray Hill</t>
        </is>
      </c>
      <c r="E86" s="11" t="inlineStr">
        <is>
          <t>Manhattan</t>
        </is>
      </c>
      <c r="F86" s="12" t="n">
        <v>1</v>
      </c>
      <c r="G86" s="12" t="n">
        <v>1</v>
      </c>
      <c r="H86" s="13">
        <f>IF(AND(F86=2,G86=2),"AMBOS",IF(AND(F86=2,G86&lt;2),"solo JP",IF(AND(F86&lt;2,G86=2),"solo Thais","-")))</f>
        <v/>
      </c>
      <c r="I86" s="14" t="n">
        <v>30</v>
      </c>
      <c r="J86" s="15" t="n">
        <v>1</v>
      </c>
      <c r="K86" s="13" t="inlineStr">
        <is>
          <t>no</t>
        </is>
      </c>
      <c r="L86" s="16" t="inlineStr">
        <is>
          <t>—</t>
        </is>
      </c>
      <c r="M86" s="11" t="inlineStr">
        <is>
          <t>—</t>
        </is>
      </c>
      <c r="N86" s="16" t="inlineStr">
        <is>
          <t>—</t>
        </is>
      </c>
      <c r="O86" s="16" t="inlineStr">
        <is>
          <t>—</t>
        </is>
      </c>
      <c r="P86" s="16" t="inlineStr">
        <is>
          <t>33 St (6)</t>
        </is>
      </c>
      <c r="Q86" s="16" t="inlineStr">
        <is>
          <t>Deli judío de 1964 abierto 24 horas: el pastrami sin la cola de Katz's.</t>
        </is>
      </c>
      <c r="R86" s="16" t="inlineStr">
        <is>
          <t>548 3rd Ave</t>
        </is>
      </c>
      <c r="S86" s="16" t="inlineStr">
        <is>
          <t>—</t>
        </is>
      </c>
      <c r="T86" s="18" t="inlineStr">
        <is>
          <t>Abrir ↗</t>
        </is>
      </c>
      <c r="U86" s="19" t="inlineStr">
        <is>
          <t>lista google</t>
        </is>
      </c>
      <c r="V86" s="20" t="inlineStr"/>
    </row>
    <row r="87" ht="46" customHeight="1">
      <c r="A87" s="9" t="inlineStr">
        <is>
          <t>Golden Diner</t>
        </is>
      </c>
      <c r="B87" s="10" t="inlineStr">
        <is>
          <t>Diner clásico</t>
        </is>
      </c>
      <c r="C87" s="11" t="inlineStr">
        <is>
          <t>Comida</t>
        </is>
      </c>
      <c r="D87" s="11" t="inlineStr">
        <is>
          <t>Two Bridges</t>
        </is>
      </c>
      <c r="E87" s="11" t="inlineStr">
        <is>
          <t>Manhattan</t>
        </is>
      </c>
      <c r="F87" s="12" t="n">
        <v>1</v>
      </c>
      <c r="G87" s="12" t="n">
        <v>1</v>
      </c>
      <c r="H87" s="13">
        <f>IF(AND(F87=2,G87=2),"AMBOS",IF(AND(F87=2,G87&lt;2),"solo JP",IF(AND(F87&lt;2,G87=2),"solo Thais","-")))</f>
        <v/>
      </c>
      <c r="I87" s="14" t="n">
        <v>25</v>
      </c>
      <c r="J87" s="15" t="n">
        <v>0.75</v>
      </c>
      <c r="K87" s="13" t="inlineStr">
        <is>
          <t>no</t>
        </is>
      </c>
      <c r="L87" s="16" t="inlineStr">
        <is>
          <t>—</t>
        </is>
      </c>
      <c r="M87" s="11" t="inlineStr">
        <is>
          <t>—</t>
        </is>
      </c>
      <c r="N87" s="16" t="inlineStr">
        <is>
          <t>—</t>
        </is>
      </c>
      <c r="O87" s="16" t="inlineStr">
        <is>
          <t>—</t>
        </is>
      </c>
      <c r="P87" s="16" t="inlineStr">
        <is>
          <t>East Broadway (F)</t>
        </is>
      </c>
      <c r="Q87" s="16" t="inlineStr">
        <is>
          <t>Diner americano cruzado con cocina asiática, debajo del puente de Manhattan. Sin pose.</t>
        </is>
      </c>
      <c r="R87" s="16" t="inlineStr">
        <is>
          <t>123 Madison St</t>
        </is>
      </c>
      <c r="S87" s="16" t="inlineStr">
        <is>
          <t>—</t>
        </is>
      </c>
      <c r="T87" s="18" t="inlineStr">
        <is>
          <t>Abrir ↗</t>
        </is>
      </c>
      <c r="U87" s="19" t="inlineStr">
        <is>
          <t>lista google</t>
        </is>
      </c>
      <c r="V87" s="20" t="inlineStr"/>
    </row>
    <row r="88" ht="46" customHeight="1">
      <c r="A88" s="9" t="inlineStr">
        <is>
          <t>Junior's Restaurant and Bakery</t>
        </is>
      </c>
      <c r="B88" s="10" t="inlineStr">
        <is>
          <t>Diner clásico</t>
        </is>
      </c>
      <c r="C88" s="11" t="inlineStr">
        <is>
          <t>Comida</t>
        </is>
      </c>
      <c r="D88" s="11" t="inlineStr">
        <is>
          <t>Theater District</t>
        </is>
      </c>
      <c r="E88" s="11" t="inlineStr">
        <is>
          <t>Manhattan</t>
        </is>
      </c>
      <c r="F88" s="12" t="n">
        <v>1</v>
      </c>
      <c r="G88" s="12" t="n">
        <v>1</v>
      </c>
      <c r="H88" s="13">
        <f>IF(AND(F88=2,G88=2),"AMBOS",IF(AND(F88=2,G88&lt;2),"solo JP",IF(AND(F88&lt;2,G88=2),"solo Thais","-")))</f>
        <v/>
      </c>
      <c r="I88" s="14" t="n">
        <v>30</v>
      </c>
      <c r="J88" s="15" t="n">
        <v>1</v>
      </c>
      <c r="K88" s="13" t="inlineStr">
        <is>
          <t>SÍ</t>
        </is>
      </c>
      <c r="L88" s="16" t="inlineStr">
        <is>
          <t>—</t>
        </is>
      </c>
      <c r="M88" s="11" t="inlineStr">
        <is>
          <t>—</t>
        </is>
      </c>
      <c r="N88" s="16" t="inlineStr">
        <is>
          <t>—</t>
        </is>
      </c>
      <c r="O88" s="16" t="inlineStr">
        <is>
          <t>—</t>
        </is>
      </c>
      <c r="P88" s="16" t="inlineStr">
        <is>
          <t>49 St (N,R,W)</t>
        </is>
      </c>
      <c r="Q88" s="16" t="inlineStr">
        <is>
          <t>El cheesecake de Brooklyn, en su sucursal de Times Square. Porciones absurdas.</t>
        </is>
      </c>
      <c r="R88" s="16" t="inlineStr">
        <is>
          <t>1626 Broadway</t>
        </is>
      </c>
      <c r="S88" s="16" t="inlineStr">
        <is>
          <t>—</t>
        </is>
      </c>
      <c r="T88" s="18" t="inlineStr">
        <is>
          <t>Abrir ↗</t>
        </is>
      </c>
      <c r="U88" s="19" t="inlineStr">
        <is>
          <t>lista google</t>
        </is>
      </c>
      <c r="V88" s="20" t="inlineStr"/>
    </row>
    <row r="89" ht="46" customHeight="1">
      <c r="A89" s="9" t="inlineStr">
        <is>
          <t>Tick Tock Diner NY</t>
        </is>
      </c>
      <c r="B89" s="10" t="inlineStr">
        <is>
          <t>Diner clásico</t>
        </is>
      </c>
      <c r="C89" s="11" t="inlineStr">
        <is>
          <t>Comida</t>
        </is>
      </c>
      <c r="D89" s="11" t="inlineStr">
        <is>
          <t>Midtown West</t>
        </is>
      </c>
      <c r="E89" s="11" t="inlineStr">
        <is>
          <t>Manhattan</t>
        </is>
      </c>
      <c r="F89" s="12" t="n">
        <v>1</v>
      </c>
      <c r="G89" s="12" t="n">
        <v>1</v>
      </c>
      <c r="H89" s="13">
        <f>IF(AND(F89=2,G89=2),"AMBOS",IF(AND(F89=2,G89&lt;2),"solo JP",IF(AND(F89&lt;2,G89=2),"solo Thais","-")))</f>
        <v/>
      </c>
      <c r="I89" s="14" t="n">
        <v>25</v>
      </c>
      <c r="J89" s="15" t="n">
        <v>0.75</v>
      </c>
      <c r="K89" s="13" t="inlineStr">
        <is>
          <t>no</t>
        </is>
      </c>
      <c r="L89" s="16" t="inlineStr">
        <is>
          <t>—</t>
        </is>
      </c>
      <c r="M89" s="11" t="inlineStr">
        <is>
          <t>—</t>
        </is>
      </c>
      <c r="N89" s="16" t="inlineStr">
        <is>
          <t>—</t>
        </is>
      </c>
      <c r="O89" s="16" t="inlineStr">
        <is>
          <t>—</t>
        </is>
      </c>
      <c r="P89" s="16" t="inlineStr">
        <is>
          <t>34 St-Penn Station (1,2,3,A,C,E)</t>
        </is>
      </c>
      <c r="Q89" s="16" t="inlineStr">
        <is>
          <t>Diner art déco cromado frente a Penn Station. Útil de verdad los días de tren.</t>
        </is>
      </c>
      <c r="R89" s="16" t="inlineStr">
        <is>
          <t>481 8th Ave</t>
        </is>
      </c>
      <c r="S89" s="16" t="inlineStr">
        <is>
          <t>—</t>
        </is>
      </c>
      <c r="T89" s="18" t="inlineStr">
        <is>
          <t>Abrir ↗</t>
        </is>
      </c>
      <c r="U89" s="19" t="inlineStr">
        <is>
          <t>lista google</t>
        </is>
      </c>
      <c r="V89" s="20" t="inlineStr"/>
    </row>
    <row r="90" ht="46" customHeight="1">
      <c r="A90" s="9" t="inlineStr">
        <is>
          <t>Hamburger America</t>
        </is>
      </c>
      <c r="B90" s="10" t="inlineStr">
        <is>
          <t>Hamburguesería</t>
        </is>
      </c>
      <c r="C90" s="11" t="inlineStr">
        <is>
          <t>Comida</t>
        </is>
      </c>
      <c r="D90" s="11" t="inlineStr">
        <is>
          <t>SoHo / West Village</t>
        </is>
      </c>
      <c r="E90" s="11" t="inlineStr">
        <is>
          <t>Manhattan</t>
        </is>
      </c>
      <c r="F90" s="12" t="n">
        <v>2</v>
      </c>
      <c r="G90" s="12" t="n">
        <v>1</v>
      </c>
      <c r="H90" s="13">
        <f>IF(AND(F90=2,G90=2),"AMBOS",IF(AND(F90=2,G90&lt;2),"solo JP",IF(AND(F90&lt;2,G90=2),"solo Thais","-")))</f>
        <v/>
      </c>
      <c r="I90" s="14" t="n">
        <v>20</v>
      </c>
      <c r="J90" s="15" t="n">
        <v>0.75</v>
      </c>
      <c r="K90" s="13" t="inlineStr">
        <is>
          <t>SÍ</t>
        </is>
      </c>
      <c r="L90" s="16" t="inlineStr">
        <is>
          <t>lunes a jueves: 11:00–22:00 · viernes a sábado: 11:00–23:00 · domingo: 11:00–22:00</t>
        </is>
      </c>
      <c r="M90" s="11" t="inlineStr">
        <is>
          <t>—</t>
        </is>
      </c>
      <c r="N90" s="16" t="inlineStr">
        <is>
          <t>—</t>
        </is>
      </c>
      <c r="O90" s="16" t="inlineStr">
        <is>
          <t>no acepta reservas - ir y hacer la fila</t>
        </is>
      </c>
      <c r="P90" s="16" t="inlineStr">
        <is>
          <t>Houston St (1), W 4 St (A,C,E,B,D,F,M)</t>
        </is>
      </c>
      <c r="Q90" s="16" t="inlineStr">
        <is>
          <t>El counter de George Motz, EL historiador de la hamburguesa americana: smashburger con cebolla al estilo Oklahoma y griddle a la vista. Es la hamburguesa clasica llevada a doctrina — MUST de JP.</t>
        </is>
      </c>
      <c r="R90" s="16" t="inlineStr">
        <is>
          <t>155 W Houston St</t>
        </is>
      </c>
      <c r="S90" s="17" t="inlineStr">
        <is>
          <t>Día 4 · mar 1/9</t>
        </is>
      </c>
      <c r="T90" s="18" t="inlineStr">
        <is>
          <t>Abrir ↗</t>
        </is>
      </c>
      <c r="U90" s="19" t="inlineStr">
        <is>
          <t>lista google</t>
        </is>
      </c>
      <c r="V90" s="20" t="inlineStr">
        <is>
          <t>SÍ</t>
        </is>
      </c>
    </row>
    <row r="91" ht="46" customHeight="1">
      <c r="A91" s="9" t="inlineStr">
        <is>
          <t>Shake Shack (Columbus Circle / Theater District)</t>
        </is>
      </c>
      <c r="B91" s="10" t="inlineStr">
        <is>
          <t>Hamburguesería</t>
        </is>
      </c>
      <c r="C91" s="11" t="inlineStr">
        <is>
          <t>Comida</t>
        </is>
      </c>
      <c r="D91" s="11" t="inlineStr">
        <is>
          <t>Midtown</t>
        </is>
      </c>
      <c r="E91" s="11" t="inlineStr">
        <is>
          <t>Manhattan</t>
        </is>
      </c>
      <c r="F91" s="12" t="n">
        <v>1</v>
      </c>
      <c r="G91" s="12" t="n">
        <v>1</v>
      </c>
      <c r="H91" s="13">
        <f>IF(AND(F91=2,G91=2),"AMBOS",IF(AND(F91=2,G91&lt;2),"solo JP",IF(AND(F91&lt;2,G91=2),"solo Thais","-")))</f>
        <v/>
      </c>
      <c r="I91" s="14" t="n">
        <v>15</v>
      </c>
      <c r="J91" s="15" t="n">
        <v>0.5</v>
      </c>
      <c r="K91" s="13" t="inlineStr">
        <is>
          <t>SÍ</t>
        </is>
      </c>
      <c r="L91" s="16" t="inlineStr">
        <is>
          <t>—</t>
        </is>
      </c>
      <c r="M91" s="11" t="inlineStr">
        <is>
          <t>—</t>
        </is>
      </c>
      <c r="N91" s="16" t="inlineStr">
        <is>
          <t>—</t>
        </is>
      </c>
      <c r="O91" s="16" t="inlineStr">
        <is>
          <t>—</t>
        </is>
      </c>
      <c r="P91" s="16" t="inlineStr">
        <is>
          <t>59 St-Columbus Circle (1,A,B,C,D)</t>
        </is>
      </c>
      <c r="Q91" s="16" t="inlineStr">
        <is>
          <t>El burger de Madison Square Park convertido en cadena. En la lista estaban tres sucursales: esta es la más cómoda.</t>
        </is>
      </c>
      <c r="R91" s="16" t="inlineStr"/>
      <c r="S91" s="16" t="inlineStr">
        <is>
          <t>—</t>
        </is>
      </c>
      <c r="T91" s="18" t="inlineStr">
        <is>
          <t>Abrir ↗</t>
        </is>
      </c>
      <c r="U91" s="19" t="inlineStr">
        <is>
          <t>lista google</t>
        </is>
      </c>
      <c r="V91" s="20" t="inlineStr"/>
    </row>
    <row r="92" ht="46" customHeight="1">
      <c r="A92" s="9" t="inlineStr">
        <is>
          <t>Amorino</t>
        </is>
      </c>
      <c r="B92" s="10" t="inlineStr">
        <is>
          <t>Heladería y dulces</t>
        </is>
      </c>
      <c r="C92" s="11" t="inlineStr">
        <is>
          <t>Comida</t>
        </is>
      </c>
      <c r="D92" s="11" t="inlineStr">
        <is>
          <t>Manhattan</t>
        </is>
      </c>
      <c r="E92" s="11" t="inlineStr">
        <is>
          <t>Manhattan</t>
        </is>
      </c>
      <c r="F92" s="12" t="n">
        <v>1</v>
      </c>
      <c r="G92" s="12" t="n">
        <v>1</v>
      </c>
      <c r="H92" s="13">
        <f>IF(AND(F92=2,G92=2),"AMBOS",IF(AND(F92=2,G92&lt;2),"solo JP",IF(AND(F92&lt;2,G92=2),"solo Thais","-")))</f>
        <v/>
      </c>
      <c r="I92" s="14" t="n">
        <v>10</v>
      </c>
      <c r="J92" s="15" t="n">
        <v>0.3</v>
      </c>
      <c r="K92" s="13" t="inlineStr">
        <is>
          <t>SÍ</t>
        </is>
      </c>
      <c r="L92" s="16" t="inlineStr">
        <is>
          <t>—</t>
        </is>
      </c>
      <c r="M92" s="11" t="inlineStr">
        <is>
          <t>—</t>
        </is>
      </c>
      <c r="N92" s="16" t="inlineStr">
        <is>
          <t>—</t>
        </is>
      </c>
      <c r="O92" s="16" t="inlineStr">
        <is>
          <t>—</t>
        </is>
      </c>
      <c r="P92" s="16" t="inlineStr">
        <is>
          <t>-</t>
        </is>
      </c>
      <c r="Q92" s="16" t="inlineStr">
        <is>
          <t>Gelato servido en forma de flor. Más foto que helado, pero el helado es bueno.</t>
        </is>
      </c>
      <c r="R92" s="16" t="inlineStr"/>
      <c r="S92" s="16" t="inlineStr">
        <is>
          <t>—</t>
        </is>
      </c>
      <c r="T92" s="18" t="inlineStr">
        <is>
          <t>Abrir ↗</t>
        </is>
      </c>
      <c r="U92" s="19" t="inlineStr">
        <is>
          <t>lista google</t>
        </is>
      </c>
      <c r="V92" s="20" t="inlineStr"/>
    </row>
    <row r="93" ht="46" customHeight="1">
      <c r="A93" s="9" t="inlineStr">
        <is>
          <t>Dough Doughnuts</t>
        </is>
      </c>
      <c r="B93" s="10" t="inlineStr">
        <is>
          <t>Heladería y dulces</t>
        </is>
      </c>
      <c r="C93" s="11" t="inlineStr">
        <is>
          <t>Comida</t>
        </is>
      </c>
      <c r="D93" s="11" t="inlineStr">
        <is>
          <t>Midtown</t>
        </is>
      </c>
      <c r="E93" s="11" t="inlineStr">
        <is>
          <t>Manhattan</t>
        </is>
      </c>
      <c r="F93" s="12" t="n">
        <v>1</v>
      </c>
      <c r="G93" s="12" t="n">
        <v>1</v>
      </c>
      <c r="H93" s="13">
        <f>IF(AND(F93=2,G93=2),"AMBOS",IF(AND(F93=2,G93&lt;2),"solo JP",IF(AND(F93&lt;2,G93=2),"solo Thais","-")))</f>
        <v/>
      </c>
      <c r="I93" s="14" t="n">
        <v>8</v>
      </c>
      <c r="J93" s="15" t="n">
        <v>0.3</v>
      </c>
      <c r="K93" s="13" t="inlineStr">
        <is>
          <t>no</t>
        </is>
      </c>
      <c r="L93" s="16" t="inlineStr">
        <is>
          <t>—</t>
        </is>
      </c>
      <c r="M93" s="11" t="inlineStr">
        <is>
          <t>—</t>
        </is>
      </c>
      <c r="N93" s="16" t="inlineStr">
        <is>
          <t>—</t>
        </is>
      </c>
      <c r="O93" s="16" t="inlineStr">
        <is>
          <t>—</t>
        </is>
      </c>
      <c r="P93" s="16" t="inlineStr">
        <is>
          <t>47-50 Sts-Rockefeller Ctr (B,D,F,M)</t>
        </is>
      </c>
      <c r="Q93" s="16" t="inlineStr">
        <is>
          <t>Donas grandes y glaseadas (hibisco, dulce de leche). Buen desvío de cinco minutos.</t>
        </is>
      </c>
      <c r="R93" s="16" t="inlineStr"/>
      <c r="S93" s="16" t="inlineStr">
        <is>
          <t>—</t>
        </is>
      </c>
      <c r="T93" s="18" t="inlineStr">
        <is>
          <t>Abrir ↗</t>
        </is>
      </c>
      <c r="U93" s="19" t="inlineStr">
        <is>
          <t>lista google</t>
        </is>
      </c>
      <c r="V93" s="20" t="inlineStr"/>
    </row>
    <row r="94" ht="46" customHeight="1">
      <c r="A94" s="9" t="inlineStr">
        <is>
          <t>Krispy Kreme Times Square</t>
        </is>
      </c>
      <c r="B94" s="10" t="inlineStr">
        <is>
          <t>Heladería y dulces</t>
        </is>
      </c>
      <c r="C94" s="11" t="inlineStr">
        <is>
          <t>Comida</t>
        </is>
      </c>
      <c r="D94" s="11" t="inlineStr">
        <is>
          <t>Times Square</t>
        </is>
      </c>
      <c r="E94" s="11" t="inlineStr">
        <is>
          <t>Manhattan</t>
        </is>
      </c>
      <c r="F94" s="12" t="n">
        <v>1</v>
      </c>
      <c r="G94" s="12" t="n">
        <v>1</v>
      </c>
      <c r="H94" s="13">
        <f>IF(AND(F94=2,G94=2),"AMBOS",IF(AND(F94=2,G94&lt;2),"solo JP",IF(AND(F94&lt;2,G94=2),"solo Thais","-")))</f>
        <v/>
      </c>
      <c r="I94" s="14" t="n">
        <v>8</v>
      </c>
      <c r="J94" s="15" t="n">
        <v>0.4</v>
      </c>
      <c r="K94" s="13" t="inlineStr">
        <is>
          <t>SÍ</t>
        </is>
      </c>
      <c r="L94" s="16" t="inlineStr">
        <is>
          <t>—</t>
        </is>
      </c>
      <c r="M94" s="11" t="inlineStr">
        <is>
          <t>—</t>
        </is>
      </c>
      <c r="N94" s="16" t="inlineStr">
        <is>
          <t>—</t>
        </is>
      </c>
      <c r="O94" s="16" t="inlineStr">
        <is>
          <t>—</t>
        </is>
      </c>
      <c r="P94" s="16" t="inlineStr">
        <is>
          <t>42 St-Times Sq</t>
        </is>
      </c>
      <c r="Q94" s="16" t="inlineStr">
        <is>
          <t>El flagship con la línea de glaseado a la vista y el cartel gigante. Espectáculo, no gastronomía.</t>
        </is>
      </c>
      <c r="R94" s="16" t="inlineStr">
        <is>
          <t>1601 Broadway</t>
        </is>
      </c>
      <c r="S94" s="16" t="inlineStr">
        <is>
          <t>—</t>
        </is>
      </c>
      <c r="T94" s="18" t="inlineStr">
        <is>
          <t>Abrir ↗</t>
        </is>
      </c>
      <c r="U94" s="19" t="inlineStr">
        <is>
          <t>lista google</t>
        </is>
      </c>
      <c r="V94" s="20" t="inlineStr"/>
    </row>
    <row r="95" ht="46" customHeight="1">
      <c r="A95" s="9" t="inlineStr">
        <is>
          <t>Arthur Avenue Retail Market</t>
        </is>
      </c>
      <c r="B95" s="10" t="inlineStr">
        <is>
          <t>Mercado y food hall</t>
        </is>
      </c>
      <c r="C95" s="11" t="inlineStr">
        <is>
          <t>Comida</t>
        </is>
      </c>
      <c r="D95" s="11" t="inlineStr">
        <is>
          <t>Belmont</t>
        </is>
      </c>
      <c r="E95" s="11" t="inlineStr">
        <is>
          <t>Bronx</t>
        </is>
      </c>
      <c r="F95" s="12" t="n">
        <v>1</v>
      </c>
      <c r="G95" s="12" t="n">
        <v>1</v>
      </c>
      <c r="H95" s="13">
        <f>IF(AND(F95=2,G95=2),"AMBOS",IF(AND(F95=2,G95&lt;2),"solo JP",IF(AND(F95&lt;2,G95=2),"solo Thais","-")))</f>
        <v/>
      </c>
      <c r="I95" s="14" t="n">
        <v>20</v>
      </c>
      <c r="J95" s="15" t="n">
        <v>1.5</v>
      </c>
      <c r="K95" s="13" t="inlineStr">
        <is>
          <t>no</t>
        </is>
      </c>
      <c r="L95" s="16" t="inlineStr">
        <is>
          <t>—</t>
        </is>
      </c>
      <c r="M95" s="11" t="inlineStr">
        <is>
          <t>—</t>
        </is>
      </c>
      <c r="N95" s="16" t="inlineStr">
        <is>
          <t>—</t>
        </is>
      </c>
      <c r="O95" s="16" t="inlineStr">
        <is>
          <t>—</t>
        </is>
      </c>
      <c r="P95" s="16" t="inlineStr">
        <is>
          <t>Fordham Rd (B,D,4)</t>
        </is>
      </c>
      <c r="Q95" s="16" t="inlineStr">
        <is>
          <t>Mercado techado de 1940 que LaGuardia construyo para sacar los carritos de la calle. Mike's Deli adentro: eggplant parm y arancini.</t>
        </is>
      </c>
      <c r="R95" s="16" t="inlineStr">
        <is>
          <t>2344 Arthur Ave, Bronx</t>
        </is>
      </c>
      <c r="S95" s="16" t="inlineStr">
        <is>
          <t>—</t>
        </is>
      </c>
      <c r="T95" s="18" t="inlineStr">
        <is>
          <t>Abrir ↗</t>
        </is>
      </c>
      <c r="U95" s="19" t="inlineStr">
        <is>
          <t>lista google</t>
        </is>
      </c>
      <c r="V95" s="20" t="inlineStr"/>
    </row>
    <row r="96" ht="46" customHeight="1">
      <c r="A96" s="9" t="inlineStr">
        <is>
          <t>Chelsea Market</t>
        </is>
      </c>
      <c r="B96" s="10" t="inlineStr">
        <is>
          <t>Mercado y food hall</t>
        </is>
      </c>
      <c r="C96" s="11" t="inlineStr">
        <is>
          <t>Comida</t>
        </is>
      </c>
      <c r="D96" s="11" t="inlineStr">
        <is>
          <t>Chelsea</t>
        </is>
      </c>
      <c r="E96" s="11" t="inlineStr">
        <is>
          <t>Manhattan</t>
        </is>
      </c>
      <c r="F96" s="12" t="n">
        <v>2</v>
      </c>
      <c r="G96" s="12" t="n">
        <v>2</v>
      </c>
      <c r="H96" s="13">
        <f>IF(AND(F96=2,G96=2),"AMBOS",IF(AND(F96=2,G96&lt;2),"solo JP",IF(AND(F96&lt;2,G96=2),"solo Thais","-")))</f>
        <v/>
      </c>
      <c r="I96" s="14" t="n">
        <v>22</v>
      </c>
      <c r="J96" s="15" t="n">
        <v>1.25</v>
      </c>
      <c r="K96" s="13" t="inlineStr">
        <is>
          <t>SÍ</t>
        </is>
      </c>
      <c r="L96" s="16" t="inlineStr">
        <is>
          <t>—</t>
        </is>
      </c>
      <c r="M96" s="11" t="inlineStr">
        <is>
          <t>—</t>
        </is>
      </c>
      <c r="N96" s="16" t="inlineStr">
        <is>
          <t>—</t>
        </is>
      </c>
      <c r="O96" s="16" t="inlineStr">
        <is>
          <t>—</t>
        </is>
      </c>
      <c r="P96" s="16" t="inlineStr">
        <is>
          <t>14 St-8 Av (A,C,E,L)</t>
        </is>
      </c>
      <c r="Q96" s="16" t="inlineStr">
        <is>
          <t>Vale, pero SOLO fuera de hora pico: el almuerzo de fin de semana es insoportable. Ir martes o miercoles 9-10h o 14:30-16h. Los Tacos No.1 y Very Fresh Noodles si valen.</t>
        </is>
      </c>
      <c r="R96" s="16" t="inlineStr">
        <is>
          <t>75 9th Ave</t>
        </is>
      </c>
      <c r="S96" s="17" t="inlineStr">
        <is>
          <t>Día 7 · vie 4/9</t>
        </is>
      </c>
      <c r="T96" s="18" t="inlineStr">
        <is>
          <t>Abrir ↗</t>
        </is>
      </c>
      <c r="U96" s="19" t="inlineStr">
        <is>
          <t>lista google</t>
        </is>
      </c>
      <c r="V96" s="20" t="inlineStr">
        <is>
          <t>SÍ</t>
        </is>
      </c>
    </row>
    <row r="97" ht="46" customHeight="1">
      <c r="A97" s="9" t="inlineStr">
        <is>
          <t>DeKalb Market Hall</t>
        </is>
      </c>
      <c r="B97" s="10" t="inlineStr">
        <is>
          <t>Mercado y food hall</t>
        </is>
      </c>
      <c r="C97" s="11" t="inlineStr">
        <is>
          <t>Comida</t>
        </is>
      </c>
      <c r="D97" s="11" t="inlineStr">
        <is>
          <t>Downtown Brooklyn</t>
        </is>
      </c>
      <c r="E97" s="11" t="inlineStr">
        <is>
          <t>Brooklyn</t>
        </is>
      </c>
      <c r="F97" s="12" t="n">
        <v>1</v>
      </c>
      <c r="G97" s="12" t="n">
        <v>1</v>
      </c>
      <c r="H97" s="13">
        <f>IF(AND(F97=2,G97=2),"AMBOS",IF(AND(F97=2,G97&lt;2),"solo JP",IF(AND(F97&lt;2,G97=2),"solo Thais","-")))</f>
        <v/>
      </c>
      <c r="I97" s="14" t="n">
        <v>20</v>
      </c>
      <c r="J97" s="15" t="n">
        <v>1</v>
      </c>
      <c r="K97" s="13" t="inlineStr">
        <is>
          <t>no</t>
        </is>
      </c>
      <c r="L97" s="16" t="inlineStr">
        <is>
          <t>—</t>
        </is>
      </c>
      <c r="M97" s="11" t="inlineStr">
        <is>
          <t>—</t>
        </is>
      </c>
      <c r="N97" s="16" t="inlineStr">
        <is>
          <t>—</t>
        </is>
      </c>
      <c r="O97" s="16" t="inlineStr">
        <is>
          <t>—</t>
        </is>
      </c>
      <c r="P97" s="16" t="inlineStr">
        <is>
          <t>DeKalb Av (B,Q,R), Jay St-MetroTech</t>
        </is>
      </c>
      <c r="Q97" s="16" t="inlineStr">
        <is>
          <t>El food hall mas honesto de Brooklyn. Tiene una sucursal de Katz's adentro, sin la cola de Houston Street.</t>
        </is>
      </c>
      <c r="R97" s="16" t="inlineStr">
        <is>
          <t>445 Albee Square W, Brooklyn</t>
        </is>
      </c>
      <c r="S97" s="16" t="inlineStr">
        <is>
          <t>—</t>
        </is>
      </c>
      <c r="T97" s="18" t="inlineStr">
        <is>
          <t>Abrir ↗</t>
        </is>
      </c>
      <c r="U97" s="19" t="inlineStr">
        <is>
          <t>lista google</t>
        </is>
      </c>
      <c r="V97" s="20" t="inlineStr"/>
    </row>
    <row r="98" ht="46" customHeight="1">
      <c r="A98" s="9" t="inlineStr">
        <is>
          <t>Eataly Flatiron</t>
        </is>
      </c>
      <c r="B98" s="10" t="inlineStr">
        <is>
          <t>Mercado y food hall</t>
        </is>
      </c>
      <c r="C98" s="11" t="inlineStr">
        <is>
          <t>Comida</t>
        </is>
      </c>
      <c r="D98" s="11" t="inlineStr">
        <is>
          <t>Flatiron</t>
        </is>
      </c>
      <c r="E98" s="11" t="inlineStr">
        <is>
          <t>Manhattan</t>
        </is>
      </c>
      <c r="F98" s="12" t="n">
        <v>1</v>
      </c>
      <c r="G98" s="12" t="n">
        <v>1</v>
      </c>
      <c r="H98" s="13">
        <f>IF(AND(F98=2,G98=2),"AMBOS",IF(AND(F98=2,G98&lt;2),"solo JP",IF(AND(F98&lt;2,G98=2),"solo Thais","-")))</f>
        <v/>
      </c>
      <c r="I98" s="14" t="n">
        <v>30</v>
      </c>
      <c r="J98" s="15" t="n">
        <v>1.25</v>
      </c>
      <c r="K98" s="13" t="inlineStr">
        <is>
          <t>SÍ</t>
        </is>
      </c>
      <c r="L98" s="16" t="inlineStr">
        <is>
          <t>—</t>
        </is>
      </c>
      <c r="M98" s="11" t="inlineStr">
        <is>
          <t>—</t>
        </is>
      </c>
      <c r="N98" s="16" t="inlineStr">
        <is>
          <t>—</t>
        </is>
      </c>
      <c r="O98" s="16" t="inlineStr">
        <is>
          <t>—</t>
        </is>
      </c>
      <c r="P98" s="16" t="inlineStr">
        <is>
          <t>23 St (R,W,F,M)</t>
        </is>
      </c>
      <c r="Q98" s="16" t="inlineStr">
        <is>
          <t>Mercado italiano gigante: pasta fresca, mostradores de quesos y varias barras para comer parado.</t>
        </is>
      </c>
      <c r="R98" s="16" t="inlineStr">
        <is>
          <t>200 5th Ave</t>
        </is>
      </c>
      <c r="S98" s="16" t="inlineStr">
        <is>
          <t>—</t>
        </is>
      </c>
      <c r="T98" s="18" t="inlineStr">
        <is>
          <t>Abrir ↗</t>
        </is>
      </c>
      <c r="U98" s="19" t="inlineStr">
        <is>
          <t>lista google</t>
        </is>
      </c>
      <c r="V98" s="20" t="inlineStr"/>
    </row>
    <row r="99" ht="46" customHeight="1">
      <c r="A99" s="9" t="inlineStr">
        <is>
          <t>Essex Market</t>
        </is>
      </c>
      <c r="B99" s="10" t="inlineStr">
        <is>
          <t>Mercado y food hall</t>
        </is>
      </c>
      <c r="C99" s="11" t="inlineStr">
        <is>
          <t>Comida</t>
        </is>
      </c>
      <c r="D99" s="11" t="inlineStr">
        <is>
          <t>Lower East Side</t>
        </is>
      </c>
      <c r="E99" s="11" t="inlineStr">
        <is>
          <t>Manhattan</t>
        </is>
      </c>
      <c r="F99" s="12" t="n">
        <v>2</v>
      </c>
      <c r="G99" s="12" t="n">
        <v>2</v>
      </c>
      <c r="H99" s="13">
        <f>IF(AND(F99=2,G99=2),"AMBOS",IF(AND(F99=2,G99&lt;2),"solo JP",IF(AND(F99&lt;2,G99=2),"solo Thais","-")))</f>
        <v/>
      </c>
      <c r="I99" s="14" t="n">
        <v>20</v>
      </c>
      <c r="J99" s="15" t="n">
        <v>1</v>
      </c>
      <c r="K99" s="13" t="inlineStr">
        <is>
          <t>no</t>
        </is>
      </c>
      <c r="L99" s="16" t="inlineStr">
        <is>
          <t>lunes a miércoles: 08:00–20:00 · jueves a sábado: 08:00–21:00 · domingo: 10:00–18:00</t>
        </is>
      </c>
      <c r="M99" s="11" t="inlineStr">
        <is>
          <t>—</t>
        </is>
      </c>
      <c r="N99" s="16" t="inlineStr">
        <is>
          <t>—</t>
        </is>
      </c>
      <c r="O99" s="16" t="inlineStr">
        <is>
          <t>—</t>
        </is>
      </c>
      <c r="P99" s="16" t="inlineStr">
        <is>
          <t>Essex St (J,M,Z), Delancey St (F)</t>
        </is>
      </c>
      <c r="Q99" s="16" t="inlineStr">
        <is>
          <t>Mercado municipal desde 1940 en edificio nuevo. Sigue teniendo carniceros, pescaderos y verduleros de verdad, no solo puestos de comida para turistas.</t>
        </is>
      </c>
      <c r="R99" s="16" t="inlineStr">
        <is>
          <t>88 Essex St</t>
        </is>
      </c>
      <c r="S99" s="17" t="inlineStr">
        <is>
          <t>Día 2 · dom 30/8</t>
        </is>
      </c>
      <c r="T99" s="18" t="inlineStr">
        <is>
          <t>Abrir ↗</t>
        </is>
      </c>
      <c r="U99" s="19" t="inlineStr">
        <is>
          <t>lista google</t>
        </is>
      </c>
      <c r="V99" s="20" t="inlineStr">
        <is>
          <t>SÍ</t>
        </is>
      </c>
    </row>
    <row r="100" ht="46" customHeight="1">
      <c r="A100" s="9" t="inlineStr">
        <is>
          <t>Morningside Park Farmers Market</t>
        </is>
      </c>
      <c r="B100" s="10" t="inlineStr">
        <is>
          <t>Mercado y food hall</t>
        </is>
      </c>
      <c r="C100" s="11" t="inlineStr">
        <is>
          <t>Comida</t>
        </is>
      </c>
      <c r="D100" s="11" t="inlineStr">
        <is>
          <t>Morningside Heights</t>
        </is>
      </c>
      <c r="E100" s="11" t="inlineStr">
        <is>
          <t>Manhattan</t>
        </is>
      </c>
      <c r="F100" s="12" t="n">
        <v>1</v>
      </c>
      <c r="G100" s="12" t="n">
        <v>1</v>
      </c>
      <c r="H100" s="13">
        <f>IF(AND(F100=2,G100=2),"AMBOS",IF(AND(F100=2,G100&lt;2),"solo JP",IF(AND(F100&lt;2,G100=2),"solo Thais","-")))</f>
        <v/>
      </c>
      <c r="I100" s="14" t="n">
        <v>0</v>
      </c>
      <c r="J100" s="15" t="n">
        <v>0.5</v>
      </c>
      <c r="K100" s="13" t="inlineStr">
        <is>
          <t>no</t>
        </is>
      </c>
      <c r="L100" s="16" t="inlineStr">
        <is>
          <t>—</t>
        </is>
      </c>
      <c r="M100" s="11" t="inlineStr">
        <is>
          <t>—</t>
        </is>
      </c>
      <c r="N100" s="16" t="inlineStr">
        <is>
          <t>—</t>
        </is>
      </c>
      <c r="O100" s="16" t="inlineStr">
        <is>
          <t>—</t>
        </is>
      </c>
      <c r="P100" s="16" t="inlineStr">
        <is>
          <t>116 St-Columbia University (1)</t>
        </is>
      </c>
      <c r="Q100" s="16" t="inlineStr">
        <is>
          <t>Feria de productores del barrio de Columbia. Solo algunos días: verificar antes de ir.</t>
        </is>
      </c>
      <c r="R100" s="16" t="inlineStr"/>
      <c r="S100" s="16" t="inlineStr">
        <is>
          <t>—</t>
        </is>
      </c>
      <c r="T100" s="18" t="inlineStr">
        <is>
          <t>Abrir ↗</t>
        </is>
      </c>
      <c r="U100" s="19" t="inlineStr">
        <is>
          <t>lista google</t>
        </is>
      </c>
      <c r="V100" s="20" t="inlineStr"/>
    </row>
    <row r="101" ht="46" customHeight="1">
      <c r="A101" s="9" t="inlineStr">
        <is>
          <t>New World Mall Food Court</t>
        </is>
      </c>
      <c r="B101" s="10" t="inlineStr">
        <is>
          <t>Mercado y food hall</t>
        </is>
      </c>
      <c r="C101" s="11" t="inlineStr">
        <is>
          <t>Comida</t>
        </is>
      </c>
      <c r="D101" s="11" t="inlineStr">
        <is>
          <t>Flushing</t>
        </is>
      </c>
      <c r="E101" s="11" t="inlineStr">
        <is>
          <t>Queens</t>
        </is>
      </c>
      <c r="F101" s="12" t="n">
        <v>0</v>
      </c>
      <c r="G101" s="12" t="n">
        <v>0</v>
      </c>
      <c r="H101" s="13">
        <f>IF(AND(F101=2,G101=2),"AMBOS",IF(AND(F101=2,G101&lt;2),"solo JP",IF(AND(F101&lt;2,G101=2),"solo Thais","-")))</f>
        <v/>
      </c>
      <c r="I101" s="14" t="n">
        <v>15</v>
      </c>
      <c r="J101" s="15" t="n">
        <v>1.5</v>
      </c>
      <c r="K101" s="13" t="inlineStr">
        <is>
          <t>no</t>
        </is>
      </c>
      <c r="L101" s="16" t="inlineStr">
        <is>
          <t>—</t>
        </is>
      </c>
      <c r="M101" s="11" t="inlineStr">
        <is>
          <t>—</t>
        </is>
      </c>
      <c r="N101" s="16" t="inlineStr">
        <is>
          <t>—</t>
        </is>
      </c>
      <c r="O101" s="16" t="inlineStr">
        <is>
          <t>—</t>
        </is>
      </c>
      <c r="P101" s="16" t="inlineStr">
        <is>
          <t>Main St (7)</t>
        </is>
      </c>
      <c r="Q101" s="16" t="inlineStr">
        <is>
          <t>Food court subterraneo con decenas de puestos regionales chinos. Cero concesiones al paladar occidental: ahi esta la gracia.</t>
        </is>
      </c>
      <c r="R101" s="16" t="inlineStr">
        <is>
          <t>136-20 Roosevelt Ave, Flushing</t>
        </is>
      </c>
      <c r="S101" s="16" t="inlineStr">
        <is>
          <t>—</t>
        </is>
      </c>
      <c r="T101" s="18" t="inlineStr">
        <is>
          <t>Abrir ↗</t>
        </is>
      </c>
      <c r="U101" s="21" t="inlineStr">
        <is>
          <t>otros</t>
        </is>
      </c>
      <c r="V101" s="20" t="inlineStr"/>
    </row>
    <row r="102" ht="46" customHeight="1">
      <c r="A102" s="9" t="inlineStr">
        <is>
          <t>Time Out Market</t>
        </is>
      </c>
      <c r="B102" s="10" t="inlineStr">
        <is>
          <t>Mercado y food hall</t>
        </is>
      </c>
      <c r="C102" s="11" t="inlineStr">
        <is>
          <t>Comida</t>
        </is>
      </c>
      <c r="D102" s="11" t="inlineStr">
        <is>
          <t>DUMBO</t>
        </is>
      </c>
      <c r="E102" s="11" t="inlineStr">
        <is>
          <t>Brooklyn</t>
        </is>
      </c>
      <c r="F102" s="12" t="n">
        <v>1</v>
      </c>
      <c r="G102" s="12" t="n">
        <v>1</v>
      </c>
      <c r="H102" s="13">
        <f>IF(AND(F102=2,G102=2),"AMBOS",IF(AND(F102=2,G102&lt;2),"solo JP",IF(AND(F102&lt;2,G102=2),"solo Thais","-")))</f>
        <v/>
      </c>
      <c r="I102" s="14" t="n">
        <v>25</v>
      </c>
      <c r="J102" s="15" t="n">
        <v>1.25</v>
      </c>
      <c r="K102" s="13" t="inlineStr">
        <is>
          <t>SÍ</t>
        </is>
      </c>
      <c r="L102" s="16" t="inlineStr">
        <is>
          <t>—</t>
        </is>
      </c>
      <c r="M102" s="11" t="inlineStr">
        <is>
          <t>—</t>
        </is>
      </c>
      <c r="N102" s="16" t="inlineStr">
        <is>
          <t>—</t>
        </is>
      </c>
      <c r="O102" s="16" t="inlineStr">
        <is>
          <t>—</t>
        </is>
      </c>
      <c r="P102" s="16" t="inlineStr">
        <is>
          <t>York St (F), High St (A,C)</t>
        </is>
      </c>
      <c r="Q102" s="16" t="inlineStr">
        <is>
          <t>Food hall curado con terraza que da al Brooklyn Bridge. Es turistico y esta bien: la terraza al atardecer justifica la parada.</t>
        </is>
      </c>
      <c r="R102" s="16" t="inlineStr">
        <is>
          <t>55 Water St, Brooklyn</t>
        </is>
      </c>
      <c r="S102" s="16" t="inlineStr">
        <is>
          <t>—</t>
        </is>
      </c>
      <c r="T102" s="18" t="inlineStr">
        <is>
          <t>Abrir ↗</t>
        </is>
      </c>
      <c r="U102" s="19" t="inlineStr">
        <is>
          <t>lista google</t>
        </is>
      </c>
      <c r="V102" s="20" t="inlineStr"/>
    </row>
    <row r="103" ht="46" customHeight="1">
      <c r="A103" s="9" t="inlineStr">
        <is>
          <t>Zabar's</t>
        </is>
      </c>
      <c r="B103" s="10" t="inlineStr">
        <is>
          <t>Mercado y food hall</t>
        </is>
      </c>
      <c r="C103" s="11" t="inlineStr">
        <is>
          <t>Comida</t>
        </is>
      </c>
      <c r="D103" s="11" t="inlineStr">
        <is>
          <t>Upper West Side</t>
        </is>
      </c>
      <c r="E103" s="11" t="inlineStr">
        <is>
          <t>Manhattan</t>
        </is>
      </c>
      <c r="F103" s="12" t="n">
        <v>1</v>
      </c>
      <c r="G103" s="12" t="n">
        <v>1</v>
      </c>
      <c r="H103" s="13">
        <f>IF(AND(F103=2,G103=2),"AMBOS",IF(AND(F103=2,G103&lt;2),"solo JP",IF(AND(F103&lt;2,G103=2),"solo Thais","-")))</f>
        <v/>
      </c>
      <c r="I103" s="14" t="n">
        <v>15</v>
      </c>
      <c r="J103" s="15" t="n">
        <v>0.75</v>
      </c>
      <c r="K103" s="13" t="inlineStr">
        <is>
          <t>no</t>
        </is>
      </c>
      <c r="L103" s="16" t="inlineStr">
        <is>
          <t>—</t>
        </is>
      </c>
      <c r="M103" s="11" t="inlineStr">
        <is>
          <t>—</t>
        </is>
      </c>
      <c r="N103" s="16" t="inlineStr">
        <is>
          <t>—</t>
        </is>
      </c>
      <c r="O103" s="16" t="inlineStr">
        <is>
          <t>—</t>
        </is>
      </c>
      <c r="P103" s="16" t="inlineStr">
        <is>
          <t>79 St (1)</t>
        </is>
      </c>
      <c r="Q103" s="16" t="inlineStr">
        <is>
          <t>La institución del Upper West Side desde 1934: quesos, ahumados y un café arriba. A pasos de The Beacon.</t>
        </is>
      </c>
      <c r="R103" s="16" t="inlineStr">
        <is>
          <t>2245 Broadway</t>
        </is>
      </c>
      <c r="S103" s="16" t="inlineStr">
        <is>
          <t>—</t>
        </is>
      </c>
      <c r="T103" s="18" t="inlineStr">
        <is>
          <t>Abrir ↗</t>
        </is>
      </c>
      <c r="U103" s="19" t="inlineStr">
        <is>
          <t>lista google</t>
        </is>
      </c>
      <c r="V103" s="20" t="inlineStr"/>
    </row>
    <row r="104" ht="46" customHeight="1">
      <c r="A104" s="9" t="inlineStr">
        <is>
          <t>Bo's Bagels</t>
        </is>
      </c>
      <c r="B104" s="10" t="inlineStr">
        <is>
          <t>Panadería y bagels</t>
        </is>
      </c>
      <c r="C104" s="11" t="inlineStr">
        <is>
          <t>Comida</t>
        </is>
      </c>
      <c r="D104" s="11" t="inlineStr">
        <is>
          <t>Harlem</t>
        </is>
      </c>
      <c r="E104" s="11" t="inlineStr">
        <is>
          <t>Manhattan</t>
        </is>
      </c>
      <c r="F104" s="12" t="n">
        <v>2</v>
      </c>
      <c r="G104" s="12" t="n">
        <v>2</v>
      </c>
      <c r="H104" s="13">
        <f>IF(AND(F104=2,G104=2),"AMBOS",IF(AND(F104=2,G104&lt;2),"solo JP",IF(AND(F104&lt;2,G104=2),"solo Thais","-")))</f>
        <v/>
      </c>
      <c r="I104" s="14" t="n">
        <v>8</v>
      </c>
      <c r="J104" s="15" t="n">
        <v>0.5</v>
      </c>
      <c r="K104" s="13" t="inlineStr">
        <is>
          <t>no</t>
        </is>
      </c>
      <c r="L104" s="16" t="inlineStr">
        <is>
          <t>—</t>
        </is>
      </c>
      <c r="M104" s="11" t="inlineStr">
        <is>
          <t>—</t>
        </is>
      </c>
      <c r="N104" s="16" t="inlineStr">
        <is>
          <t>—</t>
        </is>
      </c>
      <c r="O104" s="16" t="inlineStr">
        <is>
          <t>—</t>
        </is>
      </c>
      <c r="P104" s="16" t="inlineStr">
        <is>
          <t>116 St (B,C)</t>
        </is>
      </c>
      <c r="Q104" s="16" t="inlineStr">
        <is>
          <t>El unico bagel shop dedicado de Harlem: mas chicos y densos que el estandar, con za'atar y pumpernickel-arandano.</t>
        </is>
      </c>
      <c r="R104" s="16" t="inlineStr">
        <is>
          <t>235 W 116th St</t>
        </is>
      </c>
      <c r="S104" s="17" t="inlineStr">
        <is>
          <t>Día 1 · sáb 29/8</t>
        </is>
      </c>
      <c r="T104" s="18" t="inlineStr">
        <is>
          <t>Abrir ↗</t>
        </is>
      </c>
      <c r="U104" s="19" t="inlineStr">
        <is>
          <t>lista google</t>
        </is>
      </c>
      <c r="V104" s="20" t="inlineStr">
        <is>
          <t>SÍ</t>
        </is>
      </c>
    </row>
    <row r="105" ht="46" customHeight="1">
      <c r="A105" s="9" t="inlineStr">
        <is>
          <t>Dominique Ansel Bakery</t>
        </is>
      </c>
      <c r="B105" s="10" t="inlineStr">
        <is>
          <t>Panadería y bagels</t>
        </is>
      </c>
      <c r="C105" s="11" t="inlineStr">
        <is>
          <t>Comida</t>
        </is>
      </c>
      <c r="D105" s="11" t="inlineStr">
        <is>
          <t>SoHo</t>
        </is>
      </c>
      <c r="E105" s="11" t="inlineStr">
        <is>
          <t>Manhattan</t>
        </is>
      </c>
      <c r="F105" s="12" t="n">
        <v>1</v>
      </c>
      <c r="G105" s="12" t="n">
        <v>1</v>
      </c>
      <c r="H105" s="13">
        <f>IF(AND(F105=2,G105=2),"AMBOS",IF(AND(F105=2,G105&lt;2),"solo JP",IF(AND(F105&lt;2,G105=2),"solo Thais","-")))</f>
        <v/>
      </c>
      <c r="I105" s="14" t="n">
        <v>15</v>
      </c>
      <c r="J105" s="15" t="n">
        <v>0.5</v>
      </c>
      <c r="K105" s="13" t="inlineStr">
        <is>
          <t>SÍ</t>
        </is>
      </c>
      <c r="L105" s="16" t="inlineStr">
        <is>
          <t>—</t>
        </is>
      </c>
      <c r="M105" s="11" t="inlineStr">
        <is>
          <t>—</t>
        </is>
      </c>
      <c r="N105" s="16" t="inlineStr">
        <is>
          <t>—</t>
        </is>
      </c>
      <c r="O105" s="16" t="inlineStr">
        <is>
          <t>—</t>
        </is>
      </c>
      <c r="P105" s="16" t="inlineStr">
        <is>
          <t>Spring St (C,E)</t>
        </is>
      </c>
      <c r="Q105" s="16" t="inlineStr">
        <is>
          <t>El obrador donde se inventó el cronut. Ir temprano o se agota lo bueno.</t>
        </is>
      </c>
      <c r="R105" s="16" t="inlineStr">
        <is>
          <t>189 Spring St</t>
        </is>
      </c>
      <c r="S105" s="16" t="inlineStr">
        <is>
          <t>—</t>
        </is>
      </c>
      <c r="T105" s="18" t="inlineStr">
        <is>
          <t>Abrir ↗</t>
        </is>
      </c>
      <c r="U105" s="19" t="inlineStr">
        <is>
          <t>lista google</t>
        </is>
      </c>
      <c r="V105" s="20" t="inlineStr"/>
    </row>
    <row r="106" ht="46" customHeight="1">
      <c r="A106" s="9" t="inlineStr">
        <is>
          <t>La Cabra Bakery</t>
        </is>
      </c>
      <c r="B106" s="10" t="inlineStr">
        <is>
          <t>Panadería y bagels</t>
        </is>
      </c>
      <c r="C106" s="11" t="inlineStr">
        <is>
          <t>Comida</t>
        </is>
      </c>
      <c r="D106" s="11" t="inlineStr">
        <is>
          <t>East Village</t>
        </is>
      </c>
      <c r="E106" s="11" t="inlineStr">
        <is>
          <t>Manhattan</t>
        </is>
      </c>
      <c r="F106" s="12" t="n">
        <v>1</v>
      </c>
      <c r="G106" s="12" t="n">
        <v>1</v>
      </c>
      <c r="H106" s="13">
        <f>IF(AND(F106=2,G106=2),"AMBOS",IF(AND(F106=2,G106&lt;2),"solo JP",IF(AND(F106&lt;2,G106=2),"solo Thais","-")))</f>
        <v/>
      </c>
      <c r="I106" s="14" t="n">
        <v>12</v>
      </c>
      <c r="J106" s="15" t="n">
        <v>0.5</v>
      </c>
      <c r="K106" s="13" t="inlineStr">
        <is>
          <t>no</t>
        </is>
      </c>
      <c r="L106" s="16" t="inlineStr">
        <is>
          <t>—</t>
        </is>
      </c>
      <c r="M106" s="11" t="inlineStr">
        <is>
          <t>—</t>
        </is>
      </c>
      <c r="N106" s="16" t="inlineStr">
        <is>
          <t>—</t>
        </is>
      </c>
      <c r="O106" s="16" t="inlineStr">
        <is>
          <t>—</t>
        </is>
      </c>
      <c r="P106" s="16" t="inlineStr">
        <is>
          <t>Astor Pl (6)</t>
        </is>
      </c>
      <c r="Q106" s="16" t="inlineStr">
        <is>
          <t>Panadería danesa: el cardamom bun y el laminado son de otro nivel.</t>
        </is>
      </c>
      <c r="R106" s="16" t="inlineStr">
        <is>
          <t>152 2nd Ave</t>
        </is>
      </c>
      <c r="S106" s="16" t="inlineStr">
        <is>
          <t>—</t>
        </is>
      </c>
      <c r="T106" s="18" t="inlineStr">
        <is>
          <t>Abrir ↗</t>
        </is>
      </c>
      <c r="U106" s="19" t="inlineStr">
        <is>
          <t>lista google</t>
        </is>
      </c>
      <c r="V106" s="20" t="inlineStr"/>
    </row>
    <row r="107" ht="46" customHeight="1">
      <c r="A107" s="9" t="inlineStr">
        <is>
          <t>Pop's Bagels Nolita</t>
        </is>
      </c>
      <c r="B107" s="10" t="inlineStr">
        <is>
          <t>Panadería y bagels</t>
        </is>
      </c>
      <c r="C107" s="11" t="inlineStr">
        <is>
          <t>Comida</t>
        </is>
      </c>
      <c r="D107" s="11" t="inlineStr">
        <is>
          <t>Nolita</t>
        </is>
      </c>
      <c r="E107" s="11" t="inlineStr">
        <is>
          <t>Manhattan</t>
        </is>
      </c>
      <c r="F107" s="12" t="n">
        <v>1</v>
      </c>
      <c r="G107" s="12" t="n">
        <v>1</v>
      </c>
      <c r="H107" s="13">
        <f>IF(AND(F107=2,G107=2),"AMBOS",IF(AND(F107=2,G107&lt;2),"solo JP",IF(AND(F107&lt;2,G107=2),"solo Thais","-")))</f>
        <v/>
      </c>
      <c r="I107" s="14" t="n">
        <v>10</v>
      </c>
      <c r="J107" s="15" t="n">
        <v>0.4</v>
      </c>
      <c r="K107" s="13" t="inlineStr">
        <is>
          <t>no</t>
        </is>
      </c>
      <c r="L107" s="16" t="inlineStr">
        <is>
          <t>—</t>
        </is>
      </c>
      <c r="M107" s="11" t="inlineStr">
        <is>
          <t>—</t>
        </is>
      </c>
      <c r="N107" s="16" t="inlineStr">
        <is>
          <t>—</t>
        </is>
      </c>
      <c r="O107" s="16" t="inlineStr">
        <is>
          <t>—</t>
        </is>
      </c>
      <c r="P107" s="16" t="inlineStr">
        <is>
          <t>Spring St (6)</t>
        </is>
      </c>
      <c r="Q107" s="16" t="inlineStr">
        <is>
          <t>La camada nueva del bagel neoyorquino: masa más chica y densa, hecha por tandas.</t>
        </is>
      </c>
      <c r="R107" s="16" t="inlineStr"/>
      <c r="S107" s="16" t="inlineStr">
        <is>
          <t>—</t>
        </is>
      </c>
      <c r="T107" s="18" t="inlineStr">
        <is>
          <t>Abrir ↗</t>
        </is>
      </c>
      <c r="U107" s="19" t="inlineStr">
        <is>
          <t>lista google</t>
        </is>
      </c>
      <c r="V107" s="20" t="inlineStr"/>
    </row>
    <row r="108" ht="46" customHeight="1">
      <c r="A108" s="9" t="inlineStr">
        <is>
          <t>Rudy's Pastry Shop</t>
        </is>
      </c>
      <c r="B108" s="10" t="inlineStr">
        <is>
          <t>Panadería y bagels</t>
        </is>
      </c>
      <c r="C108" s="11" t="inlineStr">
        <is>
          <t>Comida</t>
        </is>
      </c>
      <c r="D108" s="11" t="inlineStr">
        <is>
          <t>Ridgewood</t>
        </is>
      </c>
      <c r="E108" s="11" t="inlineStr">
        <is>
          <t>Queens</t>
        </is>
      </c>
      <c r="F108" s="12" t="n">
        <v>0</v>
      </c>
      <c r="G108" s="12" t="n">
        <v>0</v>
      </c>
      <c r="H108" s="13">
        <f>IF(AND(F108=2,G108=2),"AMBOS",IF(AND(F108=2,G108&lt;2),"solo JP",IF(AND(F108&lt;2,G108=2),"solo Thais","-")))</f>
        <v/>
      </c>
      <c r="I108" s="14" t="n">
        <v>6</v>
      </c>
      <c r="J108" s="15" t="n">
        <v>0.5</v>
      </c>
      <c r="K108" s="13" t="inlineStr">
        <is>
          <t>no</t>
        </is>
      </c>
      <c r="L108" s="16" t="inlineStr">
        <is>
          <t>—</t>
        </is>
      </c>
      <c r="M108" s="11" t="inlineStr">
        <is>
          <t>—</t>
        </is>
      </c>
      <c r="N108" s="16" t="inlineStr">
        <is>
          <t>—</t>
        </is>
      </c>
      <c r="O108" s="16" t="inlineStr">
        <is>
          <t>—</t>
        </is>
      </c>
      <c r="P108" s="16" t="inlineStr">
        <is>
          <t>Seneca Av (M)</t>
        </is>
      </c>
      <c r="Q108" s="16" t="inlineStr">
        <is>
          <t>Abierta en 1934, la panaderia mas vieja de Queens. Black &amp; white cookies a ~$4 y reposteria alemana que ya casi no existe.</t>
        </is>
      </c>
      <c r="R108" s="16" t="inlineStr">
        <is>
          <t>905 Seneca Ave, Ridgewood</t>
        </is>
      </c>
      <c r="S108" s="16" t="inlineStr">
        <is>
          <t>—</t>
        </is>
      </c>
      <c r="T108" s="18" t="inlineStr">
        <is>
          <t>Abrir ↗</t>
        </is>
      </c>
      <c r="U108" s="21" t="inlineStr">
        <is>
          <t>otros</t>
        </is>
      </c>
      <c r="V108" s="20" t="inlineStr"/>
    </row>
    <row r="109" ht="46" customHeight="1">
      <c r="A109" s="9" t="inlineStr">
        <is>
          <t>Bleecker Street Pizza</t>
        </is>
      </c>
      <c r="B109" s="10" t="inlineStr">
        <is>
          <t>Pizzería</t>
        </is>
      </c>
      <c r="C109" s="11" t="inlineStr">
        <is>
          <t>Comida</t>
        </is>
      </c>
      <c r="D109" s="11" t="inlineStr">
        <is>
          <t>West Village</t>
        </is>
      </c>
      <c r="E109" s="11" t="inlineStr">
        <is>
          <t>Manhattan</t>
        </is>
      </c>
      <c r="F109" s="12" t="n">
        <v>1</v>
      </c>
      <c r="G109" s="12" t="n">
        <v>1</v>
      </c>
      <c r="H109" s="13">
        <f>IF(AND(F109=2,G109=2),"AMBOS",IF(AND(F109=2,G109&lt;2),"solo JP",IF(AND(F109&lt;2,G109=2),"solo Thais","-")))</f>
        <v/>
      </c>
      <c r="I109" s="14" t="n">
        <v>8</v>
      </c>
      <c r="J109" s="15" t="n">
        <v>0.4</v>
      </c>
      <c r="K109" s="13" t="inlineStr">
        <is>
          <t>no</t>
        </is>
      </c>
      <c r="L109" s="16" t="inlineStr">
        <is>
          <t>—</t>
        </is>
      </c>
      <c r="M109" s="11" t="inlineStr">
        <is>
          <t>—</t>
        </is>
      </c>
      <c r="N109" s="16" t="inlineStr">
        <is>
          <t>—</t>
        </is>
      </c>
      <c r="O109" s="16" t="inlineStr">
        <is>
          <t>—</t>
        </is>
      </c>
      <c r="P109" s="16" t="inlineStr">
        <is>
          <t>Christopher St-Sheridan Sq (1)</t>
        </is>
      </c>
      <c r="Q109" s="16" t="inlineStr">
        <is>
          <t>Slice de barrio con fila constante: la Nonna Maria (vodka sauce) es la que la puso en el mapa.</t>
        </is>
      </c>
      <c r="R109" s="16" t="inlineStr">
        <is>
          <t>69 7th Ave S</t>
        </is>
      </c>
      <c r="S109" s="16" t="inlineStr">
        <is>
          <t>—</t>
        </is>
      </c>
      <c r="T109" s="18" t="inlineStr">
        <is>
          <t>Abrir ↗</t>
        </is>
      </c>
      <c r="U109" s="19" t="inlineStr">
        <is>
          <t>lista google</t>
        </is>
      </c>
      <c r="V109" s="20" t="inlineStr"/>
    </row>
    <row r="110" ht="46" customHeight="1">
      <c r="A110" s="9" t="inlineStr">
        <is>
          <t>John's of Times Square</t>
        </is>
      </c>
      <c r="B110" s="10" t="inlineStr">
        <is>
          <t>Pizzería</t>
        </is>
      </c>
      <c r="C110" s="11" t="inlineStr">
        <is>
          <t>Comida</t>
        </is>
      </c>
      <c r="D110" s="11" t="inlineStr">
        <is>
          <t>Theater District</t>
        </is>
      </c>
      <c r="E110" s="11" t="inlineStr">
        <is>
          <t>Manhattan</t>
        </is>
      </c>
      <c r="F110" s="12" t="n">
        <v>1</v>
      </c>
      <c r="G110" s="12" t="n">
        <v>1</v>
      </c>
      <c r="H110" s="13">
        <f>IF(AND(F110=2,G110=2),"AMBOS",IF(AND(F110=2,G110&lt;2),"solo JP",IF(AND(F110&lt;2,G110=2),"solo Thais","-")))</f>
        <v/>
      </c>
      <c r="I110" s="14" t="n">
        <v>25</v>
      </c>
      <c r="J110" s="15" t="n">
        <v>1</v>
      </c>
      <c r="K110" s="13" t="inlineStr">
        <is>
          <t>SÍ</t>
        </is>
      </c>
      <c r="L110" s="16" t="inlineStr">
        <is>
          <t>—</t>
        </is>
      </c>
      <c r="M110" s="11" t="inlineStr">
        <is>
          <t>—</t>
        </is>
      </c>
      <c r="N110" s="16" t="inlineStr">
        <is>
          <t>—</t>
        </is>
      </c>
      <c r="O110" s="16" t="inlineStr">
        <is>
          <t>—</t>
        </is>
      </c>
      <c r="P110" s="16" t="inlineStr">
        <is>
          <t>42 St-Port Authority (A,C,E)</t>
        </is>
      </c>
      <c r="Q110" s="16" t="inlineStr">
        <is>
          <t>Pizzería de horno a leña DENTRO de una iglesia reconvertida, con los vitrales intactos. Sin porciones: pizza entera.</t>
        </is>
      </c>
      <c r="R110" s="16" t="inlineStr">
        <is>
          <t>260 W 44th St</t>
        </is>
      </c>
      <c r="S110" s="16" t="inlineStr">
        <is>
          <t>—</t>
        </is>
      </c>
      <c r="T110" s="18" t="inlineStr">
        <is>
          <t>Abrir ↗</t>
        </is>
      </c>
      <c r="U110" s="19" t="inlineStr">
        <is>
          <t>lista google</t>
        </is>
      </c>
      <c r="V110" s="20" t="inlineStr"/>
    </row>
    <row r="111" ht="46" customHeight="1">
      <c r="A111" s="9" t="inlineStr">
        <is>
          <t>L&amp;B Spumoni Gardens</t>
        </is>
      </c>
      <c r="B111" s="10" t="inlineStr">
        <is>
          <t>Pizzería</t>
        </is>
      </c>
      <c r="C111" s="11" t="inlineStr">
        <is>
          <t>Comida</t>
        </is>
      </c>
      <c r="D111" s="11" t="inlineStr">
        <is>
          <t>Gravesend</t>
        </is>
      </c>
      <c r="E111" s="11" t="inlineStr">
        <is>
          <t>Brooklyn</t>
        </is>
      </c>
      <c r="F111" s="12" t="n">
        <v>2</v>
      </c>
      <c r="G111" s="12" t="n">
        <v>2</v>
      </c>
      <c r="H111" s="13">
        <f>IF(AND(F111=2,G111=2),"AMBOS",IF(AND(F111=2,G111&lt;2),"solo JP",IF(AND(F111&lt;2,G111=2),"solo Thais","-")))</f>
        <v/>
      </c>
      <c r="I111" s="14" t="n">
        <v>15</v>
      </c>
      <c r="J111" s="15" t="n">
        <v>1.25</v>
      </c>
      <c r="K111" s="13" t="inlineStr">
        <is>
          <t>no</t>
        </is>
      </c>
      <c r="L111" s="16" t="inlineStr">
        <is>
          <t>—</t>
        </is>
      </c>
      <c r="M111" s="11" t="inlineStr">
        <is>
          <t>—</t>
        </is>
      </c>
      <c r="N111" s="16" t="inlineStr">
        <is>
          <t>—</t>
        </is>
      </c>
      <c r="O111" s="16" t="inlineStr">
        <is>
          <t>—</t>
        </is>
      </c>
      <c r="P111" s="16" t="inlineStr">
        <is>
          <t>Avenue X (F)</t>
        </is>
      </c>
      <c r="Q111" s="16" t="inlineStr">
        <is>
          <t>La square slice siciliana con la salsa ARRIBA del queso; es su invento y sigue siendo la mejor. Y el spumoni de postre. Vale el viaje hasta el sur de Brooklyn.</t>
        </is>
      </c>
      <c r="R111" s="16" t="inlineStr">
        <is>
          <t>2725 86th St, Brooklyn</t>
        </is>
      </c>
      <c r="S111" s="16" t="inlineStr">
        <is>
          <t>—</t>
        </is>
      </c>
      <c r="T111" s="18" t="inlineStr">
        <is>
          <t>Abrir ↗</t>
        </is>
      </c>
      <c r="U111" s="19" t="inlineStr">
        <is>
          <t>lista google</t>
        </is>
      </c>
      <c r="V111" s="20" t="inlineStr"/>
    </row>
    <row r="112" ht="46" customHeight="1">
      <c r="A112" s="9" t="inlineStr">
        <is>
          <t>Lucali</t>
        </is>
      </c>
      <c r="B112" s="10" t="inlineStr">
        <is>
          <t>Pizzería</t>
        </is>
      </c>
      <c r="C112" s="11" t="inlineStr">
        <is>
          <t>Comida</t>
        </is>
      </c>
      <c r="D112" s="11" t="inlineStr">
        <is>
          <t>Carroll Gardens</t>
        </is>
      </c>
      <c r="E112" s="11" t="inlineStr">
        <is>
          <t>Brooklyn</t>
        </is>
      </c>
      <c r="F112" s="12" t="n">
        <v>0</v>
      </c>
      <c r="G112" s="12" t="n">
        <v>0</v>
      </c>
      <c r="H112" s="13">
        <f>IF(AND(F112=2,G112=2),"AMBOS",IF(AND(F112=2,G112&lt;2),"solo JP",IF(AND(F112&lt;2,G112=2),"solo Thais","-")))</f>
        <v/>
      </c>
      <c r="I112" s="14" t="n">
        <v>30</v>
      </c>
      <c r="J112" s="15" t="n">
        <v>2</v>
      </c>
      <c r="K112" s="13" t="inlineStr">
        <is>
          <t>no</t>
        </is>
      </c>
      <c r="L112" s="16" t="inlineStr">
        <is>
          <t>—</t>
        </is>
      </c>
      <c r="M112" s="11" t="inlineStr">
        <is>
          <t>—</t>
        </is>
      </c>
      <c r="N112" s="16" t="inlineStr">
        <is>
          <t>—</t>
        </is>
      </c>
      <c r="O112" s="16" t="inlineStr">
        <is>
          <t>—</t>
        </is>
      </c>
      <c r="P112" s="16" t="inlineStr">
        <is>
          <t>Carroll St (F,G)</t>
        </is>
      </c>
      <c r="Q112" s="16" t="inlineStr">
        <is>
          <t>Considerada por muchos la mejor pizza de NYC. SIN reservas: hay que ir a anotarse cuando abren y volver despues. Solo si tienen paciencia.</t>
        </is>
      </c>
      <c r="R112" s="16" t="inlineStr">
        <is>
          <t>575 Henry St, Brooklyn</t>
        </is>
      </c>
      <c r="S112" s="16" t="inlineStr">
        <is>
          <t>—</t>
        </is>
      </c>
      <c r="T112" s="18" t="inlineStr">
        <is>
          <t>Abrir ↗</t>
        </is>
      </c>
      <c r="U112" s="21" t="inlineStr">
        <is>
          <t>otros</t>
        </is>
      </c>
      <c r="V112" s="20" t="inlineStr"/>
    </row>
    <row r="113" ht="46" customHeight="1">
      <c r="A113" s="9" t="inlineStr">
        <is>
          <t>Mano's Pizzeria</t>
        </is>
      </c>
      <c r="B113" s="10" t="inlineStr">
        <is>
          <t>Pizzería</t>
        </is>
      </c>
      <c r="C113" s="11" t="inlineStr">
        <is>
          <t>Comida</t>
        </is>
      </c>
      <c r="D113" s="11" t="inlineStr">
        <is>
          <t>Ridgewood</t>
        </is>
      </c>
      <c r="E113" s="11" t="inlineStr">
        <is>
          <t>Queens</t>
        </is>
      </c>
      <c r="F113" s="12" t="n">
        <v>0</v>
      </c>
      <c r="G113" s="12" t="n">
        <v>0</v>
      </c>
      <c r="H113" s="13">
        <f>IF(AND(F113=2,G113=2),"AMBOS",IF(AND(F113=2,G113&lt;2),"solo JP",IF(AND(F113&lt;2,G113=2),"solo Thais","-")))</f>
        <v/>
      </c>
      <c r="I113" s="14" t="n">
        <v>5</v>
      </c>
      <c r="J113" s="15" t="n">
        <v>0.5</v>
      </c>
      <c r="K113" s="13" t="inlineStr">
        <is>
          <t>no</t>
        </is>
      </c>
      <c r="L113" s="16" t="inlineStr">
        <is>
          <t>—</t>
        </is>
      </c>
      <c r="M113" s="11" t="inlineStr">
        <is>
          <t>—</t>
        </is>
      </c>
      <c r="N113" s="16" t="inlineStr">
        <is>
          <t>—</t>
        </is>
      </c>
      <c r="O113" s="16" t="inlineStr">
        <is>
          <t>—</t>
        </is>
      </c>
      <c r="P113" s="16" t="inlineStr">
        <is>
          <t>Forest Av (M)</t>
        </is>
      </c>
      <c r="Q113" s="16" t="inlineStr">
        <is>
          <t>La porcion plegable clasica de NY por cuatro dolares. Esto es lo que la gente come de verdad, no la cola de una hora en Prince Street.</t>
        </is>
      </c>
      <c r="R113" s="16" t="inlineStr">
        <is>
          <t>6202 Forest Ave, Ridgewood</t>
        </is>
      </c>
      <c r="S113" s="16" t="inlineStr">
        <is>
          <t>—</t>
        </is>
      </c>
      <c r="T113" s="18" t="inlineStr">
        <is>
          <t>Abrir ↗</t>
        </is>
      </c>
      <c r="U113" s="21" t="inlineStr">
        <is>
          <t>otros</t>
        </is>
      </c>
      <c r="V113" s="20" t="inlineStr"/>
    </row>
    <row r="114" ht="46" customHeight="1">
      <c r="A114" s="9" t="inlineStr">
        <is>
          <t>Totonno's</t>
        </is>
      </c>
      <c r="B114" s="10" t="inlineStr">
        <is>
          <t>Pizzería</t>
        </is>
      </c>
      <c r="C114" s="11" t="inlineStr">
        <is>
          <t>Comida</t>
        </is>
      </c>
      <c r="D114" s="11" t="inlineStr">
        <is>
          <t>Coney Island</t>
        </is>
      </c>
      <c r="E114" s="11" t="inlineStr">
        <is>
          <t>Brooklyn</t>
        </is>
      </c>
      <c r="F114" s="12" t="n">
        <v>2</v>
      </c>
      <c r="G114" s="12" t="n">
        <v>2</v>
      </c>
      <c r="H114" s="13">
        <f>IF(AND(F114=2,G114=2),"AMBOS",IF(AND(F114=2,G114&lt;2),"solo JP",IF(AND(F114&lt;2,G114=2),"solo Thais","-")))</f>
        <v/>
      </c>
      <c r="I114" s="14" t="n">
        <v>18</v>
      </c>
      <c r="J114" s="15" t="n">
        <v>1</v>
      </c>
      <c r="K114" s="13" t="inlineStr">
        <is>
          <t>no</t>
        </is>
      </c>
      <c r="L114" s="16" t="inlineStr">
        <is>
          <t>—</t>
        </is>
      </c>
      <c r="M114" s="11" t="inlineStr">
        <is>
          <t>—</t>
        </is>
      </c>
      <c r="N114" s="16" t="inlineStr">
        <is>
          <t>—</t>
        </is>
      </c>
      <c r="O114" s="16" t="inlineStr">
        <is>
          <t>—</t>
        </is>
      </c>
      <c r="P114" s="16" t="inlineStr">
        <is>
          <t>Coney Island-Stillwell Av (D,F,N,Q)</t>
        </is>
      </c>
      <c r="Q114" s="16" t="inlineStr">
        <is>
          <t>Horno de carbon desde 1924, cuarta generacion. Se combina con caminar el boardwalk de Coney Island.</t>
        </is>
      </c>
      <c r="R114" s="16" t="inlineStr">
        <is>
          <t>1524 Neptune Ave, Brooklyn</t>
        </is>
      </c>
      <c r="S114" s="16" t="inlineStr">
        <is>
          <t>—</t>
        </is>
      </c>
      <c r="T114" s="18" t="inlineStr">
        <is>
          <t>Abrir ↗</t>
        </is>
      </c>
      <c r="U114" s="21" t="inlineStr">
        <is>
          <t>otros</t>
        </is>
      </c>
      <c r="V114" s="20" t="inlineStr"/>
    </row>
    <row r="115" ht="46" customHeight="1">
      <c r="A115" s="9" t="inlineStr">
        <is>
          <t>Beast &amp; Butterflies Times Square</t>
        </is>
      </c>
      <c r="B115" s="10" t="inlineStr">
        <is>
          <t>Restaurante americano</t>
        </is>
      </c>
      <c r="C115" s="11" t="inlineStr">
        <is>
          <t>Comida</t>
        </is>
      </c>
      <c r="D115" s="11" t="inlineStr">
        <is>
          <t>Times Square</t>
        </is>
      </c>
      <c r="E115" s="11" t="inlineStr">
        <is>
          <t>Manhattan</t>
        </is>
      </c>
      <c r="F115" s="12" t="n">
        <v>1</v>
      </c>
      <c r="G115" s="12" t="n">
        <v>1</v>
      </c>
      <c r="H115" s="13">
        <f>IF(AND(F115=2,G115=2),"AMBOS",IF(AND(F115=2,G115&lt;2),"solo JP",IF(AND(F115&lt;2,G115=2),"solo Thais","-")))</f>
        <v/>
      </c>
      <c r="I115" s="14" t="n">
        <v>35</v>
      </c>
      <c r="J115" s="15" t="n">
        <v>1.25</v>
      </c>
      <c r="K115" s="13" t="inlineStr">
        <is>
          <t>no</t>
        </is>
      </c>
      <c r="L115" s="16" t="inlineStr">
        <is>
          <t>—</t>
        </is>
      </c>
      <c r="M115" s="11" t="inlineStr">
        <is>
          <t>—</t>
        </is>
      </c>
      <c r="N115" s="16" t="inlineStr">
        <is>
          <t>—</t>
        </is>
      </c>
      <c r="O115" s="16" t="inlineStr">
        <is>
          <t>—</t>
        </is>
      </c>
      <c r="P115" s="16" t="inlineStr">
        <is>
          <t>42 St-Port Authority (A,C,E)</t>
        </is>
      </c>
      <c r="Q115" s="16" t="inlineStr">
        <is>
          <t>Comedor del M Social: una alternativa sentada y tranquila en pleno Times Square.</t>
        </is>
      </c>
      <c r="R115" s="16" t="inlineStr"/>
      <c r="S115" s="16" t="inlineStr">
        <is>
          <t>—</t>
        </is>
      </c>
      <c r="T115" s="18" t="inlineStr">
        <is>
          <t>Abrir ↗</t>
        </is>
      </c>
      <c r="U115" s="19" t="inlineStr">
        <is>
          <t>lista google</t>
        </is>
      </c>
      <c r="V115" s="20" t="inlineStr"/>
    </row>
    <row r="116" ht="46" customHeight="1">
      <c r="A116" s="9" t="inlineStr">
        <is>
          <t>Central Park Boathouse</t>
        </is>
      </c>
      <c r="B116" s="10" t="inlineStr">
        <is>
          <t>Restaurante con vista</t>
        </is>
      </c>
      <c r="C116" s="11" t="inlineStr">
        <is>
          <t>Comida</t>
        </is>
      </c>
      <c r="D116" s="11" t="inlineStr">
        <is>
          <t>Central Park</t>
        </is>
      </c>
      <c r="E116" s="11" t="inlineStr">
        <is>
          <t>Manhattan</t>
        </is>
      </c>
      <c r="F116" s="12" t="n">
        <v>1</v>
      </c>
      <c r="G116" s="12" t="n">
        <v>1</v>
      </c>
      <c r="H116" s="13">
        <f>IF(AND(F116=2,G116=2),"AMBOS",IF(AND(F116=2,G116&lt;2),"solo JP",IF(AND(F116&lt;2,G116=2),"solo Thais","-")))</f>
        <v/>
      </c>
      <c r="I116" s="14" t="n">
        <v>45</v>
      </c>
      <c r="J116" s="15" t="n">
        <v>1.25</v>
      </c>
      <c r="K116" s="13" t="inlineStr">
        <is>
          <t>SÍ</t>
        </is>
      </c>
      <c r="L116" s="16" t="inlineStr">
        <is>
          <t>—</t>
        </is>
      </c>
      <c r="M116" s="11" t="inlineStr">
        <is>
          <t>—</t>
        </is>
      </c>
      <c r="N116" s="16" t="inlineStr">
        <is>
          <t>—</t>
        </is>
      </c>
      <c r="O116" s="16" t="inlineStr">
        <is>
          <t>—</t>
        </is>
      </c>
      <c r="P116" s="16" t="inlineStr">
        <is>
          <t>72 St (B,C)</t>
        </is>
      </c>
      <c r="Q116" s="16" t="inlineStr">
        <is>
          <t>Almuerzo sobre el lago, con los botes de remo pasando. Es LA postal del parque, y se come bien.</t>
        </is>
      </c>
      <c r="R116" s="16" t="inlineStr">
        <is>
          <t>E 72nd St &amp; Park Dr N</t>
        </is>
      </c>
      <c r="S116" s="16" t="inlineStr">
        <is>
          <t>—</t>
        </is>
      </c>
      <c r="T116" s="18" t="inlineStr">
        <is>
          <t>Abrir ↗</t>
        </is>
      </c>
      <c r="U116" s="19" t="inlineStr">
        <is>
          <t>lista google</t>
        </is>
      </c>
      <c r="V116" s="20" t="inlineStr"/>
    </row>
    <row r="117" ht="46" customHeight="1">
      <c r="A117" s="9" t="inlineStr">
        <is>
          <t>Manhatta</t>
        </is>
      </c>
      <c r="B117" s="10" t="inlineStr">
        <is>
          <t>Restaurante con vista</t>
        </is>
      </c>
      <c r="C117" s="11" t="inlineStr">
        <is>
          <t>Comida</t>
        </is>
      </c>
      <c r="D117" s="11" t="inlineStr">
        <is>
          <t>Financial District</t>
        </is>
      </c>
      <c r="E117" s="11" t="inlineStr">
        <is>
          <t>Manhattan</t>
        </is>
      </c>
      <c r="F117" s="12" t="n">
        <v>1</v>
      </c>
      <c r="G117" s="12" t="n">
        <v>1</v>
      </c>
      <c r="H117" s="13">
        <f>IF(AND(F117=2,G117=2),"AMBOS",IF(AND(F117=2,G117&lt;2),"solo JP",IF(AND(F117&lt;2,G117=2),"solo Thais","-")))</f>
        <v/>
      </c>
      <c r="I117" s="14" t="n">
        <v>90</v>
      </c>
      <c r="J117" s="15" t="n">
        <v>1.75</v>
      </c>
      <c r="K117" s="13" t="inlineStr">
        <is>
          <t>SÍ</t>
        </is>
      </c>
      <c r="L117" s="16" t="inlineStr">
        <is>
          <t>—</t>
        </is>
      </c>
      <c r="M117" s="11" t="inlineStr">
        <is>
          <t>—</t>
        </is>
      </c>
      <c r="N117" s="16" t="inlineStr">
        <is>
          <t>—</t>
        </is>
      </c>
      <c r="O117" s="16" t="inlineStr">
        <is>
          <t>—</t>
        </is>
      </c>
      <c r="P117" s="16" t="inlineStr">
        <is>
          <t>Wall St (2,3)</t>
        </is>
      </c>
      <c r="Q117" s="16" t="inlineStr">
        <is>
          <t>El restaurante de Danny Meyer en el piso 60: la vista de un observatorio pago, sentado y con vino.</t>
        </is>
      </c>
      <c r="R117" s="16" t="inlineStr">
        <is>
          <t>28 Liberty St, piso 60</t>
        </is>
      </c>
      <c r="S117" s="16" t="inlineStr">
        <is>
          <t>—</t>
        </is>
      </c>
      <c r="T117" s="18" t="inlineStr">
        <is>
          <t>Abrir ↗</t>
        </is>
      </c>
      <c r="U117" s="19" t="inlineStr">
        <is>
          <t>lista google</t>
        </is>
      </c>
      <c r="V117" s="20" t="inlineStr"/>
    </row>
    <row r="118" ht="46" customHeight="1">
      <c r="A118" s="9" t="inlineStr">
        <is>
          <t>Carmine's 44th Street</t>
        </is>
      </c>
      <c r="B118" s="10" t="inlineStr">
        <is>
          <t>Restaurante étnico</t>
        </is>
      </c>
      <c r="C118" s="11" t="inlineStr">
        <is>
          <t>Comida</t>
        </is>
      </c>
      <c r="D118" s="11" t="inlineStr">
        <is>
          <t>Theater District</t>
        </is>
      </c>
      <c r="E118" s="11" t="inlineStr">
        <is>
          <t>Manhattan</t>
        </is>
      </c>
      <c r="F118" s="12" t="n">
        <v>1</v>
      </c>
      <c r="G118" s="12" t="n">
        <v>1</v>
      </c>
      <c r="H118" s="13">
        <f>IF(AND(F118=2,G118=2),"AMBOS",IF(AND(F118=2,G118&lt;2),"solo JP",IF(AND(F118&lt;2,G118=2),"solo Thais","-")))</f>
        <v/>
      </c>
      <c r="I118" s="14" t="n">
        <v>45</v>
      </c>
      <c r="J118" s="15" t="n">
        <v>1.5</v>
      </c>
      <c r="K118" s="13" t="inlineStr">
        <is>
          <t>SÍ</t>
        </is>
      </c>
      <c r="L118" s="16" t="inlineStr">
        <is>
          <t>—</t>
        </is>
      </c>
      <c r="M118" s="11" t="inlineStr">
        <is>
          <t>—</t>
        </is>
      </c>
      <c r="N118" s="16" t="inlineStr">
        <is>
          <t>—</t>
        </is>
      </c>
      <c r="O118" s="16" t="inlineStr">
        <is>
          <t>—</t>
        </is>
      </c>
      <c r="P118" s="16" t="inlineStr">
        <is>
          <t>42 St-Times Sq</t>
        </is>
      </c>
      <c r="Q118" s="16" t="inlineStr">
        <is>
          <t>Italiano familiar de platos para compartir, pensado para antes del teatro. Reservar.</t>
        </is>
      </c>
      <c r="R118" s="16" t="inlineStr">
        <is>
          <t>200 W 44th St</t>
        </is>
      </c>
      <c r="S118" s="16" t="inlineStr">
        <is>
          <t>—</t>
        </is>
      </c>
      <c r="T118" s="18" t="inlineStr">
        <is>
          <t>Abrir ↗</t>
        </is>
      </c>
      <c r="U118" s="19" t="inlineStr">
        <is>
          <t>lista google</t>
        </is>
      </c>
      <c r="V118" s="20" t="inlineStr"/>
    </row>
    <row r="119" ht="46" customHeight="1">
      <c r="A119" s="9" t="inlineStr">
        <is>
          <t>Deluxe Green Bo</t>
        </is>
      </c>
      <c r="B119" s="10" t="inlineStr">
        <is>
          <t>Restaurante étnico</t>
        </is>
      </c>
      <c r="C119" s="11" t="inlineStr">
        <is>
          <t>Comida</t>
        </is>
      </c>
      <c r="D119" s="11" t="inlineStr">
        <is>
          <t>Chinatown</t>
        </is>
      </c>
      <c r="E119" s="11" t="inlineStr">
        <is>
          <t>Manhattan</t>
        </is>
      </c>
      <c r="F119" s="12" t="n">
        <v>1</v>
      </c>
      <c r="G119" s="12" t="n">
        <v>1</v>
      </c>
      <c r="H119" s="13">
        <f>IF(AND(F119=2,G119=2),"AMBOS",IF(AND(F119=2,G119&lt;2),"solo JP",IF(AND(F119&lt;2,G119=2),"solo Thais","-")))</f>
        <v/>
      </c>
      <c r="I119" s="14" t="n">
        <v>20</v>
      </c>
      <c r="J119" s="15" t="n">
        <v>1</v>
      </c>
      <c r="K119" s="13" t="inlineStr">
        <is>
          <t>no</t>
        </is>
      </c>
      <c r="L119" s="16" t="inlineStr">
        <is>
          <t>—</t>
        </is>
      </c>
      <c r="M119" s="11" t="inlineStr">
        <is>
          <t>—</t>
        </is>
      </c>
      <c r="N119" s="16" t="inlineStr">
        <is>
          <t>—</t>
        </is>
      </c>
      <c r="O119" s="16" t="inlineStr">
        <is>
          <t>—</t>
        </is>
      </c>
      <c r="P119" s="16" t="inlineStr">
        <is>
          <t>Canal St (6,N,Q,R,W,J,Z)</t>
        </is>
      </c>
      <c r="Q119" s="16" t="inlineStr">
        <is>
          <t>Shanghainés viejo de Chinatown: los soup dumplings y el pork chop rice cake.</t>
        </is>
      </c>
      <c r="R119" s="16" t="inlineStr">
        <is>
          <t>66 Bayard St</t>
        </is>
      </c>
      <c r="S119" s="16" t="inlineStr">
        <is>
          <t>—</t>
        </is>
      </c>
      <c r="T119" s="18" t="inlineStr">
        <is>
          <t>Abrir ↗</t>
        </is>
      </c>
      <c r="U119" s="19" t="inlineStr">
        <is>
          <t>lista google</t>
        </is>
      </c>
      <c r="V119" s="20" t="inlineStr"/>
    </row>
    <row r="120" ht="46" customHeight="1">
      <c r="A120" s="9" t="inlineStr">
        <is>
          <t>He Nan Mian Guan</t>
        </is>
      </c>
      <c r="B120" s="10" t="inlineStr">
        <is>
          <t>Restaurante étnico</t>
        </is>
      </c>
      <c r="C120" s="11" t="inlineStr">
        <is>
          <t>Comida</t>
        </is>
      </c>
      <c r="D120" s="11" t="inlineStr">
        <is>
          <t>Flushing</t>
        </is>
      </c>
      <c r="E120" s="11" t="inlineStr">
        <is>
          <t>Queens</t>
        </is>
      </c>
      <c r="F120" s="12" t="n">
        <v>0</v>
      </c>
      <c r="G120" s="12" t="n">
        <v>0</v>
      </c>
      <c r="H120" s="13">
        <f>IF(AND(F120=2,G120=2),"AMBOS",IF(AND(F120=2,G120&lt;2),"solo JP",IF(AND(F120&lt;2,G120=2),"solo Thais","-")))</f>
        <v/>
      </c>
      <c r="I120" s="14" t="n">
        <v>12</v>
      </c>
      <c r="J120" s="15" t="n">
        <v>1</v>
      </c>
      <c r="K120" s="13" t="inlineStr">
        <is>
          <t>no</t>
        </is>
      </c>
      <c r="L120" s="16" t="inlineStr">
        <is>
          <t>—</t>
        </is>
      </c>
      <c r="M120" s="11" t="inlineStr">
        <is>
          <t>—</t>
        </is>
      </c>
      <c r="N120" s="16" t="inlineStr">
        <is>
          <t>—</t>
        </is>
      </c>
      <c r="O120" s="16" t="inlineStr">
        <is>
          <t>—</t>
        </is>
      </c>
      <c r="P120" s="16" t="inlineStr">
        <is>
          <t>Main St (7)</t>
        </is>
      </c>
      <c r="Q120" s="16" t="inlineStr">
        <is>
          <t>Fideos estirados a mano y rou jia mo (el 'hamburguesa' china de cerdo desmenuzado). Abre a las 6:30 de la manana.</t>
        </is>
      </c>
      <c r="R120" s="16" t="inlineStr">
        <is>
          <t>136-31 41st Ave, Flushing</t>
        </is>
      </c>
      <c r="S120" s="16" t="inlineStr">
        <is>
          <t>—</t>
        </is>
      </c>
      <c r="T120" s="18" t="inlineStr">
        <is>
          <t>Abrir ↗</t>
        </is>
      </c>
      <c r="U120" s="21" t="inlineStr">
        <is>
          <t>otros</t>
        </is>
      </c>
      <c r="V120" s="20" t="inlineStr"/>
    </row>
    <row r="121" ht="46" customHeight="1">
      <c r="A121" s="9" t="inlineStr">
        <is>
          <t>Hue House</t>
        </is>
      </c>
      <c r="B121" s="10" t="inlineStr">
        <is>
          <t>Restaurante étnico</t>
        </is>
      </c>
      <c r="C121" s="11" t="inlineStr">
        <is>
          <t>Comida</t>
        </is>
      </c>
      <c r="D121" s="11" t="inlineStr">
        <is>
          <t>Manhattan</t>
        </is>
      </c>
      <c r="E121" s="11" t="inlineStr">
        <is>
          <t>Manhattan</t>
        </is>
      </c>
      <c r="F121" s="12" t="n">
        <v>1</v>
      </c>
      <c r="G121" s="12" t="n">
        <v>1</v>
      </c>
      <c r="H121" s="13">
        <f>IF(AND(F121=2,G121=2),"AMBOS",IF(AND(F121=2,G121&lt;2),"solo JP",IF(AND(F121&lt;2,G121=2),"solo Thais","-")))</f>
        <v/>
      </c>
      <c r="I121" s="14" t="n">
        <v>45</v>
      </c>
      <c r="J121" s="15" t="n">
        <v>1.25</v>
      </c>
      <c r="K121" s="13" t="inlineStr">
        <is>
          <t>no</t>
        </is>
      </c>
      <c r="L121" s="16" t="inlineStr">
        <is>
          <t>—</t>
        </is>
      </c>
      <c r="M121" s="11" t="inlineStr">
        <is>
          <t>—</t>
        </is>
      </c>
      <c r="N121" s="16" t="inlineStr">
        <is>
          <t>—</t>
        </is>
      </c>
      <c r="O121" s="16" t="inlineStr">
        <is>
          <t>—</t>
        </is>
      </c>
      <c r="P121" s="16" t="inlineStr">
        <is>
          <t>-</t>
        </is>
      </c>
      <c r="Q121" s="16" t="inlineStr">
        <is>
          <t>Taiwanés moderno, cocina de isla sin concesiones al paladar turístico.</t>
        </is>
      </c>
      <c r="R121" s="16" t="inlineStr"/>
      <c r="S121" s="16" t="inlineStr">
        <is>
          <t>—</t>
        </is>
      </c>
      <c r="T121" s="18" t="inlineStr">
        <is>
          <t>Abrir ↗</t>
        </is>
      </c>
      <c r="U121" s="19" t="inlineStr">
        <is>
          <t>lista google</t>
        </is>
      </c>
      <c r="V121" s="20" t="inlineStr"/>
    </row>
    <row r="122" ht="46" customHeight="1">
      <c r="A122" s="9" t="inlineStr">
        <is>
          <t>Jalapeno King</t>
        </is>
      </c>
      <c r="B122" s="10" t="inlineStr">
        <is>
          <t>Restaurante étnico</t>
        </is>
      </c>
      <c r="C122" s="11" t="inlineStr">
        <is>
          <t>Comida</t>
        </is>
      </c>
      <c r="D122" s="11" t="inlineStr">
        <is>
          <t>Sunset Park</t>
        </is>
      </c>
      <c r="E122" s="11" t="inlineStr">
        <is>
          <t>Brooklyn</t>
        </is>
      </c>
      <c r="F122" s="12" t="n">
        <v>0</v>
      </c>
      <c r="G122" s="12" t="n">
        <v>0</v>
      </c>
      <c r="H122" s="13">
        <f>IF(AND(F122=2,G122=2),"AMBOS",IF(AND(F122=2,G122&lt;2),"solo JP",IF(AND(F122&lt;2,G122=2),"solo Thais","-")))</f>
        <v/>
      </c>
      <c r="I122" s="14" t="n">
        <v>14</v>
      </c>
      <c r="J122" s="15" t="n">
        <v>1</v>
      </c>
      <c r="K122" s="13" t="inlineStr">
        <is>
          <t>no</t>
        </is>
      </c>
      <c r="L122" s="16" t="inlineStr">
        <is>
          <t>—</t>
        </is>
      </c>
      <c r="M122" s="11" t="inlineStr">
        <is>
          <t>—</t>
        </is>
      </c>
      <c r="N122" s="16" t="inlineStr">
        <is>
          <t>—</t>
        </is>
      </c>
      <c r="O122" s="16" t="inlineStr">
        <is>
          <t>—</t>
        </is>
      </c>
      <c r="P122" s="16" t="inlineStr">
        <is>
          <t>45 St (R)</t>
        </is>
      </c>
      <c r="Q122" s="16" t="inlineStr">
        <is>
          <t>Tortillas hechas en casa. La torta de bistec y las picaditas de carne. Mexicano poblano de barrio, sin traduccion al ingles.</t>
        </is>
      </c>
      <c r="R122" s="16" t="inlineStr">
        <is>
          <t>5th Ave entre 22nd y 23rd St, Brooklyn</t>
        </is>
      </c>
      <c r="S122" s="16" t="inlineStr">
        <is>
          <t>—</t>
        </is>
      </c>
      <c r="T122" s="18" t="inlineStr">
        <is>
          <t>Abrir ↗</t>
        </is>
      </c>
      <c r="U122" s="21" t="inlineStr">
        <is>
          <t>otros</t>
        </is>
      </c>
      <c r="V122" s="20" t="inlineStr"/>
    </row>
    <row r="123" ht="46" customHeight="1">
      <c r="A123" s="9" t="inlineStr">
        <is>
          <t>Karczma</t>
        </is>
      </c>
      <c r="B123" s="10" t="inlineStr">
        <is>
          <t>Restaurante étnico</t>
        </is>
      </c>
      <c r="C123" s="11" t="inlineStr">
        <is>
          <t>Comida</t>
        </is>
      </c>
      <c r="D123" s="11" t="inlineStr">
        <is>
          <t>Greenpoint</t>
        </is>
      </c>
      <c r="E123" s="11" t="inlineStr">
        <is>
          <t>Brooklyn</t>
        </is>
      </c>
      <c r="F123" s="12" t="n">
        <v>0</v>
      </c>
      <c r="G123" s="12" t="n">
        <v>0</v>
      </c>
      <c r="H123" s="13">
        <f>IF(AND(F123=2,G123=2),"AMBOS",IF(AND(F123=2,G123&lt;2),"solo JP",IF(AND(F123&lt;2,G123=2),"solo Thais","-")))</f>
        <v/>
      </c>
      <c r="I123" s="14" t="n">
        <v>25</v>
      </c>
      <c r="J123" s="15" t="n">
        <v>1.5</v>
      </c>
      <c r="K123" s="13" t="inlineStr">
        <is>
          <t>no</t>
        </is>
      </c>
      <c r="L123" s="16" t="inlineStr">
        <is>
          <t>—</t>
        </is>
      </c>
      <c r="M123" s="11" t="inlineStr">
        <is>
          <t>—</t>
        </is>
      </c>
      <c r="N123" s="16" t="inlineStr">
        <is>
          <t>—</t>
        </is>
      </c>
      <c r="O123" s="16" t="inlineStr">
        <is>
          <t>—</t>
        </is>
      </c>
      <c r="P123" s="16" t="inlineStr">
        <is>
          <t>Greenpoint Av (G)</t>
        </is>
      </c>
      <c r="Q123" s="16" t="inlineStr">
        <is>
          <t>Bigos, golabki, panqueques de papa, y un plato de manteca de cerdo con pan de centeno y pepinos que es puro siglo XIX. Meseras de traje regional, y no es para turistas.</t>
        </is>
      </c>
      <c r="R123" s="16" t="inlineStr">
        <is>
          <t>136 Greenpoint Ave, Brooklyn</t>
        </is>
      </c>
      <c r="S123" s="16" t="inlineStr">
        <is>
          <t>—</t>
        </is>
      </c>
      <c r="T123" s="18" t="inlineStr">
        <is>
          <t>Abrir ↗</t>
        </is>
      </c>
      <c r="U123" s="21" t="inlineStr">
        <is>
          <t>otros</t>
        </is>
      </c>
      <c r="V123" s="20" t="inlineStr"/>
    </row>
    <row r="124" ht="46" customHeight="1">
      <c r="A124" s="9" t="inlineStr">
        <is>
          <t>Lhasa Fast Food</t>
        </is>
      </c>
      <c r="B124" s="10" t="inlineStr">
        <is>
          <t>Restaurante étnico</t>
        </is>
      </c>
      <c r="C124" s="11" t="inlineStr">
        <is>
          <t>Comida</t>
        </is>
      </c>
      <c r="D124" s="11" t="inlineStr">
        <is>
          <t>Jackson Heights</t>
        </is>
      </c>
      <c r="E124" s="11" t="inlineStr">
        <is>
          <t>Queens</t>
        </is>
      </c>
      <c r="F124" s="12" t="n">
        <v>0</v>
      </c>
      <c r="G124" s="12" t="n">
        <v>0</v>
      </c>
      <c r="H124" s="13">
        <f>IF(AND(F124=2,G124=2),"AMBOS",IF(AND(F124=2,G124&lt;2),"solo JP",IF(AND(F124&lt;2,G124=2),"solo Thais","-")))</f>
        <v/>
      </c>
      <c r="I124" s="14" t="n">
        <v>14</v>
      </c>
      <c r="J124" s="15" t="n">
        <v>1</v>
      </c>
      <c r="K124" s="13" t="inlineStr">
        <is>
          <t>no</t>
        </is>
      </c>
      <c r="L124" s="16" t="inlineStr">
        <is>
          <t>—</t>
        </is>
      </c>
      <c r="M124" s="11" t="inlineStr">
        <is>
          <t>—</t>
        </is>
      </c>
      <c r="N124" s="16" t="inlineStr">
        <is>
          <t>—</t>
        </is>
      </c>
      <c r="O124" s="16" t="inlineStr">
        <is>
          <t>—</t>
        </is>
      </c>
      <c r="P124" s="16" t="inlineStr">
        <is>
          <t>74 St-Roosevelt Av (7,E,F,M,R)</t>
        </is>
      </c>
      <c r="Q124" s="16" t="inlineStr">
        <is>
          <t>Escondido al fondo de un pasillo detras de un local de celulares. Momos tibetanos y thukpa. VERIFICAR: puede figurar como 'Lhasa Tibetan Restaurant' en la misma direccion.</t>
        </is>
      </c>
      <c r="R124" s="16" t="inlineStr">
        <is>
          <t>37-50 74th St, Jackson Heights</t>
        </is>
      </c>
      <c r="S124" s="16" t="inlineStr">
        <is>
          <t>—</t>
        </is>
      </c>
      <c r="T124" s="18" t="inlineStr">
        <is>
          <t>Abrir ↗</t>
        </is>
      </c>
      <c r="U124" s="21" t="inlineStr">
        <is>
          <t>otros</t>
        </is>
      </c>
      <c r="V124" s="20" t="inlineStr"/>
    </row>
    <row r="125" ht="46" customHeight="1">
      <c r="A125" s="9" t="inlineStr">
        <is>
          <t>Malecon</t>
        </is>
      </c>
      <c r="B125" s="10" t="inlineStr">
        <is>
          <t>Restaurante étnico</t>
        </is>
      </c>
      <c r="C125" s="11" t="inlineStr">
        <is>
          <t>Comida</t>
        </is>
      </c>
      <c r="D125" s="11" t="inlineStr">
        <is>
          <t>Washington Heights</t>
        </is>
      </c>
      <c r="E125" s="11" t="inlineStr">
        <is>
          <t>Manhattan</t>
        </is>
      </c>
      <c r="F125" s="12" t="n">
        <v>0</v>
      </c>
      <c r="G125" s="12" t="n">
        <v>0</v>
      </c>
      <c r="H125" s="13">
        <f>IF(AND(F125=2,G125=2),"AMBOS",IF(AND(F125=2,G125&lt;2),"solo JP",IF(AND(F125&lt;2,G125=2),"solo Thais","-")))</f>
        <v/>
      </c>
      <c r="I125" s="14" t="n">
        <v>25</v>
      </c>
      <c r="J125" s="15" t="n">
        <v>1.25</v>
      </c>
      <c r="K125" s="13" t="inlineStr">
        <is>
          <t>no</t>
        </is>
      </c>
      <c r="L125" s="16" t="inlineStr">
        <is>
          <t>—</t>
        </is>
      </c>
      <c r="M125" s="11" t="inlineStr">
        <is>
          <t>—</t>
        </is>
      </c>
      <c r="N125" s="16" t="inlineStr">
        <is>
          <t>—</t>
        </is>
      </c>
      <c r="O125" s="16" t="inlineStr">
        <is>
          <t>—</t>
        </is>
      </c>
      <c r="P125" s="16" t="inlineStr">
        <is>
          <t>175 St (A), 181 St (1)</t>
        </is>
      </c>
      <c r="Q125" s="16" t="inlineStr">
        <is>
          <t>Mofongo con chicharron y longaniza, y parrillada de mariscos. Dominicano de verdad, con musica latina los fines de semana.</t>
        </is>
      </c>
      <c r="R125" s="16" t="inlineStr">
        <is>
          <t>4141 Broadway</t>
        </is>
      </c>
      <c r="S125" s="16" t="inlineStr">
        <is>
          <t>—</t>
        </is>
      </c>
      <c r="T125" s="18" t="inlineStr">
        <is>
          <t>Abrir ↗</t>
        </is>
      </c>
      <c r="U125" s="21" t="inlineStr">
        <is>
          <t>otros</t>
        </is>
      </c>
      <c r="V125" s="20" t="inlineStr"/>
    </row>
    <row r="126" ht="46" customHeight="1">
      <c r="A126" s="9" t="inlineStr">
        <is>
          <t>Nepali Bhanchha Ghar</t>
        </is>
      </c>
      <c r="B126" s="10" t="inlineStr">
        <is>
          <t>Restaurante étnico</t>
        </is>
      </c>
      <c r="C126" s="11" t="inlineStr">
        <is>
          <t>Comida</t>
        </is>
      </c>
      <c r="D126" s="11" t="inlineStr">
        <is>
          <t>Jackson Heights</t>
        </is>
      </c>
      <c r="E126" s="11" t="inlineStr">
        <is>
          <t>Queens</t>
        </is>
      </c>
      <c r="F126" s="12" t="n">
        <v>0</v>
      </c>
      <c r="G126" s="12" t="n">
        <v>0</v>
      </c>
      <c r="H126" s="13">
        <f>IF(AND(F126=2,G126=2),"AMBOS",IF(AND(F126=2,G126&lt;2),"solo JP",IF(AND(F126&lt;2,G126=2),"solo Thais","-")))</f>
        <v/>
      </c>
      <c r="I126" s="14" t="n">
        <v>18</v>
      </c>
      <c r="J126" s="15" t="n">
        <v>1.25</v>
      </c>
      <c r="K126" s="13" t="inlineStr">
        <is>
          <t>no</t>
        </is>
      </c>
      <c r="L126" s="16" t="inlineStr">
        <is>
          <t>—</t>
        </is>
      </c>
      <c r="M126" s="11" t="inlineStr">
        <is>
          <t>—</t>
        </is>
      </c>
      <c r="N126" s="16" t="inlineStr">
        <is>
          <t>—</t>
        </is>
      </c>
      <c r="O126" s="16" t="inlineStr">
        <is>
          <t>—</t>
        </is>
      </c>
      <c r="P126" s="16" t="inlineStr">
        <is>
          <t>74 St-Roosevelt Av (7,E,F,M,R)</t>
        </is>
      </c>
      <c r="Q126" s="16" t="inlineStr">
        <is>
          <t>Jhol momo: dumplings de carne flotando en salsa de sesamo y tomate. Y sel roti. El mejor nepali de la ciudad segun la prensa gastronomica local.</t>
        </is>
      </c>
      <c r="R126" s="16" t="inlineStr">
        <is>
          <t>74-06 37th Rd, Jackson Heights</t>
        </is>
      </c>
      <c r="S126" s="16" t="inlineStr">
        <is>
          <t>—</t>
        </is>
      </c>
      <c r="T126" s="18" t="inlineStr">
        <is>
          <t>Abrir ↗</t>
        </is>
      </c>
      <c r="U126" s="21" t="inlineStr">
        <is>
          <t>otros</t>
        </is>
      </c>
      <c r="V126" s="20" t="inlineStr"/>
    </row>
    <row r="127" ht="46" customHeight="1">
      <c r="A127" s="9" t="inlineStr">
        <is>
          <t>New Nurlan Uyghur</t>
        </is>
      </c>
      <c r="B127" s="10" t="inlineStr">
        <is>
          <t>Restaurante étnico</t>
        </is>
      </c>
      <c r="C127" s="11" t="inlineStr">
        <is>
          <t>Comida</t>
        </is>
      </c>
      <c r="D127" s="11" t="inlineStr">
        <is>
          <t>Flushing</t>
        </is>
      </c>
      <c r="E127" s="11" t="inlineStr">
        <is>
          <t>Queens</t>
        </is>
      </c>
      <c r="F127" s="12" t="n">
        <v>0</v>
      </c>
      <c r="G127" s="12" t="n">
        <v>0</v>
      </c>
      <c r="H127" s="13">
        <f>IF(AND(F127=2,G127=2),"AMBOS",IF(AND(F127=2,G127&lt;2),"solo JP",IF(AND(F127&lt;2,G127=2),"solo Thais","-")))</f>
        <v/>
      </c>
      <c r="I127" s="14" t="n">
        <v>22</v>
      </c>
      <c r="J127" s="15" t="n">
        <v>1.25</v>
      </c>
      <c r="K127" s="13" t="inlineStr">
        <is>
          <t>no</t>
        </is>
      </c>
      <c r="L127" s="16" t="inlineStr">
        <is>
          <t>—</t>
        </is>
      </c>
      <c r="M127" s="11" t="inlineStr">
        <is>
          <t>—</t>
        </is>
      </c>
      <c r="N127" s="16" t="inlineStr">
        <is>
          <t>—</t>
        </is>
      </c>
      <c r="O127" s="16" t="inlineStr">
        <is>
          <t>—</t>
        </is>
      </c>
      <c r="P127" s="16" t="inlineStr">
        <is>
          <t>Main St (7)</t>
        </is>
      </c>
      <c r="Q127" s="16" t="inlineStr">
        <is>
          <t>Cocina uigur, no china han: brochetas de cordero especiadas y dumplings de calabaza de masa finisima. Esta en el subsuelo de un hotel y no lo encuentra nadie.</t>
        </is>
      </c>
      <c r="R127" s="16" t="inlineStr">
        <is>
          <t>135-51 39th Ave, Flushing (subsuelo)</t>
        </is>
      </c>
      <c r="S127" s="16" t="inlineStr">
        <is>
          <t>—</t>
        </is>
      </c>
      <c r="T127" s="18" t="inlineStr">
        <is>
          <t>Abrir ↗</t>
        </is>
      </c>
      <c r="U127" s="21" t="inlineStr">
        <is>
          <t>otros</t>
        </is>
      </c>
      <c r="V127" s="20" t="inlineStr"/>
    </row>
    <row r="128" ht="46" customHeight="1">
      <c r="A128" s="9" t="inlineStr">
        <is>
          <t>Pierozek</t>
        </is>
      </c>
      <c r="B128" s="10" t="inlineStr">
        <is>
          <t>Restaurante étnico</t>
        </is>
      </c>
      <c r="C128" s="11" t="inlineStr">
        <is>
          <t>Comida</t>
        </is>
      </c>
      <c r="D128" s="11" t="inlineStr">
        <is>
          <t>Greenpoint</t>
        </is>
      </c>
      <c r="E128" s="11" t="inlineStr">
        <is>
          <t>Brooklyn</t>
        </is>
      </c>
      <c r="F128" s="12" t="n">
        <v>0</v>
      </c>
      <c r="G128" s="12" t="n">
        <v>0</v>
      </c>
      <c r="H128" s="13">
        <f>IF(AND(F128=2,G128=2),"AMBOS",IF(AND(F128=2,G128&lt;2),"solo JP",IF(AND(F128&lt;2,G128=2),"solo Thais","-")))</f>
        <v/>
      </c>
      <c r="I128" s="14" t="n">
        <v>18</v>
      </c>
      <c r="J128" s="15" t="n">
        <v>1</v>
      </c>
      <c r="K128" s="13" t="inlineStr">
        <is>
          <t>no</t>
        </is>
      </c>
      <c r="L128" s="16" t="inlineStr">
        <is>
          <t>—</t>
        </is>
      </c>
      <c r="M128" s="11" t="inlineStr">
        <is>
          <t>—</t>
        </is>
      </c>
      <c r="N128" s="16" t="inlineStr">
        <is>
          <t>—</t>
        </is>
      </c>
      <c r="O128" s="16" t="inlineStr">
        <is>
          <t>—</t>
        </is>
      </c>
      <c r="P128" s="16" t="inlineStr">
        <is>
          <t>Nassau Av (G)</t>
        </is>
      </c>
      <c r="Q128" s="16" t="inlineStr">
        <is>
          <t>Bib Gourmand Michelin: el unico restaurante polaco de Estados Unidos reconocido por la guia. Pierogi ruskie y tatarskie.</t>
        </is>
      </c>
      <c r="R128" s="16" t="inlineStr">
        <is>
          <t>833 Manhattan Ave, Brooklyn</t>
        </is>
      </c>
      <c r="S128" s="16" t="inlineStr">
        <is>
          <t>—</t>
        </is>
      </c>
      <c r="T128" s="18" t="inlineStr">
        <is>
          <t>Abrir ↗</t>
        </is>
      </c>
      <c r="U128" s="21" t="inlineStr">
        <is>
          <t>otros</t>
        </is>
      </c>
      <c r="V128" s="20" t="inlineStr"/>
    </row>
    <row r="129" ht="46" customHeight="1">
      <c r="A129" s="9" t="inlineStr">
        <is>
          <t>Pies 'n' Thighs</t>
        </is>
      </c>
      <c r="B129" s="10" t="inlineStr">
        <is>
          <t>Restaurante étnico</t>
        </is>
      </c>
      <c r="C129" s="11" t="inlineStr">
        <is>
          <t>Comida</t>
        </is>
      </c>
      <c r="D129" s="11" t="inlineStr">
        <is>
          <t>Williamsburg</t>
        </is>
      </c>
      <c r="E129" s="11" t="inlineStr">
        <is>
          <t>Brooklyn</t>
        </is>
      </c>
      <c r="F129" s="12" t="n">
        <v>1</v>
      </c>
      <c r="G129" s="12" t="n">
        <v>1</v>
      </c>
      <c r="H129" s="13">
        <f>IF(AND(F129=2,G129=2),"AMBOS",IF(AND(F129=2,G129&lt;2),"solo JP",IF(AND(F129&lt;2,G129=2),"solo Thais","-")))</f>
        <v/>
      </c>
      <c r="I129" s="14" t="n">
        <v>25</v>
      </c>
      <c r="J129" s="15" t="n">
        <v>1</v>
      </c>
      <c r="K129" s="13" t="inlineStr">
        <is>
          <t>no</t>
        </is>
      </c>
      <c r="L129" s="16" t="inlineStr">
        <is>
          <t>—</t>
        </is>
      </c>
      <c r="M129" s="11" t="inlineStr">
        <is>
          <t>—</t>
        </is>
      </c>
      <c r="N129" s="16" t="inlineStr">
        <is>
          <t>—</t>
        </is>
      </c>
      <c r="O129" s="16" t="inlineStr">
        <is>
          <t>—</t>
        </is>
      </c>
      <c r="P129" s="16" t="inlineStr">
        <is>
          <t>Marcy Av (J,M,Z)</t>
        </is>
      </c>
      <c r="Q129" s="16" t="inlineStr">
        <is>
          <t>Pollo frito sureño y pies, al pie del puente de Williamsburg. Cerca de Peter Luger.</t>
        </is>
      </c>
      <c r="R129" s="16" t="inlineStr">
        <is>
          <t>166 S 4th St</t>
        </is>
      </c>
      <c r="S129" s="16" t="inlineStr">
        <is>
          <t>—</t>
        </is>
      </c>
      <c r="T129" s="18" t="inlineStr">
        <is>
          <t>Abrir ↗</t>
        </is>
      </c>
      <c r="U129" s="19" t="inlineStr">
        <is>
          <t>lista google</t>
        </is>
      </c>
      <c r="V129" s="20" t="inlineStr"/>
    </row>
    <row r="130" ht="46" customHeight="1">
      <c r="A130" s="9" t="inlineStr">
        <is>
          <t>Sakagura</t>
        </is>
      </c>
      <c r="B130" s="10" t="inlineStr">
        <is>
          <t>Restaurante étnico</t>
        </is>
      </c>
      <c r="C130" s="11" t="inlineStr">
        <is>
          <t>Comida</t>
        </is>
      </c>
      <c r="D130" s="11" t="inlineStr">
        <is>
          <t>Midtown East</t>
        </is>
      </c>
      <c r="E130" s="11" t="inlineStr">
        <is>
          <t>Manhattan</t>
        </is>
      </c>
      <c r="F130" s="12" t="n">
        <v>1</v>
      </c>
      <c r="G130" s="12" t="n">
        <v>1</v>
      </c>
      <c r="H130" s="13">
        <f>IF(AND(F130=2,G130=2),"AMBOS",IF(AND(F130=2,G130&lt;2),"solo JP",IF(AND(F130&lt;2,G130=2),"solo Thais","-")))</f>
        <v/>
      </c>
      <c r="I130" s="14" t="n">
        <v>60</v>
      </c>
      <c r="J130" s="15" t="n">
        <v>1.5</v>
      </c>
      <c r="K130" s="13" t="inlineStr">
        <is>
          <t>no</t>
        </is>
      </c>
      <c r="L130" s="16" t="inlineStr">
        <is>
          <t>—</t>
        </is>
      </c>
      <c r="M130" s="11" t="inlineStr">
        <is>
          <t>—</t>
        </is>
      </c>
      <c r="N130" s="16" t="inlineStr">
        <is>
          <t>—</t>
        </is>
      </c>
      <c r="O130" s="16" t="inlineStr">
        <is>
          <t>—</t>
        </is>
      </c>
      <c r="P130" s="16" t="inlineStr">
        <is>
          <t>Grand Central-42 St (4,5,6,7,S)</t>
        </is>
      </c>
      <c r="Q130" s="16" t="inlineStr">
        <is>
          <t>Izakaya escondido en el SÓTANO de un edificio de oficinas: se entra por el lobby y se baja. 200 sakes.</t>
        </is>
      </c>
      <c r="R130" s="16" t="inlineStr">
        <is>
          <t>211 E 43rd St (sótano)</t>
        </is>
      </c>
      <c r="S130" s="16" t="inlineStr">
        <is>
          <t>—</t>
        </is>
      </c>
      <c r="T130" s="18" t="inlineStr">
        <is>
          <t>Abrir ↗</t>
        </is>
      </c>
      <c r="U130" s="19" t="inlineStr">
        <is>
          <t>lista google</t>
        </is>
      </c>
      <c r="V130" s="20" t="inlineStr"/>
    </row>
    <row r="131" ht="46" customHeight="1">
      <c r="A131" s="9" t="inlineStr">
        <is>
          <t>Tacos El Bronco</t>
        </is>
      </c>
      <c r="B131" s="10" t="inlineStr">
        <is>
          <t>Restaurante étnico</t>
        </is>
      </c>
      <c r="C131" s="11" t="inlineStr">
        <is>
          <t>Comida</t>
        </is>
      </c>
      <c r="D131" s="11" t="inlineStr">
        <is>
          <t>Sunset Park</t>
        </is>
      </c>
      <c r="E131" s="11" t="inlineStr">
        <is>
          <t>Brooklyn</t>
        </is>
      </c>
      <c r="F131" s="12" t="n">
        <v>0</v>
      </c>
      <c r="G131" s="12" t="n">
        <v>0</v>
      </c>
      <c r="H131" s="13">
        <f>IF(AND(F131=2,G131=2),"AMBOS",IF(AND(F131=2,G131&lt;2),"solo JP",IF(AND(F131&lt;2,G131=2),"solo Thais","-")))</f>
        <v/>
      </c>
      <c r="I131" s="14" t="n">
        <v>12</v>
      </c>
      <c r="J131" s="15" t="n">
        <v>0.75</v>
      </c>
      <c r="K131" s="13" t="inlineStr">
        <is>
          <t>no</t>
        </is>
      </c>
      <c r="L131" s="16" t="inlineStr">
        <is>
          <t>—</t>
        </is>
      </c>
      <c r="M131" s="11" t="inlineStr">
        <is>
          <t>—</t>
        </is>
      </c>
      <c r="N131" s="16" t="inlineStr">
        <is>
          <t>—</t>
        </is>
      </c>
      <c r="O131" s="16" t="inlineStr">
        <is>
          <t>—</t>
        </is>
      </c>
      <c r="P131" s="16" t="inlineStr">
        <is>
          <t>45 St (R)</t>
        </is>
      </c>
      <c r="Q131" s="16" t="inlineStr">
        <is>
          <t>Paso de food truck a local. Lengua, al pastor, cabeza, cueritos. Es el taco de barrio, no el de menu bilingue.</t>
        </is>
      </c>
      <c r="R131" s="16" t="inlineStr">
        <is>
          <t>4324 4th Ave, Brooklyn</t>
        </is>
      </c>
      <c r="S131" s="16" t="inlineStr">
        <is>
          <t>—</t>
        </is>
      </c>
      <c r="T131" s="18" t="inlineStr">
        <is>
          <t>Abrir ↗</t>
        </is>
      </c>
      <c r="U131" s="21" t="inlineStr">
        <is>
          <t>otros</t>
        </is>
      </c>
      <c r="V131" s="20" t="inlineStr"/>
    </row>
    <row r="132" ht="46" customHeight="1">
      <c r="A132" s="9" t="inlineStr">
        <is>
          <t>Tanoreen</t>
        </is>
      </c>
      <c r="B132" s="10" t="inlineStr">
        <is>
          <t>Restaurante étnico</t>
        </is>
      </c>
      <c r="C132" s="11" t="inlineStr">
        <is>
          <t>Comida</t>
        </is>
      </c>
      <c r="D132" s="11" t="inlineStr">
        <is>
          <t>Bay Ridge</t>
        </is>
      </c>
      <c r="E132" s="11" t="inlineStr">
        <is>
          <t>Brooklyn</t>
        </is>
      </c>
      <c r="F132" s="12" t="n">
        <v>2</v>
      </c>
      <c r="G132" s="12" t="n">
        <v>2</v>
      </c>
      <c r="H132" s="13">
        <f>IF(AND(F132=2,G132=2),"AMBOS",IF(AND(F132=2,G132&lt;2),"solo JP",IF(AND(F132&lt;2,G132=2),"solo Thais","-")))</f>
        <v/>
      </c>
      <c r="I132" s="14" t="n">
        <v>35</v>
      </c>
      <c r="J132" s="15" t="n">
        <v>1.5</v>
      </c>
      <c r="K132" s="13" t="inlineStr">
        <is>
          <t>no</t>
        </is>
      </c>
      <c r="L132" s="16" t="inlineStr">
        <is>
          <t>—</t>
        </is>
      </c>
      <c r="M132" s="11" t="inlineStr">
        <is>
          <t>—</t>
        </is>
      </c>
      <c r="N132" s="16" t="inlineStr">
        <is>
          <t>—</t>
        </is>
      </c>
      <c r="O132" s="16" t="inlineStr">
        <is>
          <t>—</t>
        </is>
      </c>
      <c r="P132" s="16" t="inlineStr">
        <is>
          <t>86 St (R)</t>
        </is>
      </c>
      <c r="Q132" s="16" t="inlineStr">
        <is>
          <t>Palestino, en el Michelin Guide. Coliflor frita con tahini y halloumi frito. La chef Rawia Bishara es una institucion.</t>
        </is>
      </c>
      <c r="R132" s="16" t="inlineStr">
        <is>
          <t>7523 3rd Ave, Brooklyn</t>
        </is>
      </c>
      <c r="S132" s="16" t="inlineStr">
        <is>
          <t>—</t>
        </is>
      </c>
      <c r="T132" s="18" t="inlineStr">
        <is>
          <t>Abrir ↗</t>
        </is>
      </c>
      <c r="U132" s="19" t="inlineStr">
        <is>
          <t>lista google</t>
        </is>
      </c>
      <c r="V132" s="20" t="inlineStr"/>
    </row>
    <row r="133" ht="46" customHeight="1">
      <c r="A133" s="9" t="inlineStr">
        <is>
          <t>Taverna Kyclades</t>
        </is>
      </c>
      <c r="B133" s="10" t="inlineStr">
        <is>
          <t>Restaurante étnico</t>
        </is>
      </c>
      <c r="C133" s="11" t="inlineStr">
        <is>
          <t>Comida</t>
        </is>
      </c>
      <c r="D133" s="11" t="inlineStr">
        <is>
          <t>Astoria</t>
        </is>
      </c>
      <c r="E133" s="11" t="inlineStr">
        <is>
          <t>Queens</t>
        </is>
      </c>
      <c r="F133" s="12" t="n">
        <v>0</v>
      </c>
      <c r="G133" s="12" t="n">
        <v>0</v>
      </c>
      <c r="H133" s="13">
        <f>IF(AND(F133=2,G133=2),"AMBOS",IF(AND(F133=2,G133&lt;2),"solo JP",IF(AND(F133&lt;2,G133=2),"solo Thais","-")))</f>
        <v/>
      </c>
      <c r="I133" s="14" t="n">
        <v>40</v>
      </c>
      <c r="J133" s="15" t="n">
        <v>1.5</v>
      </c>
      <c r="K133" s="13" t="inlineStr">
        <is>
          <t>no</t>
        </is>
      </c>
      <c r="L133" s="16" t="inlineStr">
        <is>
          <t>—</t>
        </is>
      </c>
      <c r="M133" s="11" t="inlineStr">
        <is>
          <t>—</t>
        </is>
      </c>
      <c r="N133" s="16" t="inlineStr">
        <is>
          <t>—</t>
        </is>
      </c>
      <c r="O133" s="16" t="inlineStr">
        <is>
          <t>—</t>
        </is>
      </c>
      <c r="P133" s="16" t="inlineStr">
        <is>
          <t>30 Av (N,W)</t>
        </is>
      </c>
      <c r="Q133" s="16" t="inlineStr">
        <is>
          <t>Pescado griego a la parrilla, entero, con limon. La referencia del barrio desde hace decadas y en el Michelin Guide. No toman reserva: hay cola.</t>
        </is>
      </c>
      <c r="R133" s="16" t="inlineStr">
        <is>
          <t>33-07 Ditmars Blvd, Astoria</t>
        </is>
      </c>
      <c r="S133" s="16" t="inlineStr">
        <is>
          <t>—</t>
        </is>
      </c>
      <c r="T133" s="18" t="inlineStr">
        <is>
          <t>Abrir ↗</t>
        </is>
      </c>
      <c r="U133" s="21" t="inlineStr">
        <is>
          <t>otros</t>
        </is>
      </c>
      <c r="V133" s="20" t="inlineStr"/>
    </row>
    <row r="134" ht="46" customHeight="1">
      <c r="A134" s="9" t="inlineStr">
        <is>
          <t>Peter Luger Steak House</t>
        </is>
      </c>
      <c r="B134" s="10" t="inlineStr">
        <is>
          <t>Steakhouse clásico</t>
        </is>
      </c>
      <c r="C134" s="11" t="inlineStr">
        <is>
          <t>Comida</t>
        </is>
      </c>
      <c r="D134" s="11" t="inlineStr">
        <is>
          <t>Williamsburg</t>
        </is>
      </c>
      <c r="E134" s="11" t="inlineStr">
        <is>
          <t>Brooklyn</t>
        </is>
      </c>
      <c r="F134" s="12" t="n">
        <v>2</v>
      </c>
      <c r="G134" s="12" t="n">
        <v>2</v>
      </c>
      <c r="H134" s="13">
        <f>IF(AND(F134=2,G134=2),"AMBOS",IF(AND(F134=2,G134&lt;2),"solo JP",IF(AND(F134&lt;2,G134=2),"solo Thais","-")))</f>
        <v/>
      </c>
      <c r="I134" s="14" t="n">
        <v>110</v>
      </c>
      <c r="J134" s="15" t="n">
        <v>1.75</v>
      </c>
      <c r="K134" s="13" t="inlineStr">
        <is>
          <t>SÍ</t>
        </is>
      </c>
      <c r="L134" s="16" t="inlineStr">
        <is>
          <t>—</t>
        </is>
      </c>
      <c r="M134" s="11" t="inlineStr">
        <is>
          <t>—</t>
        </is>
      </c>
      <c r="N134" s="16" t="inlineStr">
        <is>
          <t>—</t>
        </is>
      </c>
      <c r="O134" s="16" t="inlineStr">
        <is>
          <t>Resy - reservar YA: los sabados se agotan con semanas</t>
        </is>
      </c>
      <c r="P134" s="16" t="inlineStr">
        <is>
          <t>Marcy Av (J,Z)</t>
        </is>
      </c>
      <c r="Q134" s="16" t="inlineStr">
        <is>
          <t>El steakhouse de 1887 con la carne dry-aged en el sotano: sigue siendo EL porterhouse contra el que se mide todo lo demas. Sala alemana, ruidosa, sin vueltas.</t>
        </is>
      </c>
      <c r="R134" s="16" t="inlineStr">
        <is>
          <t>178 Broadway, Brooklyn</t>
        </is>
      </c>
      <c r="S134" s="17" t="inlineStr">
        <is>
          <t>Día 8 · sáb 5/9</t>
        </is>
      </c>
      <c r="T134" s="18" t="inlineStr">
        <is>
          <t>Abrir ↗</t>
        </is>
      </c>
      <c r="U134" s="19" t="inlineStr">
        <is>
          <t>lista google</t>
        </is>
      </c>
      <c r="V134" s="20" t="inlineStr">
        <is>
          <t>SÍ</t>
        </is>
      </c>
    </row>
    <row r="135" ht="46" customHeight="1">
      <c r="A135" s="9" t="inlineStr">
        <is>
          <t>Bar Bayeux</t>
        </is>
      </c>
      <c r="B135" s="10" t="inlineStr">
        <is>
          <t>Bar con música</t>
        </is>
      </c>
      <c r="C135" s="11" t="inlineStr">
        <is>
          <t>Música</t>
        </is>
      </c>
      <c r="D135" s="11" t="inlineStr">
        <is>
          <t>Prospect Lefferts Gardens</t>
        </is>
      </c>
      <c r="E135" s="11" t="inlineStr">
        <is>
          <t>Brooklyn</t>
        </is>
      </c>
      <c r="F135" s="12" t="n">
        <v>2</v>
      </c>
      <c r="G135" s="12" t="n">
        <v>2</v>
      </c>
      <c r="H135" s="13">
        <f>IF(AND(F135=2,G135=2),"AMBOS",IF(AND(F135=2,G135&lt;2),"solo JP",IF(AND(F135&lt;2,G135=2),"solo Thais","-")))</f>
        <v/>
      </c>
      <c r="I135" s="14" t="n">
        <v>0</v>
      </c>
      <c r="J135" s="15" t="n">
        <v>2</v>
      </c>
      <c r="K135" s="13" t="inlineStr">
        <is>
          <t>no</t>
        </is>
      </c>
      <c r="L135" s="16" t="inlineStr">
        <is>
          <t>—</t>
        </is>
      </c>
      <c r="M135" s="11" t="inlineStr">
        <is>
          <t>—</t>
        </is>
      </c>
      <c r="N135" s="16" t="inlineStr">
        <is>
          <t>—</t>
        </is>
      </c>
      <c r="O135" s="16" t="inlineStr">
        <is>
          <t>—</t>
        </is>
      </c>
      <c r="P135" s="16" t="inlineStr">
        <is>
          <t>Sterling St (2,5)</t>
        </is>
      </c>
      <c r="Q135" s="16" t="inlineStr">
        <is>
          <t>Wine bar de barrio con jazz de verdad y sin entrada. El mas barato de la lista.</t>
        </is>
      </c>
      <c r="R135" s="16" t="inlineStr">
        <is>
          <t>1066 Nostrand Ave, Brooklyn</t>
        </is>
      </c>
      <c r="S135" s="16" t="inlineStr">
        <is>
          <t>—</t>
        </is>
      </c>
      <c r="T135" s="18" t="inlineStr">
        <is>
          <t>Abrir ↗</t>
        </is>
      </c>
      <c r="U135" s="19" t="inlineStr">
        <is>
          <t>lista google</t>
        </is>
      </c>
      <c r="V135" s="20" t="inlineStr"/>
    </row>
    <row r="136" ht="46" customHeight="1">
      <c r="A136" s="9" t="inlineStr">
        <is>
          <t>Bar LunAtico</t>
        </is>
      </c>
      <c r="B136" s="10" t="inlineStr">
        <is>
          <t>Bar con música</t>
        </is>
      </c>
      <c r="C136" s="11" t="inlineStr">
        <is>
          <t>Música</t>
        </is>
      </c>
      <c r="D136" s="11" t="inlineStr">
        <is>
          <t>Bedford-Stuyvesant</t>
        </is>
      </c>
      <c r="E136" s="11" t="inlineStr">
        <is>
          <t>Brooklyn</t>
        </is>
      </c>
      <c r="F136" s="12" t="n">
        <v>2</v>
      </c>
      <c r="G136" s="12" t="n">
        <v>2</v>
      </c>
      <c r="H136" s="13">
        <f>IF(AND(F136=2,G136=2),"AMBOS",IF(AND(F136=2,G136&lt;2),"solo JP",IF(AND(F136&lt;2,G136=2),"solo Thais","-")))</f>
        <v/>
      </c>
      <c r="I136" s="14" t="n">
        <v>10</v>
      </c>
      <c r="J136" s="15" t="n">
        <v>2.5</v>
      </c>
      <c r="K136" s="13" t="inlineStr">
        <is>
          <t>no</t>
        </is>
      </c>
      <c r="L136" s="16" t="inlineStr">
        <is>
          <t>—</t>
        </is>
      </c>
      <c r="M136" s="11" t="inlineStr">
        <is>
          <t>—</t>
        </is>
      </c>
      <c r="N136" s="16" t="inlineStr">
        <is>
          <t>—</t>
        </is>
      </c>
      <c r="O136" s="16" t="inlineStr">
        <is>
          <t>—</t>
        </is>
      </c>
      <c r="P136" s="16" t="inlineStr">
        <is>
          <t>Halsey St (J), Kingston-Throop (C)</t>
        </is>
      </c>
      <c r="Q136" s="16" t="inlineStr">
        <is>
          <t>Bar de barrio de musicos, no de publico. Dos sets todas las noches (21:00 y 22:15), cocina y cocteleria completas. Es la mejor relacion musica/precio de la ciudad. LLEVAR EFECTIVO.</t>
        </is>
      </c>
      <c r="R136" s="16" t="inlineStr">
        <is>
          <t>486 Halsey St, Brooklyn</t>
        </is>
      </c>
      <c r="S136" s="16" t="inlineStr">
        <is>
          <t>—</t>
        </is>
      </c>
      <c r="T136" s="18" t="inlineStr">
        <is>
          <t>Abrir ↗</t>
        </is>
      </c>
      <c r="U136" s="19" t="inlineStr">
        <is>
          <t>lista google</t>
        </is>
      </c>
      <c r="V136" s="20" t="inlineStr"/>
    </row>
    <row r="137" ht="46" customHeight="1">
      <c r="A137" s="9" t="inlineStr">
        <is>
          <t>Cafe Wha?</t>
        </is>
      </c>
      <c r="B137" s="10" t="inlineStr">
        <is>
          <t>Bar con música</t>
        </is>
      </c>
      <c r="C137" s="11" t="inlineStr">
        <is>
          <t>Música</t>
        </is>
      </c>
      <c r="D137" s="11" t="inlineStr">
        <is>
          <t>Greenwich Village</t>
        </is>
      </c>
      <c r="E137" s="11" t="inlineStr">
        <is>
          <t>Manhattan</t>
        </is>
      </c>
      <c r="F137" s="12" t="n">
        <v>2</v>
      </c>
      <c r="G137" s="12" t="n">
        <v>2</v>
      </c>
      <c r="H137" s="13">
        <f>IF(AND(F137=2,G137=2),"AMBOS",IF(AND(F137=2,G137&lt;2),"solo JP",IF(AND(F137&lt;2,G137=2),"solo Thais","-")))</f>
        <v/>
      </c>
      <c r="I137" s="14" t="n">
        <v>20</v>
      </c>
      <c r="J137" s="15" t="n">
        <v>1.5</v>
      </c>
      <c r="K137" s="13" t="inlineStr">
        <is>
          <t>SÍ</t>
        </is>
      </c>
      <c r="L137" s="16" t="inlineStr">
        <is>
          <t>—</t>
        </is>
      </c>
      <c r="M137" s="11" t="inlineStr">
        <is>
          <t>—</t>
        </is>
      </c>
      <c r="N137" s="16" t="inlineStr">
        <is>
          <t>—</t>
        </is>
      </c>
      <c r="O137" s="16" t="inlineStr">
        <is>
          <t>Eventbrite - la reserva NO garantiza admision: TODOS presentes 23:30 o liberan la mesa</t>
        </is>
      </c>
      <c r="P137" s="16" t="inlineStr">
        <is>
          <t>W 4 St (A,C,E,B,D,F,M), Christopher St (1)</t>
        </is>
      </c>
      <c r="Q137" s="16" t="inlineStr">
        <is>
          <t>El sotano del Village donde debutaron Dylan, Hendrix, Springsteen y Bill Cosby. La house band de fin de semana es una maquina de soul y funk. Sigue siendo un club de barrio, no un museo.</t>
        </is>
      </c>
      <c r="R137" s="16" t="inlineStr">
        <is>
          <t>115 MacDougal St</t>
        </is>
      </c>
      <c r="S137" s="17" t="inlineStr">
        <is>
          <t>Día 8 · sáb 5/9</t>
        </is>
      </c>
      <c r="T137" s="18" t="inlineStr">
        <is>
          <t>Abrir ↗</t>
        </is>
      </c>
      <c r="U137" s="19" t="inlineStr">
        <is>
          <t>lista google</t>
        </is>
      </c>
      <c r="V137" s="20" t="inlineStr">
        <is>
          <t>SÍ</t>
        </is>
      </c>
    </row>
    <row r="138" ht="46" customHeight="1">
      <c r="A138" s="9" t="inlineStr">
        <is>
          <t>Rudy's Bar &amp; Grill</t>
        </is>
      </c>
      <c r="B138" s="10" t="inlineStr">
        <is>
          <t>Bar con música</t>
        </is>
      </c>
      <c r="C138" s="11" t="inlineStr">
        <is>
          <t>Música</t>
        </is>
      </c>
      <c r="D138" s="11" t="inlineStr">
        <is>
          <t>Hell's Kitchen</t>
        </is>
      </c>
      <c r="E138" s="11" t="inlineStr">
        <is>
          <t>Manhattan</t>
        </is>
      </c>
      <c r="F138" s="12" t="n">
        <v>1</v>
      </c>
      <c r="G138" s="12" t="n">
        <v>1</v>
      </c>
      <c r="H138" s="13">
        <f>IF(AND(F138=2,G138=2),"AMBOS",IF(AND(F138=2,G138&lt;2),"solo JP",IF(AND(F138&lt;2,G138=2),"solo Thais","-")))</f>
        <v/>
      </c>
      <c r="I138" s="14" t="n">
        <v>10</v>
      </c>
      <c r="J138" s="15" t="n">
        <v>1</v>
      </c>
      <c r="K138" s="13" t="inlineStr">
        <is>
          <t>no</t>
        </is>
      </c>
      <c r="L138" s="16" t="inlineStr">
        <is>
          <t>—</t>
        </is>
      </c>
      <c r="M138" s="11" t="inlineStr">
        <is>
          <t>—</t>
        </is>
      </c>
      <c r="N138" s="16" t="inlineStr">
        <is>
          <t>—</t>
        </is>
      </c>
      <c r="O138" s="16" t="inlineStr">
        <is>
          <t>—</t>
        </is>
      </c>
      <c r="P138" s="16" t="inlineStr">
        <is>
          <t>50 St (C,E)</t>
        </is>
      </c>
      <c r="Q138" s="16" t="inlineStr">
        <is>
          <t>Dive bar de 1933 con el cerdo gigante en la puerta: cerveza barata y HOT DOGS GRATIS con la consumición.</t>
        </is>
      </c>
      <c r="R138" s="16" t="inlineStr">
        <is>
          <t>627 9th Ave</t>
        </is>
      </c>
      <c r="S138" s="16" t="inlineStr">
        <is>
          <t>—</t>
        </is>
      </c>
      <c r="T138" s="18" t="inlineStr">
        <is>
          <t>Abrir ↗</t>
        </is>
      </c>
      <c r="U138" s="19" t="inlineStr">
        <is>
          <t>lista google</t>
        </is>
      </c>
      <c r="V138" s="20" t="inlineStr"/>
    </row>
    <row r="139" ht="46" customHeight="1">
      <c r="A139" s="9" t="inlineStr">
        <is>
          <t>Bill's Place</t>
        </is>
      </c>
      <c r="B139" s="10" t="inlineStr">
        <is>
          <t>Club de jazz</t>
        </is>
      </c>
      <c r="C139" s="11" t="inlineStr">
        <is>
          <t>Música</t>
        </is>
      </c>
      <c r="D139" s="11" t="inlineStr">
        <is>
          <t>Harlem</t>
        </is>
      </c>
      <c r="E139" s="11" t="inlineStr">
        <is>
          <t>Manhattan</t>
        </is>
      </c>
      <c r="F139" s="12" t="n">
        <v>2</v>
      </c>
      <c r="G139" s="12" t="n">
        <v>2</v>
      </c>
      <c r="H139" s="13">
        <f>IF(AND(F139=2,G139=2),"AMBOS",IF(AND(F139=2,G139&lt;2),"solo JP",IF(AND(F139&lt;2,G139=2),"solo Thais","-")))</f>
        <v/>
      </c>
      <c r="I139" s="14" t="n">
        <v>35</v>
      </c>
      <c r="J139" s="15" t="n">
        <v>1.75</v>
      </c>
      <c r="K139" s="13" t="inlineStr">
        <is>
          <t>no</t>
        </is>
      </c>
      <c r="L139" s="16" t="inlineStr">
        <is>
          <t>—</t>
        </is>
      </c>
      <c r="M139" s="11" t="inlineStr">
        <is>
          <t>—</t>
        </is>
      </c>
      <c r="N139" s="16" t="inlineStr">
        <is>
          <t>—</t>
        </is>
      </c>
      <c r="O139" s="16" t="inlineStr">
        <is>
          <t>OBLIGATORIA - sala diminuta, comprar el set en billsplaceharlem.com</t>
        </is>
      </c>
      <c r="P139" s="16" t="inlineStr">
        <is>
          <t>135 St (2,3)</t>
        </is>
      </c>
      <c r="Q139"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39" s="16" t="inlineStr">
        <is>
          <t>148 W 133rd St</t>
        </is>
      </c>
      <c r="S139" s="16" t="inlineStr">
        <is>
          <t>—</t>
        </is>
      </c>
      <c r="T139" s="18" t="inlineStr">
        <is>
          <t>Abrir ↗</t>
        </is>
      </c>
      <c r="U139" s="21" t="inlineStr">
        <is>
          <t>otros</t>
        </is>
      </c>
      <c r="V139" s="20" t="inlineStr"/>
    </row>
    <row r="140" ht="46" customHeight="1">
      <c r="A140" s="9" t="inlineStr">
        <is>
          <t>Birdland</t>
        </is>
      </c>
      <c r="B140" s="10" t="inlineStr">
        <is>
          <t>Club de jazz</t>
        </is>
      </c>
      <c r="C140" s="11" t="inlineStr">
        <is>
          <t>Música</t>
        </is>
      </c>
      <c r="D140" s="11" t="inlineStr">
        <is>
          <t>Midtown</t>
        </is>
      </c>
      <c r="E140" s="11" t="inlineStr">
        <is>
          <t>Manhattan</t>
        </is>
      </c>
      <c r="F140" s="12" t="n">
        <v>2</v>
      </c>
      <c r="G140" s="12" t="n">
        <v>2</v>
      </c>
      <c r="H140" s="13">
        <f>IF(AND(F140=2,G140=2),"AMBOS",IF(AND(F140=2,G140&lt;2),"solo JP",IF(AND(F140&lt;2,G140=2),"solo Thais","-")))</f>
        <v/>
      </c>
      <c r="I140" s="14" t="n">
        <v>45</v>
      </c>
      <c r="J140" s="15" t="n">
        <v>2</v>
      </c>
      <c r="K140" s="13" t="inlineStr">
        <is>
          <t>no</t>
        </is>
      </c>
      <c r="L140" s="16" t="inlineStr">
        <is>
          <t>—</t>
        </is>
      </c>
      <c r="M140" s="11" t="inlineStr">
        <is>
          <t>—</t>
        </is>
      </c>
      <c r="N140" s="16" t="inlineStr">
        <is>
          <t>—</t>
        </is>
      </c>
      <c r="O140" s="16" t="inlineStr">
        <is>
          <t>TicketWeb - unico vendedor autorizado</t>
        </is>
      </c>
      <c r="P140" s="16" t="inlineStr">
        <is>
          <t>42 St-Port Authority (A,C,E)</t>
        </is>
      </c>
      <c r="Q140" s="16" t="inlineStr">
        <is>
          <t>Menos intimo que el Vanguard, mas programacion. Los LUNES: Vince Giordano &amp; the Nighthawks, jazz de los anos 20-30 con instrumentos de epoca. Justo el lunes 31, que es el dia que Broadway esta oscuro.</t>
        </is>
      </c>
      <c r="R140" s="16" t="inlineStr">
        <is>
          <t>315 W 44th St</t>
        </is>
      </c>
      <c r="S140" s="17" t="inlineStr">
        <is>
          <t>Día 1 · sáb 29/8, Día 3 · lun 31/8</t>
        </is>
      </c>
      <c r="T140" s="18" t="inlineStr">
        <is>
          <t>Abrir ↗</t>
        </is>
      </c>
      <c r="U140" s="19" t="inlineStr">
        <is>
          <t>lista google</t>
        </is>
      </c>
      <c r="V140" s="20" t="inlineStr">
        <is>
          <t>SÍ</t>
        </is>
      </c>
    </row>
    <row r="141" ht="46" customHeight="1">
      <c r="A141" s="9" t="inlineStr">
        <is>
          <t>Blue Note</t>
        </is>
      </c>
      <c r="B141" s="10" t="inlineStr">
        <is>
          <t>Club de jazz</t>
        </is>
      </c>
      <c r="C141" s="11" t="inlineStr">
        <is>
          <t>Música</t>
        </is>
      </c>
      <c r="D141" s="11" t="inlineStr">
        <is>
          <t>Greenwich Village</t>
        </is>
      </c>
      <c r="E141" s="11" t="inlineStr">
        <is>
          <t>Manhattan</t>
        </is>
      </c>
      <c r="F141" s="12" t="n">
        <v>2</v>
      </c>
      <c r="G141" s="12" t="n">
        <v>2</v>
      </c>
      <c r="H141" s="13">
        <f>IF(AND(F141=2,G141=2),"AMBOS",IF(AND(F141=2,G141&lt;2),"solo JP",IF(AND(F141&lt;2,G141=2),"solo Thais","-")))</f>
        <v/>
      </c>
      <c r="I141" s="14" t="n">
        <v>45</v>
      </c>
      <c r="J141" s="15" t="n">
        <v>2</v>
      </c>
      <c r="K141" s="13" t="inlineStr">
        <is>
          <t>SÍ</t>
        </is>
      </c>
      <c r="L141" s="16" t="inlineStr">
        <is>
          <t>—</t>
        </is>
      </c>
      <c r="M141" s="11" t="inlineStr">
        <is>
          <t>—</t>
        </is>
      </c>
      <c r="N141" s="16" t="inlineStr">
        <is>
          <t>—</t>
        </is>
      </c>
      <c r="O141" s="16" t="inlineStr">
        <is>
          <t>—</t>
        </is>
      </c>
      <c r="P141" s="16" t="inlineStr">
        <is>
          <t>W 4 St (A,B,C,D,E,F,M)</t>
        </is>
      </c>
      <c r="Q141" s="16" t="inlineStr">
        <is>
          <t>El mas grande y comercial de los clubes historicos (250 personas). 29-30 ago: MonoNeon. 4-5 sep: Chief Adjuah.</t>
        </is>
      </c>
      <c r="R141" s="16" t="inlineStr">
        <is>
          <t>131 W 3rd St</t>
        </is>
      </c>
      <c r="S141" s="16" t="inlineStr">
        <is>
          <t>—</t>
        </is>
      </c>
      <c r="T141" s="18" t="inlineStr">
        <is>
          <t>Abrir ↗</t>
        </is>
      </c>
      <c r="U141" s="19" t="inlineStr">
        <is>
          <t>lista google</t>
        </is>
      </c>
      <c r="V141" s="20" t="inlineStr"/>
    </row>
    <row r="142" ht="46" customHeight="1">
      <c r="A142" s="9" t="inlineStr">
        <is>
          <t>Dizzy's Club (Jazz at Lincoln Center)</t>
        </is>
      </c>
      <c r="B142" s="10" t="inlineStr">
        <is>
          <t>Club de jazz</t>
        </is>
      </c>
      <c r="C142" s="11" t="inlineStr">
        <is>
          <t>Música</t>
        </is>
      </c>
      <c r="D142" s="11" t="inlineStr">
        <is>
          <t>Columbus Circle</t>
        </is>
      </c>
      <c r="E142" s="11" t="inlineStr">
        <is>
          <t>Manhattan</t>
        </is>
      </c>
      <c r="F142" s="12" t="n">
        <v>2</v>
      </c>
      <c r="G142" s="12" t="n">
        <v>2</v>
      </c>
      <c r="H142" s="13">
        <f>IF(AND(F142=2,G142=2),"AMBOS",IF(AND(F142=2,G142&lt;2),"solo JP",IF(AND(F142&lt;2,G142=2),"solo Thais","-")))</f>
        <v/>
      </c>
      <c r="I142" s="14" t="n">
        <v>45</v>
      </c>
      <c r="J142" s="15" t="n">
        <v>2</v>
      </c>
      <c r="K142" s="13" t="inlineStr">
        <is>
          <t>no</t>
        </is>
      </c>
      <c r="L142" s="16" t="inlineStr">
        <is>
          <t>—</t>
        </is>
      </c>
      <c r="M142" s="11" t="inlineStr">
        <is>
          <t>—</t>
        </is>
      </c>
      <c r="N142" s="16" t="inlineStr">
        <is>
          <t>—</t>
        </is>
      </c>
      <c r="O142" s="16" t="inlineStr">
        <is>
          <t>—</t>
        </is>
      </c>
      <c r="P142" s="16" t="inlineStr">
        <is>
          <t>59 St-Columbus Circle (1,A,B,C,D)</t>
        </is>
      </c>
      <c r="Q142" s="16" t="inlineStr">
        <is>
          <t>Ventanales de piso a techo sobre Central Park detras del escenario. El truco es el set Late Night de jueves a sabado: mismo lugar, una fraccion del precio.</t>
        </is>
      </c>
      <c r="R142" s="16" t="inlineStr">
        <is>
          <t>10 Columbus Circle, piso 5</t>
        </is>
      </c>
      <c r="S142" s="17" t="inlineStr">
        <is>
          <t>Día 6 · jue 3/9</t>
        </is>
      </c>
      <c r="T142" s="18" t="inlineStr">
        <is>
          <t>Abrir ↗</t>
        </is>
      </c>
      <c r="U142" s="19" t="inlineStr">
        <is>
          <t>lista google</t>
        </is>
      </c>
      <c r="V142" s="20" t="inlineStr"/>
    </row>
    <row r="143" ht="46" customHeight="1">
      <c r="A143" s="9" t="inlineStr">
        <is>
          <t>Mezzrow</t>
        </is>
      </c>
      <c r="B143" s="10" t="inlineStr">
        <is>
          <t>Club de jazz</t>
        </is>
      </c>
      <c r="C143" s="11" t="inlineStr">
        <is>
          <t>Música</t>
        </is>
      </c>
      <c r="D143" s="11" t="inlineStr">
        <is>
          <t>West Village</t>
        </is>
      </c>
      <c r="E143" s="11" t="inlineStr">
        <is>
          <t>Manhattan</t>
        </is>
      </c>
      <c r="F143" s="12" t="n">
        <v>2</v>
      </c>
      <c r="G143" s="12" t="n">
        <v>2</v>
      </c>
      <c r="H143" s="13">
        <f>IF(AND(F143=2,G143=2),"AMBOS",IF(AND(F143=2,G143&lt;2),"solo JP",IF(AND(F143&lt;2,G143=2),"solo Thais","-")))</f>
        <v/>
      </c>
      <c r="I143" s="14" t="n">
        <v>25</v>
      </c>
      <c r="J143" s="15" t="n">
        <v>1.5</v>
      </c>
      <c r="K143" s="13" t="inlineStr">
        <is>
          <t>no</t>
        </is>
      </c>
      <c r="L143" s="16" t="inlineStr">
        <is>
          <t>—</t>
        </is>
      </c>
      <c r="M143" s="11" t="inlineStr">
        <is>
          <t>—</t>
        </is>
      </c>
      <c r="N143" s="16" t="inlineStr">
        <is>
          <t>—</t>
        </is>
      </c>
      <c r="O143" s="16" t="inlineStr">
        <is>
          <t>reservar</t>
        </is>
      </c>
      <c r="P143" s="16" t="inlineStr">
        <is>
          <t>Christopher St (1)</t>
        </is>
      </c>
      <c r="Q143" s="16" t="inlineStr">
        <is>
          <t>35 asientos, sala de escucha centrada en el piano. El mas intimo de la ciudad. Entre semana se consigue; los fines de semana se agota.</t>
        </is>
      </c>
      <c r="R143" s="16" t="inlineStr">
        <is>
          <t>163 W 10th St</t>
        </is>
      </c>
      <c r="S143" s="16" t="inlineStr">
        <is>
          <t>—</t>
        </is>
      </c>
      <c r="T143" s="18" t="inlineStr">
        <is>
          <t>Abrir ↗</t>
        </is>
      </c>
      <c r="U143" s="19" t="inlineStr">
        <is>
          <t>lista google</t>
        </is>
      </c>
      <c r="V143" s="20" t="inlineStr"/>
    </row>
    <row r="144" ht="46" customHeight="1">
      <c r="A144" s="9" t="inlineStr">
        <is>
          <t>Ornithology Jazz Club</t>
        </is>
      </c>
      <c r="B144" s="10" t="inlineStr">
        <is>
          <t>Club de jazz</t>
        </is>
      </c>
      <c r="C144" s="11" t="inlineStr">
        <is>
          <t>Música</t>
        </is>
      </c>
      <c r="D144" s="11" t="inlineStr">
        <is>
          <t>Bushwick</t>
        </is>
      </c>
      <c r="E144" s="11" t="inlineStr">
        <is>
          <t>Brooklyn</t>
        </is>
      </c>
      <c r="F144" s="12" t="n">
        <v>2</v>
      </c>
      <c r="G144" s="12" t="n">
        <v>2</v>
      </c>
      <c r="H144" s="13">
        <f>IF(AND(F144=2,G144=2),"AMBOS",IF(AND(F144=2,G144&lt;2),"solo JP",IF(AND(F144&lt;2,G144=2),"solo Thais","-")))</f>
        <v/>
      </c>
      <c r="I144" s="14" t="n">
        <v>20</v>
      </c>
      <c r="J144" s="15" t="n">
        <v>2</v>
      </c>
      <c r="K144" s="13" t="inlineStr">
        <is>
          <t>no</t>
        </is>
      </c>
      <c r="L144" s="16" t="inlineStr">
        <is>
          <t>—</t>
        </is>
      </c>
      <c r="M144" s="11" t="inlineStr">
        <is>
          <t>—</t>
        </is>
      </c>
      <c r="N144" s="16" t="inlineStr">
        <is>
          <t>—</t>
        </is>
      </c>
      <c r="O144" s="16" t="inlineStr">
        <is>
          <t>—</t>
        </is>
      </c>
      <c r="P144" s="16" t="inlineStr">
        <is>
          <t>Jefferson St (L)</t>
        </is>
      </c>
      <c r="Q144" s="16" t="inlineStr">
        <is>
          <t>75 asientos y regla estricta de sala de escucha: no se habla durante los sets. Es la alternativa joven al Vanguard.</t>
        </is>
      </c>
      <c r="R144" s="16" t="inlineStr">
        <is>
          <t>6 Suydam St, Brooklyn</t>
        </is>
      </c>
      <c r="S144" s="16" t="inlineStr">
        <is>
          <t>—</t>
        </is>
      </c>
      <c r="T144" s="18" t="inlineStr">
        <is>
          <t>Abrir ↗</t>
        </is>
      </c>
      <c r="U144" s="19" t="inlineStr">
        <is>
          <t>lista google</t>
        </is>
      </c>
      <c r="V144" s="20" t="inlineStr"/>
    </row>
    <row r="145" ht="46" customHeight="1">
      <c r="A145" s="9" t="inlineStr">
        <is>
          <t>Smalls Jazz Club</t>
        </is>
      </c>
      <c r="B145" s="10" t="inlineStr">
        <is>
          <t>Club de jazz</t>
        </is>
      </c>
      <c r="C145" s="11" t="inlineStr">
        <is>
          <t>Música</t>
        </is>
      </c>
      <c r="D145" s="11" t="inlineStr">
        <is>
          <t>West Village</t>
        </is>
      </c>
      <c r="E145" s="11" t="inlineStr">
        <is>
          <t>Manhattan</t>
        </is>
      </c>
      <c r="F145" s="12" t="n">
        <v>2</v>
      </c>
      <c r="G145" s="12" t="n">
        <v>2</v>
      </c>
      <c r="H145" s="13">
        <f>IF(AND(F145=2,G145=2),"AMBOS",IF(AND(F145=2,G145&lt;2),"solo JP",IF(AND(F145&lt;2,G145=2),"solo Thais","-")))</f>
        <v/>
      </c>
      <c r="I145" s="14" t="n">
        <v>25</v>
      </c>
      <c r="J145" s="15" t="n">
        <v>2</v>
      </c>
      <c r="K145" s="13" t="inlineStr">
        <is>
          <t>no</t>
        </is>
      </c>
      <c r="L145" s="16" t="inlineStr">
        <is>
          <t>—</t>
        </is>
      </c>
      <c r="M145" s="11" t="inlineStr">
        <is>
          <t>—</t>
        </is>
      </c>
      <c r="N145" s="16" t="inlineStr">
        <is>
          <t>—</t>
        </is>
      </c>
      <c r="O145" s="16" t="inlineStr">
        <is>
          <t>—</t>
        </is>
      </c>
      <c r="P145" s="16" t="inlineStr">
        <is>
          <t>Christopher St (1)</t>
        </is>
      </c>
      <c r="Q145" s="16" t="inlineStr">
        <is>
          <t>60 asientos, sotano. Entre semana se entra caminando. Lo mejor que tiene son las jam sessions de madrugada de jueves a sabado, desde la 1:00 AM: ahi tocan los musicos que salieron de trabajar.</t>
        </is>
      </c>
      <c r="R145" s="16" t="inlineStr">
        <is>
          <t>183 W 10th St</t>
        </is>
      </c>
      <c r="S145" s="17" t="inlineStr">
        <is>
          <t>Día 4 · mar 1/9</t>
        </is>
      </c>
      <c r="T145" s="18" t="inlineStr">
        <is>
          <t>Abrir ↗</t>
        </is>
      </c>
      <c r="U145" s="19" t="inlineStr">
        <is>
          <t>lista google</t>
        </is>
      </c>
      <c r="V145" s="20" t="inlineStr"/>
    </row>
    <row r="146" ht="46" customHeight="1">
      <c r="A146" s="9" t="inlineStr">
        <is>
          <t>Village Vanguard</t>
        </is>
      </c>
      <c r="B146" s="10" t="inlineStr">
        <is>
          <t>Club de jazz</t>
        </is>
      </c>
      <c r="C146" s="11" t="inlineStr">
        <is>
          <t>Música</t>
        </is>
      </c>
      <c r="D146" s="11" t="inlineStr">
        <is>
          <t>West Village</t>
        </is>
      </c>
      <c r="E146" s="11" t="inlineStr">
        <is>
          <t>Manhattan</t>
        </is>
      </c>
      <c r="F146" s="12" t="n">
        <v>2</v>
      </c>
      <c r="G146" s="12" t="n">
        <v>2</v>
      </c>
      <c r="H146" s="13">
        <f>IF(AND(F146=2,G146=2),"AMBOS",IF(AND(F146=2,G146&lt;2),"solo JP",IF(AND(F146&lt;2,G146=2),"solo Thais","-")))</f>
        <v/>
      </c>
      <c r="I146" s="14" t="n">
        <v>45</v>
      </c>
      <c r="J146" s="15" t="n">
        <v>2</v>
      </c>
      <c r="K146" s="13" t="inlineStr">
        <is>
          <t>no</t>
        </is>
      </c>
      <c r="L146" s="16" t="inlineStr">
        <is>
          <t>—</t>
        </is>
      </c>
      <c r="M146" s="11" t="inlineStr">
        <is>
          <t>—</t>
        </is>
      </c>
      <c r="N146" s="16" t="inlineStr">
        <is>
          <t>—</t>
        </is>
      </c>
      <c r="O146" s="16" t="inlineStr">
        <is>
          <t>HECHA: 2 entradas GA del viernes 4/9, set 22:00 (#18741454 y #18741456). El acomodo del segundo set arranca 21:30 y es por orden de llegada.</t>
        </is>
      </c>
      <c r="P146" s="16" t="inlineStr">
        <is>
          <t>14 St (1,2,3)</t>
        </is>
      </c>
      <c r="Q146" s="16" t="inlineStr">
        <is>
          <t>El club de jazz en funcionamiento continuo mas antiguo del mundo. 123 asientos, sotano triangular, acustica legendaria. DEL 1 AL 6 DE SEPTIEMBRE: John Patitucci Trio con Chris Potter y Brian Blade. Si hay una sola noche de musica en el viaje, es esta.</t>
        </is>
      </c>
      <c r="R146" s="16" t="inlineStr">
        <is>
          <t>178 7th Ave South</t>
        </is>
      </c>
      <c r="S146" s="17" t="inlineStr">
        <is>
          <t>Día 7 · vie 4/9</t>
        </is>
      </c>
      <c r="T146" s="18" t="inlineStr">
        <is>
          <t>Abrir ↗</t>
        </is>
      </c>
      <c r="U146" s="19" t="inlineStr">
        <is>
          <t>lista google</t>
        </is>
      </c>
      <c r="V146" s="20" t="inlineStr"/>
    </row>
    <row r="147" ht="46" customHeight="1">
      <c r="A147" s="9" t="inlineStr">
        <is>
          <t>Barbes</t>
        </is>
      </c>
      <c r="B147" s="10" t="inlineStr">
        <is>
          <t>Música del mundo</t>
        </is>
      </c>
      <c r="C147" s="11" t="inlineStr">
        <is>
          <t>Música</t>
        </is>
      </c>
      <c r="D147" s="11" t="inlineStr">
        <is>
          <t>Park Slope</t>
        </is>
      </c>
      <c r="E147" s="11" t="inlineStr">
        <is>
          <t>Brooklyn</t>
        </is>
      </c>
      <c r="F147" s="12" t="n">
        <v>2</v>
      </c>
      <c r="G147" s="12" t="n">
        <v>2</v>
      </c>
      <c r="H147" s="13">
        <f>IF(AND(F147=2,G147=2),"AMBOS",IF(AND(F147=2,G147&lt;2),"solo JP",IF(AND(F147&lt;2,G147=2),"solo Thais","-")))</f>
        <v/>
      </c>
      <c r="I147" s="14" t="n">
        <v>15</v>
      </c>
      <c r="J147" s="15" t="n">
        <v>2</v>
      </c>
      <c r="K147" s="13" t="inlineStr">
        <is>
          <t>no</t>
        </is>
      </c>
      <c r="L147" s="16" t="inlineStr">
        <is>
          <t>—</t>
        </is>
      </c>
      <c r="M147" s="11" t="inlineStr">
        <is>
          <t>—</t>
        </is>
      </c>
      <c r="N147" s="16" t="inlineStr">
        <is>
          <t>—</t>
        </is>
      </c>
      <c r="O147" s="16" t="inlineStr">
        <is>
          <t>—</t>
        </is>
      </c>
      <c r="P147" s="16" t="inlineStr">
        <is>
          <t>7 Av (F,G)</t>
        </is>
      </c>
      <c r="Q147" s="16" t="inlineStr">
        <is>
          <t>No es jazz: musica latina, balcanica, brasilena y de Africa occidental. La programacion es de otro nivel y la trastienda es minuscula. Llegar temprano.</t>
        </is>
      </c>
      <c r="R147" s="16" t="inlineStr">
        <is>
          <t>376 9th St, Brooklyn</t>
        </is>
      </c>
      <c r="S147" s="16" t="inlineStr">
        <is>
          <t>—</t>
        </is>
      </c>
      <c r="T147" s="18" t="inlineStr">
        <is>
          <t>Abrir ↗</t>
        </is>
      </c>
      <c r="U147" s="19" t="inlineStr">
        <is>
          <t>lista google</t>
        </is>
      </c>
      <c r="V147" s="20" t="inlineStr"/>
    </row>
    <row r="148" ht="46" customHeight="1">
      <c r="A148" s="9" t="inlineStr">
        <is>
          <t>Nublu</t>
        </is>
      </c>
      <c r="B148" s="10" t="inlineStr">
        <is>
          <t>Venue alternativo</t>
        </is>
      </c>
      <c r="C148" s="11" t="inlineStr">
        <is>
          <t>Música</t>
        </is>
      </c>
      <c r="D148" s="11" t="inlineStr">
        <is>
          <t>East Village</t>
        </is>
      </c>
      <c r="E148" s="11" t="inlineStr">
        <is>
          <t>Manhattan</t>
        </is>
      </c>
      <c r="F148" s="12" t="n">
        <v>2</v>
      </c>
      <c r="G148" s="12" t="n">
        <v>2</v>
      </c>
      <c r="H148" s="13">
        <f>IF(AND(F148=2,G148=2),"AMBOS",IF(AND(F148=2,G148&lt;2),"solo JP",IF(AND(F148&lt;2,G148=2),"solo Thais","-")))</f>
        <v/>
      </c>
      <c r="I148" s="14" t="n">
        <v>20</v>
      </c>
      <c r="J148" s="15" t="n">
        <v>2.5</v>
      </c>
      <c r="K148" s="13" t="inlineStr">
        <is>
          <t>no</t>
        </is>
      </c>
      <c r="L148" s="16" t="inlineStr">
        <is>
          <t>—</t>
        </is>
      </c>
      <c r="M148" s="11" t="inlineStr">
        <is>
          <t>—</t>
        </is>
      </c>
      <c r="N148" s="16" t="inlineStr">
        <is>
          <t>—</t>
        </is>
      </c>
      <c r="O148" s="16" t="inlineStr">
        <is>
          <t>—</t>
        </is>
      </c>
      <c r="P148" s="16" t="inlineStr">
        <is>
          <t>1 Av (L)</t>
        </is>
      </c>
      <c r="Q148" s="16" t="inlineStr">
        <is>
          <t>Jazz experimental, afrobeat y electronica turca. Musica en vivo desde las 19:00, DJs hasta las 4:00. 'Producer Mondays' todos los lunes a las 22:00.</t>
        </is>
      </c>
      <c r="R148" s="16" t="inlineStr">
        <is>
          <t>151 Avenue C, piso 2</t>
        </is>
      </c>
      <c r="S148" s="17" t="inlineStr">
        <is>
          <t>Día 2 · dom 30/8</t>
        </is>
      </c>
      <c r="T148" s="18" t="inlineStr">
        <is>
          <t>Abrir ↗</t>
        </is>
      </c>
      <c r="U148" s="19" t="inlineStr">
        <is>
          <t>lista google</t>
        </is>
      </c>
      <c r="V148" s="20" t="inlineStr"/>
    </row>
    <row r="149" ht="46" customHeight="1">
      <c r="A149" s="9" t="inlineStr">
        <is>
          <t>FDR Four Freedoms Park</t>
        </is>
      </c>
      <c r="B149" s="10" t="inlineStr">
        <is>
          <t>Arquitectura moderna</t>
        </is>
      </c>
      <c r="C149" s="11" t="inlineStr">
        <is>
          <t>Arquitectura</t>
        </is>
      </c>
      <c r="D149" s="11" t="inlineStr">
        <is>
          <t>Roosevelt Island</t>
        </is>
      </c>
      <c r="E149" s="11" t="inlineStr">
        <is>
          <t>Manhattan</t>
        </is>
      </c>
      <c r="F149" s="12" t="n">
        <v>2</v>
      </c>
      <c r="G149" s="12" t="n">
        <v>2</v>
      </c>
      <c r="H149" s="13">
        <f>IF(AND(F149=2,G149=2),"AMBOS",IF(AND(F149=2,G149&lt;2),"solo JP",IF(AND(F149&lt;2,G149=2),"solo Thais","-")))</f>
        <v/>
      </c>
      <c r="I149" s="14" t="n">
        <v>0</v>
      </c>
      <c r="J149" s="15" t="n">
        <v>1</v>
      </c>
      <c r="K149" s="13" t="inlineStr">
        <is>
          <t>no</t>
        </is>
      </c>
      <c r="L149" s="16" t="inlineStr">
        <is>
          <t>—</t>
        </is>
      </c>
      <c r="M149" s="11" t="inlineStr">
        <is>
          <t>—</t>
        </is>
      </c>
      <c r="N149" s="16" t="inlineStr">
        <is>
          <t>—</t>
        </is>
      </c>
      <c r="O149" s="16" t="inlineStr">
        <is>
          <t>—</t>
        </is>
      </c>
      <c r="P149" s="16" t="inlineStr">
        <is>
          <t>Tramway o Roosevelt Island (F)</t>
        </is>
      </c>
      <c r="Q149" s="16" t="inlineStr">
        <is>
          <t>Ultima obra de Louis Kahn, terminada 38 anos despues de su muerte: granito, platanos y una 'sala' abierta al rio apuntando a Manhattan. Arquitectura moderna de primer orden, gratis y vacia.</t>
        </is>
      </c>
      <c r="R149" s="16" t="inlineStr">
        <is>
          <t>1 FDR Four Freedoms Park, Roosevelt Island</t>
        </is>
      </c>
      <c r="S149" s="17" t="inlineStr">
        <is>
          <t>Día 9 · dom 6/9</t>
        </is>
      </c>
      <c r="T149" s="18" t="inlineStr">
        <is>
          <t>Abrir ↗</t>
        </is>
      </c>
      <c r="U149" s="21" t="inlineStr">
        <is>
          <t>otros</t>
        </is>
      </c>
      <c r="V149" s="20" t="inlineStr"/>
    </row>
    <row r="150" ht="46" customHeight="1">
      <c r="A150" s="9" t="inlineStr">
        <is>
          <t>Hudson Yards</t>
        </is>
      </c>
      <c r="B150" s="10" t="inlineStr">
        <is>
          <t>Arquitectura moderna</t>
        </is>
      </c>
      <c r="C150" s="11" t="inlineStr">
        <is>
          <t>Arquitectura</t>
        </is>
      </c>
      <c r="D150" s="11" t="inlineStr">
        <is>
          <t>Hudson Yards</t>
        </is>
      </c>
      <c r="E150" s="11" t="inlineStr">
        <is>
          <t>Manhattan</t>
        </is>
      </c>
      <c r="F150" s="12" t="n">
        <v>1</v>
      </c>
      <c r="G150" s="12" t="n">
        <v>1</v>
      </c>
      <c r="H150" s="13">
        <f>IF(AND(F150=2,G150=2),"AMBOS",IF(AND(F150=2,G150&lt;2),"solo JP",IF(AND(F150&lt;2,G150=2),"solo Thais","-")))</f>
        <v/>
      </c>
      <c r="I150" s="14" t="n">
        <v>0</v>
      </c>
      <c r="J150" s="15" t="n">
        <v>0.75</v>
      </c>
      <c r="K150" s="13" t="inlineStr">
        <is>
          <t>SÍ</t>
        </is>
      </c>
      <c r="L150" s="16" t="inlineStr">
        <is>
          <t>—</t>
        </is>
      </c>
      <c r="M150" s="11" t="inlineStr">
        <is>
          <t>—</t>
        </is>
      </c>
      <c r="N150" s="16" t="inlineStr">
        <is>
          <t>—</t>
        </is>
      </c>
      <c r="O150" s="16" t="inlineStr">
        <is>
          <t>—</t>
        </is>
      </c>
      <c r="P150" s="16" t="inlineStr">
        <is>
          <t>34 St-Hudson Yards (7)</t>
        </is>
      </c>
      <c r="Q150" s="16" t="inlineStr">
        <is>
          <t>El complejo entero: el Vessel, The Shed y el mall. Es el arranque natural del High Line.</t>
        </is>
      </c>
      <c r="R150" s="16" t="inlineStr">
        <is>
          <t>20 Hudson Yards</t>
        </is>
      </c>
      <c r="S150" s="16" t="inlineStr">
        <is>
          <t>—</t>
        </is>
      </c>
      <c r="T150" s="18" t="inlineStr">
        <is>
          <t>Abrir ↗</t>
        </is>
      </c>
      <c r="U150" s="19" t="inlineStr">
        <is>
          <t>lista google</t>
        </is>
      </c>
      <c r="V150" s="20" t="inlineStr"/>
    </row>
    <row r="151" ht="46" customHeight="1">
      <c r="A151" s="9" t="inlineStr">
        <is>
          <t>Lincoln Center (campus y plaza)</t>
        </is>
      </c>
      <c r="B151" s="10" t="inlineStr">
        <is>
          <t>Arquitectura moderna</t>
        </is>
      </c>
      <c r="C151" s="11" t="inlineStr">
        <is>
          <t>Arquitectura</t>
        </is>
      </c>
      <c r="D151" s="11" t="inlineStr">
        <is>
          <t>Upper West Side</t>
        </is>
      </c>
      <c r="E151" s="11" t="inlineStr">
        <is>
          <t>Manhattan</t>
        </is>
      </c>
      <c r="F151" s="12" t="n">
        <v>2</v>
      </c>
      <c r="G151" s="12" t="n">
        <v>2</v>
      </c>
      <c r="H151" s="13">
        <f>IF(AND(F151=2,G151=2),"AMBOS",IF(AND(F151=2,G151&lt;2),"solo JP",IF(AND(F151&lt;2,G151=2),"solo Thais","-")))</f>
        <v/>
      </c>
      <c r="I151" s="14" t="n">
        <v>0</v>
      </c>
      <c r="J151" s="15" t="n">
        <v>0.5</v>
      </c>
      <c r="K151" s="13" t="inlineStr">
        <is>
          <t>SÍ</t>
        </is>
      </c>
      <c r="L151" s="16" t="inlineStr">
        <is>
          <t>—</t>
        </is>
      </c>
      <c r="M151" s="11" t="inlineStr">
        <is>
          <t>—</t>
        </is>
      </c>
      <c r="N151" s="16" t="inlineStr">
        <is>
          <t>—</t>
        </is>
      </c>
      <c r="O151" s="16" t="inlineStr">
        <is>
          <t>—</t>
        </is>
      </c>
      <c r="P151" s="16" t="inlineStr">
        <is>
          <t>66 St-Lincoln Center (1)</t>
        </is>
      </c>
      <c r="Q151" s="16" t="inlineStr">
        <is>
          <t>La plaza de Revson iluminada de noche, los chandeliers del Met Opera a traves del vidrio y el espejo de agua con el Henry Moore. De noche, vacia, es puro cine. A 10 cuadras de The Beacon.</t>
        </is>
      </c>
      <c r="R151" s="16" t="inlineStr">
        <is>
          <t>Columbus Ave entre 62 y 66</t>
        </is>
      </c>
      <c r="S151" s="17" t="inlineStr">
        <is>
          <t>Día 6 · jue 3/9</t>
        </is>
      </c>
      <c r="T151" s="18" t="inlineStr">
        <is>
          <t>Abrir ↗</t>
        </is>
      </c>
      <c r="U151" s="19" t="inlineStr">
        <is>
          <t>lista google</t>
        </is>
      </c>
      <c r="V151" s="20" t="inlineStr"/>
    </row>
    <row r="152" ht="46" customHeight="1">
      <c r="A152" s="9" t="inlineStr">
        <is>
          <t>Little Island</t>
        </is>
      </c>
      <c r="B152" s="10" t="inlineStr">
        <is>
          <t>Arquitectura moderna</t>
        </is>
      </c>
      <c r="C152" s="11" t="inlineStr">
        <is>
          <t>Arquitectura</t>
        </is>
      </c>
      <c r="D152" s="11" t="inlineStr">
        <is>
          <t>Meatpacking</t>
        </is>
      </c>
      <c r="E152" s="11" t="inlineStr">
        <is>
          <t>Manhattan</t>
        </is>
      </c>
      <c r="F152" s="12" t="n">
        <v>2</v>
      </c>
      <c r="G152" s="12" t="n">
        <v>1</v>
      </c>
      <c r="H152" s="13">
        <f>IF(AND(F152=2,G152=2),"AMBOS",IF(AND(F152=2,G152&lt;2),"solo JP",IF(AND(F152&lt;2,G152=2),"solo Thais","-")))</f>
        <v/>
      </c>
      <c r="I152" s="14" t="n">
        <v>0</v>
      </c>
      <c r="J152" s="15" t="n">
        <v>1</v>
      </c>
      <c r="K152" s="13" t="inlineStr">
        <is>
          <t>SÍ</t>
        </is>
      </c>
      <c r="L152" s="16" t="inlineStr">
        <is>
          <t>—</t>
        </is>
      </c>
      <c r="M152" s="11" t="inlineStr">
        <is>
          <t>—</t>
        </is>
      </c>
      <c r="N152" s="16" t="inlineStr">
        <is>
          <t>—</t>
        </is>
      </c>
      <c r="O152" s="16" t="inlineStr">
        <is>
          <t>—</t>
        </is>
      </c>
      <c r="P152" s="16" t="inlineStr">
        <is>
          <t>14 St (A,C,E), 8 Av (L)</t>
        </is>
      </c>
      <c r="Q152" s="16" t="inlineStr">
        <is>
          <t>Parque flotante de Heatherwick sobre 132 'macetas' de hormigon de distinta altura. Gratis; en temporada alta puede pedir entrada con horario para la tarde-noche. Pegado al extremo sur del High Line.</t>
        </is>
      </c>
      <c r="R152" s="16" t="inlineStr">
        <is>
          <t>Pier 55, Hudson River Park, W 13th St</t>
        </is>
      </c>
      <c r="S152" s="17" t="inlineStr">
        <is>
          <t>Día 7 · vie 4/9</t>
        </is>
      </c>
      <c r="T152" s="18" t="inlineStr">
        <is>
          <t>Abrir ↗</t>
        </is>
      </c>
      <c r="U152" s="21" t="inlineStr">
        <is>
          <t>otros</t>
        </is>
      </c>
      <c r="V152" s="20" t="inlineStr"/>
    </row>
    <row r="153" ht="46" customHeight="1">
      <c r="A153" s="9" t="inlineStr">
        <is>
          <t>Oculus / WTC Transportation Hub</t>
        </is>
      </c>
      <c r="B153" s="10" t="inlineStr">
        <is>
          <t>Arquitectura moderna</t>
        </is>
      </c>
      <c r="C153" s="11" t="inlineStr">
        <is>
          <t>Arquitectura</t>
        </is>
      </c>
      <c r="D153" s="11" t="inlineStr">
        <is>
          <t>Financial District</t>
        </is>
      </c>
      <c r="E153" s="11" t="inlineStr">
        <is>
          <t>Manhattan</t>
        </is>
      </c>
      <c r="F153" s="12" t="n">
        <v>2</v>
      </c>
      <c r="G153" s="12" t="n">
        <v>0</v>
      </c>
      <c r="H153" s="13">
        <f>IF(AND(F153=2,G153=2),"AMBOS",IF(AND(F153=2,G153&lt;2),"solo JP",IF(AND(F153&lt;2,G153=2),"solo Thais","-")))</f>
        <v/>
      </c>
      <c r="I153" s="14" t="n">
        <v>0</v>
      </c>
      <c r="J153" s="15" t="n">
        <v>0.35</v>
      </c>
      <c r="K153" s="13" t="inlineStr">
        <is>
          <t>SÍ</t>
        </is>
      </c>
      <c r="L153" s="16" t="inlineStr">
        <is>
          <t>—</t>
        </is>
      </c>
      <c r="M153" s="11" t="inlineStr">
        <is>
          <t>—</t>
        </is>
      </c>
      <c r="N153" s="16" t="inlineStr">
        <is>
          <t>—</t>
        </is>
      </c>
      <c r="O153" s="16" t="inlineStr">
        <is>
          <t>—</t>
        </is>
      </c>
      <c r="P153" s="16" t="inlineStr">
        <is>
          <t>WTC Cortlandt (1), Fulton St</t>
        </is>
      </c>
      <c r="Q153" s="16" t="inlineStr">
        <is>
          <t>Calatrava. Se puede discutir si es bueno o si costo cuatro mil millones de dolares de mas, pero hay que verlo. Se cruza caminando camino al 9/11 Memorial.</t>
        </is>
      </c>
      <c r="R153" s="16" t="inlineStr">
        <is>
          <t>Church St &amp; Fulton St</t>
        </is>
      </c>
      <c r="S153" s="17" t="inlineStr">
        <is>
          <t>Día 6 · jue 3/9</t>
        </is>
      </c>
      <c r="T153" s="18" t="inlineStr">
        <is>
          <t>Abrir ↗</t>
        </is>
      </c>
      <c r="U153" s="19" t="inlineStr">
        <is>
          <t>lista google</t>
        </is>
      </c>
      <c r="V153" s="20" t="inlineStr">
        <is>
          <t>SÍ</t>
        </is>
      </c>
    </row>
    <row r="154" ht="46" customHeight="1">
      <c r="A154" s="9" t="inlineStr">
        <is>
          <t>Rockefeller Center</t>
        </is>
      </c>
      <c r="B154" s="10" t="inlineStr">
        <is>
          <t>Arquitectura moderna</t>
        </is>
      </c>
      <c r="C154" s="11" t="inlineStr">
        <is>
          <t>Arquitectura</t>
        </is>
      </c>
      <c r="D154" s="11" t="inlineStr">
        <is>
          <t>Midtown</t>
        </is>
      </c>
      <c r="E154" s="11" t="inlineStr">
        <is>
          <t>Manhattan</t>
        </is>
      </c>
      <c r="F154" s="12" t="n">
        <v>1</v>
      </c>
      <c r="G154" s="12" t="n">
        <v>1</v>
      </c>
      <c r="H154" s="13">
        <f>IF(AND(F154=2,G154=2),"AMBOS",IF(AND(F154=2,G154&lt;2),"solo JP",IF(AND(F154&lt;2,G154=2),"solo Thais","-")))</f>
        <v/>
      </c>
      <c r="I154" s="14" t="n">
        <v>0</v>
      </c>
      <c r="J154" s="15" t="n">
        <v>0.75</v>
      </c>
      <c r="K154" s="13" t="inlineStr">
        <is>
          <t>SÍ</t>
        </is>
      </c>
      <c r="L154" s="16" t="inlineStr">
        <is>
          <t>—</t>
        </is>
      </c>
      <c r="M154" s="11" t="inlineStr">
        <is>
          <t>—</t>
        </is>
      </c>
      <c r="N154" s="16" t="inlineStr">
        <is>
          <t>—</t>
        </is>
      </c>
      <c r="O154" s="16" t="inlineStr">
        <is>
          <t>—</t>
        </is>
      </c>
      <c r="P154" s="16" t="inlineStr">
        <is>
          <t>47-50 Sts-Rockefeller Ctr (B,D,F,M)</t>
        </is>
      </c>
      <c r="Q154" s="16" t="inlineStr">
        <is>
          <t>El conjunto art déco a nivel de calle: la plaza hundida, el Atlas y el mural de Prometeo. Gratis; el Top of the Rock es aparte.</t>
        </is>
      </c>
      <c r="R154" s="16" t="inlineStr">
        <is>
          <t>45 Rockefeller Plaza</t>
        </is>
      </c>
      <c r="S154" s="16" t="inlineStr">
        <is>
          <t>—</t>
        </is>
      </c>
      <c r="T154" s="18" t="inlineStr">
        <is>
          <t>Abrir ↗</t>
        </is>
      </c>
      <c r="U154" s="19" t="inlineStr">
        <is>
          <t>lista google</t>
        </is>
      </c>
      <c r="V154" s="20" t="inlineStr"/>
    </row>
    <row r="155" ht="46" customHeight="1">
      <c r="A155" s="9" t="inlineStr">
        <is>
          <t>TWA Hotel (terminal de Saarinen)</t>
        </is>
      </c>
      <c r="B155" s="10" t="inlineStr">
        <is>
          <t>Arquitectura moderna</t>
        </is>
      </c>
      <c r="C155" s="11" t="inlineStr">
        <is>
          <t>Arquitectura</t>
        </is>
      </c>
      <c r="D155" s="11" t="inlineStr">
        <is>
          <t>JFK Airport</t>
        </is>
      </c>
      <c r="E155" s="11" t="inlineStr">
        <is>
          <t>Queens</t>
        </is>
      </c>
      <c r="F155" s="12" t="n">
        <v>0</v>
      </c>
      <c r="G155" s="12" t="n">
        <v>0</v>
      </c>
      <c r="H155" s="13">
        <f>IF(AND(F155=2,G155=2),"AMBOS",IF(AND(F155=2,G155&lt;2),"solo JP",IF(AND(F155&lt;2,G155=2),"solo Thais","-")))</f>
        <v/>
      </c>
      <c r="I155" s="14" t="n">
        <v>9</v>
      </c>
      <c r="J155" s="15" t="n">
        <v>3</v>
      </c>
      <c r="K155" s="13" t="inlineStr">
        <is>
          <t>no</t>
        </is>
      </c>
      <c r="L155" s="16" t="inlineStr">
        <is>
          <t>—</t>
        </is>
      </c>
      <c r="M155" s="11" t="inlineStr">
        <is>
          <t>—</t>
        </is>
      </c>
      <c r="N155" s="16" t="inlineStr">
        <is>
          <t>—</t>
        </is>
      </c>
      <c r="O155" s="16" t="inlineStr">
        <is>
          <t>—</t>
        </is>
      </c>
      <c r="P155" s="16" t="inlineStr">
        <is>
          <t>A o E a Howard Beach/Jamaica + AirTrain</t>
        </is>
      </c>
      <c r="Q155" s="16" t="inlineStr">
        <is>
          <t>La terminal de Eero Saarinen de 1962 restaurada entera: la Sunken Lounge, el tubo de conexion y un Lockheed Constellation de 1958 convertido en bar. No hace falta ser huesped ni pagar entrada.</t>
        </is>
      </c>
      <c r="R155" s="16" t="inlineStr">
        <is>
          <t>One Idlewild Dr, JFK</t>
        </is>
      </c>
      <c r="S155" s="16" t="inlineStr">
        <is>
          <t>—</t>
        </is>
      </c>
      <c r="T155" s="18" t="inlineStr">
        <is>
          <t>Abrir ↗</t>
        </is>
      </c>
      <c r="U155" s="21" t="inlineStr">
        <is>
          <t>otros</t>
        </is>
      </c>
      <c r="V155" s="20" t="inlineStr"/>
    </row>
    <row r="156" ht="46" customHeight="1">
      <c r="A156" s="9" t="inlineStr">
        <is>
          <t>The Vessel</t>
        </is>
      </c>
      <c r="B156" s="10" t="inlineStr">
        <is>
          <t>Arquitectura moderna</t>
        </is>
      </c>
      <c r="C156" s="11" t="inlineStr">
        <is>
          <t>Arquitectura</t>
        </is>
      </c>
      <c r="D156" s="11" t="inlineStr">
        <is>
          <t>Hudson Yards</t>
        </is>
      </c>
      <c r="E156" s="11" t="inlineStr">
        <is>
          <t>Manhattan</t>
        </is>
      </c>
      <c r="F156" s="12" t="n">
        <v>2</v>
      </c>
      <c r="G156" s="12" t="n">
        <v>2</v>
      </c>
      <c r="H156" s="13">
        <f>IF(AND(F156=2,G156=2),"AMBOS",IF(AND(F156=2,G156&lt;2),"solo JP",IF(AND(F156&lt;2,G156=2),"solo Thais","-")))</f>
        <v/>
      </c>
      <c r="I156" s="14" t="n">
        <v>10</v>
      </c>
      <c r="J156" s="15" t="n">
        <v>0.75</v>
      </c>
      <c r="K156" s="13" t="inlineStr">
        <is>
          <t>no</t>
        </is>
      </c>
      <c r="L156" s="16" t="inlineStr">
        <is>
          <t>lunes a domingo: 10:00–21:00</t>
        </is>
      </c>
      <c r="M156" s="11" t="inlineStr">
        <is>
          <t>—</t>
        </is>
      </c>
      <c r="N156" s="16" t="inlineStr">
        <is>
          <t>—</t>
        </is>
      </c>
      <c r="O156" s="16" t="inlineStr">
        <is>
          <t>timed ticket online (hay en el dia, pero mejor asegurar)</t>
        </is>
      </c>
      <c r="P156" s="16" t="inlineStr">
        <is>
          <t>34 St-Hudson Yards (7)</t>
        </is>
      </c>
      <c r="Q156" s="16" t="inlineStr">
        <is>
          <t>La escalera infinita de Heatherwick: 154 tramos entrelazados, 2.500 escalones. Subirla es la unica forma de entenderla, y esta al pie del arranque del High Line.</t>
        </is>
      </c>
      <c r="R156" s="16" t="inlineStr">
        <is>
          <t>20 Hudson Yards</t>
        </is>
      </c>
      <c r="S156" s="17" t="inlineStr">
        <is>
          <t>Día 7 · vie 4/9</t>
        </is>
      </c>
      <c r="T156" s="18" t="inlineStr">
        <is>
          <t>Abrir ↗</t>
        </is>
      </c>
      <c r="U156" s="19" t="inlineStr">
        <is>
          <t>lista google</t>
        </is>
      </c>
      <c r="V156" s="20" t="inlineStr">
        <is>
          <t>SÍ</t>
        </is>
      </c>
    </row>
    <row r="157" ht="46" customHeight="1">
      <c r="A157" s="9" t="inlineStr">
        <is>
          <t>Cannon's Walk</t>
        </is>
      </c>
      <c r="B157" s="10" t="inlineStr">
        <is>
          <t>Casa y calle histórica</t>
        </is>
      </c>
      <c r="C157" s="11" t="inlineStr">
        <is>
          <t>Arquitectura</t>
        </is>
      </c>
      <c r="D157" s="11" t="inlineStr">
        <is>
          <t>South Street Seaport</t>
        </is>
      </c>
      <c r="E157" s="11" t="inlineStr">
        <is>
          <t>Manhattan</t>
        </is>
      </c>
      <c r="F157" s="12" t="n">
        <v>1</v>
      </c>
      <c r="G157" s="12" t="n">
        <v>1</v>
      </c>
      <c r="H157" s="13">
        <f>IF(AND(F157=2,G157=2),"AMBOS",IF(AND(F157=2,G157&lt;2),"solo JP",IF(AND(F157&lt;2,G157=2),"solo Thais","-")))</f>
        <v/>
      </c>
      <c r="I157" s="14" t="n">
        <v>0</v>
      </c>
      <c r="J157" s="15" t="n">
        <v>0.3</v>
      </c>
      <c r="K157" s="13" t="inlineStr">
        <is>
          <t>no</t>
        </is>
      </c>
      <c r="L157" s="16" t="inlineStr">
        <is>
          <t>—</t>
        </is>
      </c>
      <c r="M157" s="11" t="inlineStr">
        <is>
          <t>—</t>
        </is>
      </c>
      <c r="N157" s="16" t="inlineStr">
        <is>
          <t>—</t>
        </is>
      </c>
      <c r="O157" s="16" t="inlineStr">
        <is>
          <t>—</t>
        </is>
      </c>
      <c r="P157" s="16" t="inlineStr">
        <is>
          <t>Fulton St (2,3,4,5,A,C,J,Z)</t>
        </is>
      </c>
      <c r="Q157" s="16" t="inlineStr">
        <is>
          <t>Callejón adoquinado del Seaport entre edificios del siglo XIX. Atajo con encanto.</t>
        </is>
      </c>
      <c r="R157" s="16" t="inlineStr"/>
      <c r="S157" s="16" t="inlineStr">
        <is>
          <t>—</t>
        </is>
      </c>
      <c r="T157" s="18" t="inlineStr">
        <is>
          <t>Abrir ↗</t>
        </is>
      </c>
      <c r="U157" s="19" t="inlineStr">
        <is>
          <t>lista google</t>
        </is>
      </c>
      <c r="V157" s="20" t="inlineStr"/>
    </row>
    <row r="158" ht="46" customHeight="1">
      <c r="A158" s="9" t="inlineStr">
        <is>
          <t>Doyers St</t>
        </is>
      </c>
      <c r="B158" s="10" t="inlineStr">
        <is>
          <t>Casa y calle histórica</t>
        </is>
      </c>
      <c r="C158" s="11" t="inlineStr">
        <is>
          <t>Arquitectura</t>
        </is>
      </c>
      <c r="D158" s="11" t="inlineStr">
        <is>
          <t>Chinatown</t>
        </is>
      </c>
      <c r="E158" s="11" t="inlineStr">
        <is>
          <t>Manhattan</t>
        </is>
      </c>
      <c r="F158" s="12" t="n">
        <v>1</v>
      </c>
      <c r="G158" s="12" t="n">
        <v>1</v>
      </c>
      <c r="H158" s="13">
        <f>IF(AND(F158=2,G158=2),"AMBOS",IF(AND(F158=2,G158&lt;2),"solo JP",IF(AND(F158&lt;2,G158=2),"solo Thais","-")))</f>
        <v/>
      </c>
      <c r="I158" s="14" t="n">
        <v>0</v>
      </c>
      <c r="J158" s="15" t="n">
        <v>0.25</v>
      </c>
      <c r="K158" s="13" t="inlineStr">
        <is>
          <t>no</t>
        </is>
      </c>
      <c r="L158" s="16" t="inlineStr">
        <is>
          <t>—</t>
        </is>
      </c>
      <c r="M158" s="11" t="inlineStr">
        <is>
          <t>—</t>
        </is>
      </c>
      <c r="N158" s="16" t="inlineStr">
        <is>
          <t>—</t>
        </is>
      </c>
      <c r="O158" s="16" t="inlineStr">
        <is>
          <t>—</t>
        </is>
      </c>
      <c r="P158" s="16" t="inlineStr">
        <is>
          <t>Canal St (6,N,Q,R,W,J,Z)</t>
        </is>
      </c>
      <c r="Q158" s="16" t="inlineStr">
        <is>
          <t>La curva imposible del 'Bloody Angle', con el mural. Media cuadra que resume Chinatown.</t>
        </is>
      </c>
      <c r="R158" s="16" t="inlineStr"/>
      <c r="S158" s="16" t="inlineStr">
        <is>
          <t>—</t>
        </is>
      </c>
      <c r="T158" s="18" t="inlineStr">
        <is>
          <t>Abrir ↗</t>
        </is>
      </c>
      <c r="U158" s="19" t="inlineStr">
        <is>
          <t>lista google</t>
        </is>
      </c>
      <c r="V158" s="20" t="inlineStr"/>
    </row>
    <row r="159" ht="46" customHeight="1">
      <c r="A159" s="9" t="inlineStr">
        <is>
          <t>Fraunces Tavern</t>
        </is>
      </c>
      <c r="B159" s="10" t="inlineStr">
        <is>
          <t>Casa y calle histórica</t>
        </is>
      </c>
      <c r="C159" s="11" t="inlineStr">
        <is>
          <t>Arquitectura</t>
        </is>
      </c>
      <c r="D159" s="11" t="inlineStr">
        <is>
          <t>Financial District</t>
        </is>
      </c>
      <c r="E159" s="11" t="inlineStr">
        <is>
          <t>Manhattan</t>
        </is>
      </c>
      <c r="F159" s="12" t="n">
        <v>1</v>
      </c>
      <c r="G159" s="12" t="n">
        <v>1</v>
      </c>
      <c r="H159" s="13">
        <f>IF(AND(F159=2,G159=2),"AMBOS",IF(AND(F159=2,G159&lt;2),"solo JP",IF(AND(F159&lt;2,G159=2),"solo Thais","-")))</f>
        <v/>
      </c>
      <c r="I159" s="14" t="n">
        <v>20</v>
      </c>
      <c r="J159" s="15" t="n">
        <v>1</v>
      </c>
      <c r="K159" s="13" t="inlineStr">
        <is>
          <t>no</t>
        </is>
      </c>
      <c r="L159" s="16" t="inlineStr">
        <is>
          <t>—</t>
        </is>
      </c>
      <c r="M159" s="11" t="inlineStr">
        <is>
          <t>—</t>
        </is>
      </c>
      <c r="N159" s="16" t="inlineStr">
        <is>
          <t>—</t>
        </is>
      </c>
      <c r="O159" s="16" t="inlineStr">
        <is>
          <t>—</t>
        </is>
      </c>
      <c r="P159" s="16" t="inlineStr">
        <is>
          <t>Broad St (J,Z)</t>
        </is>
      </c>
      <c r="Q159" s="16" t="inlineStr">
        <is>
          <t>La taberna de 1762 donde Washington se despidió de sus oficiales. Museo arriba, bar funcionando abajo.</t>
        </is>
      </c>
      <c r="R159" s="16" t="inlineStr">
        <is>
          <t>54 Pearl St</t>
        </is>
      </c>
      <c r="S159" s="16" t="inlineStr">
        <is>
          <t>—</t>
        </is>
      </c>
      <c r="T159" s="18" t="inlineStr">
        <is>
          <t>Abrir ↗</t>
        </is>
      </c>
      <c r="U159" s="19" t="inlineStr">
        <is>
          <t>lista google</t>
        </is>
      </c>
      <c r="V159" s="20" t="inlineStr"/>
    </row>
    <row r="160" ht="46" customHeight="1">
      <c r="A160" s="9" t="inlineStr">
        <is>
          <t>Prince St</t>
        </is>
      </c>
      <c r="B160" s="10" t="inlineStr">
        <is>
          <t>Casa y calle histórica</t>
        </is>
      </c>
      <c r="C160" s="11" t="inlineStr">
        <is>
          <t>Arquitectura</t>
        </is>
      </c>
      <c r="D160" s="11" t="inlineStr">
        <is>
          <t>SoHo</t>
        </is>
      </c>
      <c r="E160" s="11" t="inlineStr">
        <is>
          <t>Manhattan</t>
        </is>
      </c>
      <c r="F160" s="12" t="n">
        <v>1</v>
      </c>
      <c r="G160" s="12" t="n">
        <v>1</v>
      </c>
      <c r="H160" s="13">
        <f>IF(AND(F160=2,G160=2),"AMBOS",IF(AND(F160=2,G160&lt;2),"solo JP",IF(AND(F160&lt;2,G160=2),"solo Thais","-")))</f>
        <v/>
      </c>
      <c r="I160" s="14" t="n">
        <v>0</v>
      </c>
      <c r="J160" s="15" t="n">
        <v>0.5</v>
      </c>
      <c r="K160" s="13" t="inlineStr">
        <is>
          <t>SÍ</t>
        </is>
      </c>
      <c r="L160" s="16" t="inlineStr">
        <is>
          <t>—</t>
        </is>
      </c>
      <c r="M160" s="11" t="inlineStr">
        <is>
          <t>—</t>
        </is>
      </c>
      <c r="N160" s="16" t="inlineStr">
        <is>
          <t>—</t>
        </is>
      </c>
      <c r="O160" s="16" t="inlineStr">
        <is>
          <t>—</t>
        </is>
      </c>
      <c r="P160" s="16" t="inlineStr">
        <is>
          <t>Prince St (N,R,W)</t>
        </is>
      </c>
      <c r="Q160" s="16" t="inlineStr">
        <is>
          <t>El eje comercial del SoHo, entre fachadas de hierro fundido y puestos de arte en la vereda.</t>
        </is>
      </c>
      <c r="R160" s="16" t="inlineStr"/>
      <c r="S160" s="16" t="inlineStr">
        <is>
          <t>—</t>
        </is>
      </c>
      <c r="T160" s="18" t="inlineStr">
        <is>
          <t>Abrir ↗</t>
        </is>
      </c>
      <c r="U160" s="19" t="inlineStr">
        <is>
          <t>lista google</t>
        </is>
      </c>
      <c r="V160" s="20" t="inlineStr"/>
    </row>
    <row r="161" ht="46" customHeight="1">
      <c r="A161" s="9" t="inlineStr">
        <is>
          <t>Roosevelt Island Lighthouse</t>
        </is>
      </c>
      <c r="B161" s="10" t="inlineStr">
        <is>
          <t>Casa y calle histórica</t>
        </is>
      </c>
      <c r="C161" s="11" t="inlineStr">
        <is>
          <t>Arquitectura</t>
        </is>
      </c>
      <c r="D161" s="11" t="inlineStr">
        <is>
          <t>Roosevelt Island</t>
        </is>
      </c>
      <c r="E161" s="11" t="inlineStr">
        <is>
          <t>Manhattan</t>
        </is>
      </c>
      <c r="F161" s="12" t="n">
        <v>1</v>
      </c>
      <c r="G161" s="12" t="n">
        <v>1</v>
      </c>
      <c r="H161" s="13">
        <f>IF(AND(F161=2,G161=2),"AMBOS",IF(AND(F161=2,G161&lt;2),"solo JP",IF(AND(F161&lt;2,G161=2),"solo Thais","-")))</f>
        <v/>
      </c>
      <c r="I161" s="14" t="n">
        <v>0</v>
      </c>
      <c r="J161" s="15" t="n">
        <v>0.4</v>
      </c>
      <c r="K161" s="13" t="inlineStr">
        <is>
          <t>no</t>
        </is>
      </c>
      <c r="L161" s="16" t="inlineStr">
        <is>
          <t>—</t>
        </is>
      </c>
      <c r="M161" s="11" t="inlineStr">
        <is>
          <t>—</t>
        </is>
      </c>
      <c r="N161" s="16" t="inlineStr">
        <is>
          <t>—</t>
        </is>
      </c>
      <c r="O161" s="16" t="inlineStr">
        <is>
          <t>—</t>
        </is>
      </c>
      <c r="P161" s="16" t="inlineStr">
        <is>
          <t>Teleférico o F a Roosevelt Island</t>
        </is>
      </c>
      <c r="Q161" s="16" t="inlineStr">
        <is>
          <t>Faro de 1872 en la punta NORTE de la isla (el FDR Park está en la sur): 20 minutos de caminata y casi nadie.</t>
        </is>
      </c>
      <c r="R161" s="16" t="inlineStr"/>
      <c r="S161" s="16" t="inlineStr">
        <is>
          <t>—</t>
        </is>
      </c>
      <c r="T161" s="18" t="inlineStr">
        <is>
          <t>Abrir ↗</t>
        </is>
      </c>
      <c r="U161" s="19" t="inlineStr">
        <is>
          <t>lista google</t>
        </is>
      </c>
      <c r="V161" s="20" t="inlineStr"/>
    </row>
    <row r="162" ht="46" customHeight="1">
      <c r="A162" s="9" t="inlineStr">
        <is>
          <t>Smallpox Memorial Hospital</t>
        </is>
      </c>
      <c r="B162" s="10" t="inlineStr">
        <is>
          <t>Casa y calle histórica</t>
        </is>
      </c>
      <c r="C162" s="11" t="inlineStr">
        <is>
          <t>Arquitectura</t>
        </is>
      </c>
      <c r="D162" s="11" t="inlineStr">
        <is>
          <t>Roosevelt Island</t>
        </is>
      </c>
      <c r="E162" s="11" t="inlineStr">
        <is>
          <t>Manhattan</t>
        </is>
      </c>
      <c r="F162" s="12" t="n">
        <v>1</v>
      </c>
      <c r="G162" s="12" t="n">
        <v>1</v>
      </c>
      <c r="H162" s="13">
        <f>IF(AND(F162=2,G162=2),"AMBOS",IF(AND(F162=2,G162&lt;2),"solo JP",IF(AND(F162&lt;2,G162=2),"solo Thais","-")))</f>
        <v/>
      </c>
      <c r="I162" s="14" t="n">
        <v>0</v>
      </c>
      <c r="J162" s="15" t="n">
        <v>0.3</v>
      </c>
      <c r="K162" s="13" t="inlineStr">
        <is>
          <t>no</t>
        </is>
      </c>
      <c r="L162" s="16" t="inlineStr">
        <is>
          <t>—</t>
        </is>
      </c>
      <c r="M162" s="11" t="inlineStr">
        <is>
          <t>—</t>
        </is>
      </c>
      <c r="N162" s="16" t="inlineStr">
        <is>
          <t>—</t>
        </is>
      </c>
      <c r="O162" s="16" t="inlineStr">
        <is>
          <t>—</t>
        </is>
      </c>
      <c r="P162" s="16" t="inlineStr">
        <is>
          <t>Teleférico o F a Roosevelt Island</t>
        </is>
      </c>
      <c r="Q162" s="16" t="inlineStr">
        <is>
          <t>La única ruina oficialmente protegida de NY: hospital gótico de 1856, iluminado de noche. Se pasa camino al FDR Park.</t>
        </is>
      </c>
      <c r="R162" s="16" t="inlineStr"/>
      <c r="S162" s="16" t="inlineStr">
        <is>
          <t>—</t>
        </is>
      </c>
      <c r="T162" s="18" t="inlineStr">
        <is>
          <t>Abrir ↗</t>
        </is>
      </c>
      <c r="U162" s="19" t="inlineStr">
        <is>
          <t>lista google</t>
        </is>
      </c>
      <c r="V162" s="20" t="inlineStr"/>
    </row>
    <row r="163" ht="46" customHeight="1">
      <c r="A163" s="9" t="inlineStr">
        <is>
          <t>Stone St</t>
        </is>
      </c>
      <c r="B163" s="10" t="inlineStr">
        <is>
          <t>Casa y calle histórica</t>
        </is>
      </c>
      <c r="C163" s="11" t="inlineStr">
        <is>
          <t>Arquitectura</t>
        </is>
      </c>
      <c r="D163" s="11" t="inlineStr">
        <is>
          <t>Financial District</t>
        </is>
      </c>
      <c r="E163" s="11" t="inlineStr">
        <is>
          <t>Manhattan</t>
        </is>
      </c>
      <c r="F163" s="12" t="n">
        <v>1</v>
      </c>
      <c r="G163" s="12" t="n">
        <v>1</v>
      </c>
      <c r="H163" s="13">
        <f>IF(AND(F163=2,G163=2),"AMBOS",IF(AND(F163=2,G163&lt;2),"solo JP",IF(AND(F163&lt;2,G163=2),"solo Thais","-")))</f>
        <v/>
      </c>
      <c r="I163" s="14" t="n">
        <v>0</v>
      </c>
      <c r="J163" s="15" t="n">
        <v>0.5</v>
      </c>
      <c r="K163" s="13" t="inlineStr">
        <is>
          <t>no</t>
        </is>
      </c>
      <c r="L163" s="16" t="inlineStr">
        <is>
          <t>—</t>
        </is>
      </c>
      <c r="M163" s="11" t="inlineStr">
        <is>
          <t>—</t>
        </is>
      </c>
      <c r="N163" s="16" t="inlineStr">
        <is>
          <t>—</t>
        </is>
      </c>
      <c r="O163" s="16" t="inlineStr">
        <is>
          <t>—</t>
        </is>
      </c>
      <c r="P163" s="16" t="inlineStr">
        <is>
          <t>Broad St (J,Z)</t>
        </is>
      </c>
      <c r="Q163" s="16" t="inlineStr">
        <is>
          <t>Calle adoquinada peatonal, con las mesas de los bares afuera. De 5 a 8 PM es el after office más lindo de FiDi.</t>
        </is>
      </c>
      <c r="R163" s="16" t="inlineStr"/>
      <c r="S163" s="16" t="inlineStr">
        <is>
          <t>—</t>
        </is>
      </c>
      <c r="T163" s="18" t="inlineStr">
        <is>
          <t>Abrir ↗</t>
        </is>
      </c>
      <c r="U163" s="19" t="inlineStr">
        <is>
          <t>lista google</t>
        </is>
      </c>
      <c r="V163" s="20" t="inlineStr"/>
    </row>
    <row r="164" ht="46" customHeight="1">
      <c r="A164" s="9" t="inlineStr">
        <is>
          <t>Strivers' Row</t>
        </is>
      </c>
      <c r="B164" s="10" t="inlineStr">
        <is>
          <t>Casa y calle histórica</t>
        </is>
      </c>
      <c r="C164" s="11" t="inlineStr">
        <is>
          <t>Arquitectura</t>
        </is>
      </c>
      <c r="D164" s="11" t="inlineStr">
        <is>
          <t>Harlem</t>
        </is>
      </c>
      <c r="E164" s="11" t="inlineStr">
        <is>
          <t>Manhattan</t>
        </is>
      </c>
      <c r="F164" s="12" t="n">
        <v>0</v>
      </c>
      <c r="G164" s="12" t="n">
        <v>0</v>
      </c>
      <c r="H164" s="13">
        <f>IF(AND(F164=2,G164=2),"AMBOS",IF(AND(F164=2,G164&lt;2),"solo JP",IF(AND(F164&lt;2,G164=2),"solo Thais","-")))</f>
        <v/>
      </c>
      <c r="I164" s="14" t="n">
        <v>0</v>
      </c>
      <c r="J164" s="15" t="n">
        <v>0.5</v>
      </c>
      <c r="K164" s="13" t="inlineStr">
        <is>
          <t>no</t>
        </is>
      </c>
      <c r="L164" s="16" t="inlineStr">
        <is>
          <t>—</t>
        </is>
      </c>
      <c r="M164" s="11" t="inlineStr">
        <is>
          <t>—</t>
        </is>
      </c>
      <c r="N164" s="16" t="inlineStr">
        <is>
          <t>—</t>
        </is>
      </c>
      <c r="O164" s="16" t="inlineStr">
        <is>
          <t>—</t>
        </is>
      </c>
      <c r="P164" s="16" t="inlineStr">
        <is>
          <t>135 St (B,C)</t>
        </is>
      </c>
      <c r="Q164" s="16" t="inlineStr">
        <is>
          <t>Dos cuadras de casas de 1891 disenadas por tres estudios distintos, con callejones traseros para caballos. Es la mejor arquitectura residencial de Manhattan y no hay nadie mirandola.</t>
        </is>
      </c>
      <c r="R164" s="16" t="inlineStr">
        <is>
          <t>W 138th-139th St entre Adam Clayton Powell y Frederick Douglass</t>
        </is>
      </c>
      <c r="S164" s="16" t="inlineStr">
        <is>
          <t>—</t>
        </is>
      </c>
      <c r="T164" s="18" t="inlineStr">
        <is>
          <t>Abrir ↗</t>
        </is>
      </c>
      <c r="U164" s="21" t="inlineStr">
        <is>
          <t>otros</t>
        </is>
      </c>
      <c r="V164" s="20" t="inlineStr"/>
    </row>
    <row r="165" ht="46" customHeight="1">
      <c r="A165" s="9" t="inlineStr">
        <is>
          <t>Vander Ende-Onderdonk House</t>
        </is>
      </c>
      <c r="B165" s="10" t="inlineStr">
        <is>
          <t>Casa y calle histórica</t>
        </is>
      </c>
      <c r="C165" s="11" t="inlineStr">
        <is>
          <t>Arquitectura</t>
        </is>
      </c>
      <c r="D165" s="11" t="inlineStr">
        <is>
          <t>Ridgewood</t>
        </is>
      </c>
      <c r="E165" s="11" t="inlineStr">
        <is>
          <t>Queens</t>
        </is>
      </c>
      <c r="F165" s="12" t="n">
        <v>0</v>
      </c>
      <c r="G165" s="12" t="n">
        <v>0</v>
      </c>
      <c r="H165" s="13">
        <f>IF(AND(F165=2,G165=2),"AMBOS",IF(AND(F165=2,G165&lt;2),"solo JP",IF(AND(F165&lt;2,G165=2),"solo Thais","-")))</f>
        <v/>
      </c>
      <c r="I165" s="14" t="n">
        <v>5</v>
      </c>
      <c r="J165" s="15" t="n">
        <v>0.75</v>
      </c>
      <c r="K165" s="13" t="inlineStr">
        <is>
          <t>no</t>
        </is>
      </c>
      <c r="L165" s="16" t="inlineStr">
        <is>
          <t>—</t>
        </is>
      </c>
      <c r="M165" s="11" t="inlineStr">
        <is>
          <t>—</t>
        </is>
      </c>
      <c r="N165" s="16" t="inlineStr">
        <is>
          <t>—</t>
        </is>
      </c>
      <c r="O165" s="16" t="inlineStr">
        <is>
          <t>—</t>
        </is>
      </c>
      <c r="P165" s="16" t="inlineStr">
        <is>
          <t>Jefferson St (L)</t>
        </is>
      </c>
      <c r="Q165" s="16" t="inlineStr">
        <is>
          <t>Casa de piedra holandesa de 1709, la construccion mas antigua de la ciudad, rodeada de galpones industriales. El contraste es todo el punto.</t>
        </is>
      </c>
      <c r="R165" s="16" t="inlineStr">
        <is>
          <t>1820 Flushing Ave, Ridgewood</t>
        </is>
      </c>
      <c r="S165" s="16" t="inlineStr">
        <is>
          <t>—</t>
        </is>
      </c>
      <c r="T165" s="18" t="inlineStr">
        <is>
          <t>Abrir ↗</t>
        </is>
      </c>
      <c r="U165" s="21" t="inlineStr">
        <is>
          <t>otros</t>
        </is>
      </c>
      <c r="V165" s="20" t="inlineStr"/>
    </row>
    <row r="166" ht="46" customHeight="1">
      <c r="A166" s="9" t="inlineStr">
        <is>
          <t>Wall St</t>
        </is>
      </c>
      <c r="B166" s="10" t="inlineStr">
        <is>
          <t>Casa y calle histórica</t>
        </is>
      </c>
      <c r="C166" s="11" t="inlineStr">
        <is>
          <t>Arquitectura</t>
        </is>
      </c>
      <c r="D166" s="11" t="inlineStr">
        <is>
          <t>Financial District</t>
        </is>
      </c>
      <c r="E166" s="11" t="inlineStr">
        <is>
          <t>Manhattan</t>
        </is>
      </c>
      <c r="F166" s="12" t="n">
        <v>1</v>
      </c>
      <c r="G166" s="12" t="n">
        <v>1</v>
      </c>
      <c r="H166" s="13">
        <f>IF(AND(F166=2,G166=2),"AMBOS",IF(AND(F166=2,G166&lt;2),"solo JP",IF(AND(F166&lt;2,G166=2),"solo Thais","-")))</f>
        <v/>
      </c>
      <c r="I166" s="14" t="n">
        <v>0</v>
      </c>
      <c r="J166" s="15" t="n">
        <v>0.4</v>
      </c>
      <c r="K166" s="13" t="inlineStr">
        <is>
          <t>SÍ</t>
        </is>
      </c>
      <c r="L166" s="16" t="inlineStr">
        <is>
          <t>—</t>
        </is>
      </c>
      <c r="M166" s="11" t="inlineStr">
        <is>
          <t>—</t>
        </is>
      </c>
      <c r="N166" s="16" t="inlineStr">
        <is>
          <t>—</t>
        </is>
      </c>
      <c r="O166" s="16" t="inlineStr">
        <is>
          <t>—</t>
        </is>
      </c>
      <c r="P166" s="16" t="inlineStr">
        <is>
          <t>Wall St (4,5)</t>
        </is>
      </c>
      <c r="Q166" s="16" t="inlineStr">
        <is>
          <t>El cañón de piedra: la Bolsa, Federal Hall y Trinity al fondo. Se ve en veinte minutos.</t>
        </is>
      </c>
      <c r="R166" s="16" t="inlineStr"/>
      <c r="S166" s="16" t="inlineStr">
        <is>
          <t>—</t>
        </is>
      </c>
      <c r="T166" s="18" t="inlineStr">
        <is>
          <t>Abrir ↗</t>
        </is>
      </c>
      <c r="U166" s="19" t="inlineStr">
        <is>
          <t>lista google</t>
        </is>
      </c>
      <c r="V166" s="20" t="inlineStr"/>
    </row>
    <row r="167" ht="46" customHeight="1">
      <c r="A167" s="9" t="inlineStr">
        <is>
          <t>Washington St (la foto de DUMBO)</t>
        </is>
      </c>
      <c r="B167" s="10" t="inlineStr">
        <is>
          <t>Casa y calle histórica</t>
        </is>
      </c>
      <c r="C167" s="11" t="inlineStr">
        <is>
          <t>Arquitectura</t>
        </is>
      </c>
      <c r="D167" s="11" t="inlineStr">
        <is>
          <t>DUMBO</t>
        </is>
      </c>
      <c r="E167" s="11" t="inlineStr">
        <is>
          <t>Brooklyn</t>
        </is>
      </c>
      <c r="F167" s="12" t="n">
        <v>1</v>
      </c>
      <c r="G167" s="12" t="n">
        <v>1</v>
      </c>
      <c r="H167" s="13">
        <f>IF(AND(F167=2,G167=2),"AMBOS",IF(AND(F167=2,G167&lt;2),"solo JP",IF(AND(F167&lt;2,G167=2),"solo Thais","-")))</f>
        <v/>
      </c>
      <c r="I167" s="14" t="n">
        <v>0</v>
      </c>
      <c r="J167" s="15" t="n">
        <v>0.25</v>
      </c>
      <c r="K167" s="13" t="inlineStr">
        <is>
          <t>SÍ</t>
        </is>
      </c>
      <c r="L167" s="16" t="inlineStr">
        <is>
          <t>—</t>
        </is>
      </c>
      <c r="M167" s="11" t="inlineStr">
        <is>
          <t>—</t>
        </is>
      </c>
      <c r="N167" s="16" t="inlineStr">
        <is>
          <t>—</t>
        </is>
      </c>
      <c r="O167" s="16" t="inlineStr">
        <is>
          <t>—</t>
        </is>
      </c>
      <c r="P167" s="16" t="inlineStr">
        <is>
          <t>High St (A,C), York St (F)</t>
        </is>
      </c>
      <c r="Q167" s="16" t="inlineStr">
        <is>
          <t>El encuadre exacto del puente de Manhattan entre los edificios. Llegar temprano o hay cola para la foto.</t>
        </is>
      </c>
      <c r="R167" s="16" t="inlineStr">
        <is>
          <t>Washington St &amp; Water St</t>
        </is>
      </c>
      <c r="S167" s="16" t="inlineStr">
        <is>
          <t>—</t>
        </is>
      </c>
      <c r="T167" s="18" t="inlineStr">
        <is>
          <t>Abrir ↗</t>
        </is>
      </c>
      <c r="U167" s="19" t="inlineStr">
        <is>
          <t>lista google</t>
        </is>
      </c>
      <c r="V167" s="20" t="inlineStr"/>
    </row>
    <row r="168" ht="46" customHeight="1">
      <c r="A168" s="9" t="inlineStr">
        <is>
          <t>Ford Foundation Atrium</t>
        </is>
      </c>
      <c r="B168" s="10" t="inlineStr">
        <is>
          <t>Interior monumental</t>
        </is>
      </c>
      <c r="C168" s="11" t="inlineStr">
        <is>
          <t>Arquitectura</t>
        </is>
      </c>
      <c r="D168" s="11" t="inlineStr">
        <is>
          <t>Midtown East</t>
        </is>
      </c>
      <c r="E168" s="11" t="inlineStr">
        <is>
          <t>Manhattan</t>
        </is>
      </c>
      <c r="F168" s="12" t="n">
        <v>2</v>
      </c>
      <c r="G168" s="12" t="n">
        <v>2</v>
      </c>
      <c r="H168" s="13">
        <f>IF(AND(F168=2,G168=2),"AMBOS",IF(AND(F168=2,G168&lt;2),"solo JP",IF(AND(F168&lt;2,G168=2),"solo Thais","-")))</f>
        <v/>
      </c>
      <c r="I168" s="14" t="n">
        <v>0</v>
      </c>
      <c r="J168" s="15" t="n">
        <v>0.75</v>
      </c>
      <c r="K168" s="13" t="inlineStr">
        <is>
          <t>no</t>
        </is>
      </c>
      <c r="L168" s="16" t="inlineStr">
        <is>
          <t>lunes a viernes: 11:00–18:00 · sábado a domingo: cerrado</t>
        </is>
      </c>
      <c r="M168" s="11" t="inlineStr">
        <is>
          <t>fines de semana. CIERRA el 5, 6, 7 y 9 de septiembre; cierra temprano el 4</t>
        </is>
      </c>
      <c r="N168" s="16" t="inlineStr">
        <is>
          <t>—</t>
        </is>
      </c>
      <c r="O168" s="16" t="inlineStr">
        <is>
          <t>preinscripcion obligatoria</t>
        </is>
      </c>
      <c r="P168" s="16" t="inlineStr">
        <is>
          <t>Grand Central-42 St</t>
        </is>
      </c>
      <c r="Q168" s="16" t="inlineStr">
        <is>
          <t>Atrio-jardin de 12 pisos de altura de Kevin Roche (1967), con ~40 especies de arboles y espejo de agua, dentro de un edificio de oficinas. En este viaje solo se puede entrar del 31 de agosto al 3 de septiembre.</t>
        </is>
      </c>
      <c r="R168" s="16" t="inlineStr">
        <is>
          <t>320 E 43rd St</t>
        </is>
      </c>
      <c r="S168" s="17" t="inlineStr">
        <is>
          <t>Día 3 · lun 31/8</t>
        </is>
      </c>
      <c r="T168" s="18" t="inlineStr">
        <is>
          <t>Abrir ↗</t>
        </is>
      </c>
      <c r="U168" s="19" t="inlineStr">
        <is>
          <t>lista google</t>
        </is>
      </c>
      <c r="V168" s="20" t="inlineStr">
        <is>
          <t>SÍ</t>
        </is>
      </c>
    </row>
    <row r="169" ht="46" customHeight="1">
      <c r="A169" s="9" t="inlineStr">
        <is>
          <t>Grand Central Terminal</t>
        </is>
      </c>
      <c r="B169" s="10" t="inlineStr">
        <is>
          <t>Interior monumental</t>
        </is>
      </c>
      <c r="C169" s="11" t="inlineStr">
        <is>
          <t>Arquitectura</t>
        </is>
      </c>
      <c r="D169" s="11" t="inlineStr">
        <is>
          <t>Midtown East</t>
        </is>
      </c>
      <c r="E169" s="11" t="inlineStr">
        <is>
          <t>Manhattan</t>
        </is>
      </c>
      <c r="F169" s="12" t="n">
        <v>2</v>
      </c>
      <c r="G169" s="12" t="n">
        <v>0</v>
      </c>
      <c r="H169" s="13">
        <f>IF(AND(F169=2,G169=2),"AMBOS",IF(AND(F169=2,G169&lt;2),"solo JP",IF(AND(F169&lt;2,G169=2),"solo Thais","-")))</f>
        <v/>
      </c>
      <c r="I169" s="14" t="n">
        <v>0</v>
      </c>
      <c r="J169" s="15" t="n">
        <v>1</v>
      </c>
      <c r="K169" s="13" t="inlineStr">
        <is>
          <t>SÍ</t>
        </is>
      </c>
      <c r="L169" s="16" t="inlineStr">
        <is>
          <t>lunes a domingo: 05:15–02:00</t>
        </is>
      </c>
      <c r="M169" s="11" t="inlineStr">
        <is>
          <t>—</t>
        </is>
      </c>
      <c r="N169" s="16" t="inlineStr">
        <is>
          <t>—</t>
        </is>
      </c>
      <c r="O169" s="16" t="inlineStr">
        <is>
          <t>—</t>
        </is>
      </c>
      <c r="P169" s="16" t="inlineStr">
        <is>
          <t>Grand Central-42 St (4,5,6,7,S)</t>
        </is>
      </c>
      <c r="Q169" s="16" t="inlineStr">
        <is>
          <t>Beaux-Arts de 1913: el techo celeste pintado al reves, la Whispering Gallery frente al Oyster Bar (dos personas en esquinas opuestas se escuchan susurrar), las escaleras de marmol. AVISO: el tour gratuito semanal esta suspendido.</t>
        </is>
      </c>
      <c r="R169" s="16" t="inlineStr">
        <is>
          <t>89 E 42nd St</t>
        </is>
      </c>
      <c r="S169" s="17" t="inlineStr">
        <is>
          <t>Día 3 · lun 31/8</t>
        </is>
      </c>
      <c r="T169" s="18" t="inlineStr">
        <is>
          <t>Abrir ↗</t>
        </is>
      </c>
      <c r="U169" s="19" t="inlineStr">
        <is>
          <t>lista google</t>
        </is>
      </c>
      <c r="V169" s="20" t="inlineStr">
        <is>
          <t>SÍ</t>
        </is>
      </c>
    </row>
    <row r="170" ht="46" customHeight="1">
      <c r="A170" s="9" t="inlineStr">
        <is>
          <t>Lobby del Chrysler Building</t>
        </is>
      </c>
      <c r="B170" s="10" t="inlineStr">
        <is>
          <t>Interior monumental</t>
        </is>
      </c>
      <c r="C170" s="11" t="inlineStr">
        <is>
          <t>Arquitectura</t>
        </is>
      </c>
      <c r="D170" s="11" t="inlineStr">
        <is>
          <t>Midtown East</t>
        </is>
      </c>
      <c r="E170" s="11" t="inlineStr">
        <is>
          <t>Manhattan</t>
        </is>
      </c>
      <c r="F170" s="12" t="n">
        <v>2</v>
      </c>
      <c r="G170" s="12" t="n">
        <v>1</v>
      </c>
      <c r="H170" s="13">
        <f>IF(AND(F170=2,G170=2),"AMBOS",IF(AND(F170=2,G170&lt;2),"solo JP",IF(AND(F170&lt;2,G170=2),"solo Thais","-")))</f>
        <v/>
      </c>
      <c r="I170" s="14" t="n">
        <v>0</v>
      </c>
      <c r="J170" s="15" t="n">
        <v>0.35</v>
      </c>
      <c r="K170" s="13" t="inlineStr">
        <is>
          <t>no</t>
        </is>
      </c>
      <c r="L170" s="16" t="inlineStr">
        <is>
          <t>lunes a viernes: 08:00–18:00 · sábado a domingo: cerrado</t>
        </is>
      </c>
      <c r="M170" s="11" t="inlineStr">
        <is>
          <t>sabados y domingos</t>
        </is>
      </c>
      <c r="N170" s="16" t="inlineStr">
        <is>
          <t>—</t>
        </is>
      </c>
      <c r="O170" s="16" t="inlineStr">
        <is>
          <t>—</t>
        </is>
      </c>
      <c r="P170" s="16" t="inlineStr">
        <is>
          <t>Grand Central-42 St (4,5,6,7,S)</t>
        </is>
      </c>
      <c r="Q170" s="16" t="inlineStr">
        <is>
          <t>Art deco de 1930 en estado puro: mural del techo y puertas de ascensor con marqueteria de maderas exoticas. NO hay observatorio: el lobby es todo lo que se puede ver, y alcanza.</t>
        </is>
      </c>
      <c r="R170" s="16" t="inlineStr">
        <is>
          <t>405 Lexington Ave</t>
        </is>
      </c>
      <c r="S170" s="17" t="inlineStr">
        <is>
          <t>Día 3 · lun 31/8</t>
        </is>
      </c>
      <c r="T170" s="18" t="inlineStr">
        <is>
          <t>Abrir ↗</t>
        </is>
      </c>
      <c r="U170" s="21" t="inlineStr">
        <is>
          <t>otros</t>
        </is>
      </c>
      <c r="V170" s="20" t="inlineStr">
        <is>
          <t>SÍ</t>
        </is>
      </c>
    </row>
    <row r="171" ht="46" customHeight="1">
      <c r="A171" s="9" t="inlineStr">
        <is>
          <t>New York Public Library (Schwarzman)</t>
        </is>
      </c>
      <c r="B171" s="10" t="inlineStr">
        <is>
          <t>Interior monumental</t>
        </is>
      </c>
      <c r="C171" s="11" t="inlineStr">
        <is>
          <t>Arquitectura</t>
        </is>
      </c>
      <c r="D171" s="11" t="inlineStr">
        <is>
          <t>Midtown</t>
        </is>
      </c>
      <c r="E171" s="11" t="inlineStr">
        <is>
          <t>Manhattan</t>
        </is>
      </c>
      <c r="F171" s="12" t="n">
        <v>2</v>
      </c>
      <c r="G171" s="12" t="n">
        <v>0</v>
      </c>
      <c r="H171" s="13">
        <f>IF(AND(F171=2,G171=2),"AMBOS",IF(AND(F171=2,G171&lt;2),"solo JP",IF(AND(F171&lt;2,G171=2),"solo Thais","-")))</f>
        <v/>
      </c>
      <c r="I171" s="14" t="n">
        <v>0</v>
      </c>
      <c r="J171" s="15" t="n">
        <v>1.25</v>
      </c>
      <c r="K171" s="13" t="inlineStr">
        <is>
          <t>SÍ</t>
        </is>
      </c>
      <c r="L171" s="16" t="inlineStr">
        <is>
          <t>lunes: 10:00–18:00 · martes a miércoles: 10:00–20:00 · jueves a sábado: 10:00–18:00 · domingo: 13:00–17:00</t>
        </is>
      </c>
      <c r="M171" s="11" t="inlineStr">
        <is>
          <t>—</t>
        </is>
      </c>
      <c r="N171" s="16" t="inlineStr">
        <is>
          <t>—</t>
        </is>
      </c>
      <c r="O171" s="16" t="inlineStr">
        <is>
          <t>—</t>
        </is>
      </c>
      <c r="P171" s="16" t="inlineStr">
        <is>
          <t>5 Av-Bryant Pk (7,B,D,F,M)</t>
        </is>
      </c>
      <c r="Q171" s="16" t="inlineStr">
        <is>
          <t>La Rose Main Reading Room: 90 metros de largo, techos de 15. Y no es un museo: hay gente trabajando ahi. Entrar y sentarse un rato es parte de la experiencia.</t>
        </is>
      </c>
      <c r="R171" s="16" t="inlineStr">
        <is>
          <t>476 5th Ave</t>
        </is>
      </c>
      <c r="S171" s="17" t="inlineStr">
        <is>
          <t>Día 3 · lun 31/8</t>
        </is>
      </c>
      <c r="T171" s="18" t="inlineStr">
        <is>
          <t>Abrir ↗</t>
        </is>
      </c>
      <c r="U171" s="19" t="inlineStr">
        <is>
          <t>lista google</t>
        </is>
      </c>
      <c r="V171" s="20" t="inlineStr">
        <is>
          <t>SÍ</t>
        </is>
      </c>
    </row>
    <row r="172" ht="46" customHeight="1">
      <c r="A172" s="9" t="inlineStr">
        <is>
          <t>Wild Table of Love</t>
        </is>
      </c>
      <c r="B172" s="10" t="inlineStr">
        <is>
          <t>Parque de esculturas</t>
        </is>
      </c>
      <c r="C172" s="11" t="inlineStr">
        <is>
          <t>Arquitectura</t>
        </is>
      </c>
      <c r="D172" s="11" t="inlineStr">
        <is>
          <t>Manhattan</t>
        </is>
      </c>
      <c r="E172" s="11" t="inlineStr">
        <is>
          <t>Manhattan</t>
        </is>
      </c>
      <c r="F172" s="12" t="n">
        <v>1</v>
      </c>
      <c r="G172" s="12" t="n">
        <v>1</v>
      </c>
      <c r="H172" s="13">
        <f>IF(AND(F172=2,G172=2),"AMBOS",IF(AND(F172=2,G172&lt;2),"solo JP",IF(AND(F172&lt;2,G172=2),"solo Thais","-")))</f>
        <v/>
      </c>
      <c r="I172" s="14" t="n">
        <v>0</v>
      </c>
      <c r="J172" s="15" t="n">
        <v>0.25</v>
      </c>
      <c r="K172" s="13" t="inlineStr">
        <is>
          <t>no</t>
        </is>
      </c>
      <c r="L172" s="16" t="inlineStr">
        <is>
          <t>—</t>
        </is>
      </c>
      <c r="M172" s="11" t="inlineStr">
        <is>
          <t>—</t>
        </is>
      </c>
      <c r="N172" s="16" t="inlineStr">
        <is>
          <t>—</t>
        </is>
      </c>
      <c r="O172" s="16" t="inlineStr">
        <is>
          <t>—</t>
        </is>
      </c>
      <c r="P172" s="16" t="inlineStr">
        <is>
          <t>-</t>
        </is>
      </c>
      <c r="Q172" s="16" t="inlineStr">
        <is>
          <t>Instalación escultórica al aire libre. Parada de foto de cinco minutos.</t>
        </is>
      </c>
      <c r="R172" s="16" t="inlineStr"/>
      <c r="S172" s="16" t="inlineStr">
        <is>
          <t>—</t>
        </is>
      </c>
      <c r="T172" s="18" t="inlineStr">
        <is>
          <t>Abrir ↗</t>
        </is>
      </c>
      <c r="U172" s="19" t="inlineStr">
        <is>
          <t>lista google</t>
        </is>
      </c>
      <c r="V172" s="20" t="inlineStr"/>
    </row>
    <row r="173" ht="46" customHeight="1">
      <c r="A173" s="9" t="inlineStr">
        <is>
          <t>Puente de Brooklyn</t>
        </is>
      </c>
      <c r="B173" s="10" t="inlineStr">
        <is>
          <t>Puente</t>
        </is>
      </c>
      <c r="C173" s="11" t="inlineStr">
        <is>
          <t>Arquitectura</t>
        </is>
      </c>
      <c r="D173" s="11" t="inlineStr">
        <is>
          <t>Civic Center</t>
        </is>
      </c>
      <c r="E173" s="11" t="inlineStr">
        <is>
          <t>Manhattan</t>
        </is>
      </c>
      <c r="F173" s="12" t="n">
        <v>1</v>
      </c>
      <c r="G173" s="12" t="n">
        <v>1</v>
      </c>
      <c r="H173" s="13">
        <f>IF(AND(F173=2,G173=2),"AMBOS",IF(AND(F173=2,G173&lt;2),"solo JP",IF(AND(F173&lt;2,G173=2),"solo Thais","-")))</f>
        <v/>
      </c>
      <c r="I173" s="14" t="n">
        <v>0</v>
      </c>
      <c r="J173" s="15" t="n">
        <v>1</v>
      </c>
      <c r="K173" s="13" t="inlineStr">
        <is>
          <t>SÍ</t>
        </is>
      </c>
      <c r="L173" s="16" t="inlineStr">
        <is>
          <t>—</t>
        </is>
      </c>
      <c r="M173" s="11" t="inlineStr">
        <is>
          <t>—</t>
        </is>
      </c>
      <c r="N173" s="16" t="inlineStr">
        <is>
          <t>—</t>
        </is>
      </c>
      <c r="O173" s="16" t="inlineStr">
        <is>
          <t>—</t>
        </is>
      </c>
      <c r="P173" s="16" t="inlineStr">
        <is>
          <t>Brooklyn Bridge-City Hall (4,5,6)</t>
        </is>
      </c>
      <c r="Q173" s="16" t="inlineStr">
        <is>
          <t>Cruzarlo a pie es el clásico que sí lo vale. Entrada peatonal frente a City Hall; después de las 16 se llena.</t>
        </is>
      </c>
      <c r="R173" s="16" t="inlineStr"/>
      <c r="S173" s="16" t="inlineStr">
        <is>
          <t>—</t>
        </is>
      </c>
      <c r="T173" s="18" t="inlineStr">
        <is>
          <t>Abrir ↗</t>
        </is>
      </c>
      <c r="U173" s="19" t="inlineStr">
        <is>
          <t>lista google</t>
        </is>
      </c>
      <c r="V173" s="20" t="inlineStr"/>
    </row>
    <row r="174" ht="46" customHeight="1">
      <c r="A174" s="9" t="inlineStr">
        <is>
          <t>Basilica of St. Patrick's Old Cathedral</t>
        </is>
      </c>
      <c r="B174" s="10" t="inlineStr">
        <is>
          <t>Templo</t>
        </is>
      </c>
      <c r="C174" s="11" t="inlineStr">
        <is>
          <t>Arquitectura</t>
        </is>
      </c>
      <c r="D174" s="11" t="inlineStr">
        <is>
          <t>Nolita</t>
        </is>
      </c>
      <c r="E174" s="11" t="inlineStr">
        <is>
          <t>Manhattan</t>
        </is>
      </c>
      <c r="F174" s="12" t="n">
        <v>1</v>
      </c>
      <c r="G174" s="12" t="n">
        <v>1</v>
      </c>
      <c r="H174" s="13">
        <f>IF(AND(F174=2,G174=2),"AMBOS",IF(AND(F174=2,G174&lt;2),"solo JP",IF(AND(F174&lt;2,G174=2),"solo Thais","-")))</f>
        <v/>
      </c>
      <c r="I174" s="14" t="n">
        <v>0</v>
      </c>
      <c r="J174" s="15" t="n">
        <v>0.5</v>
      </c>
      <c r="K174" s="13" t="inlineStr">
        <is>
          <t>no</t>
        </is>
      </c>
      <c r="L174" s="16" t="inlineStr">
        <is>
          <t>—</t>
        </is>
      </c>
      <c r="M174" s="11" t="inlineStr">
        <is>
          <t>—</t>
        </is>
      </c>
      <c r="N174" s="16" t="inlineStr">
        <is>
          <t>—</t>
        </is>
      </c>
      <c r="O174" s="16" t="inlineStr">
        <is>
          <t>—</t>
        </is>
      </c>
      <c r="P174" s="16" t="inlineStr">
        <is>
          <t>Spring St (6)</t>
        </is>
      </c>
      <c r="Q174" s="16" t="inlineStr">
        <is>
          <t>La catedral ORIGINAL de San Patricio (1815), no la de la Quinta: cementerio amurallado y catacumbas visitables. A tres cuadras del JGStay.</t>
        </is>
      </c>
      <c r="R174" s="16" t="inlineStr">
        <is>
          <t>263 Mulberry St</t>
        </is>
      </c>
      <c r="S174" s="16" t="inlineStr">
        <is>
          <t>—</t>
        </is>
      </c>
      <c r="T174" s="18" t="inlineStr">
        <is>
          <t>Abrir ↗</t>
        </is>
      </c>
      <c r="U174" s="19" t="inlineStr">
        <is>
          <t>lista google</t>
        </is>
      </c>
      <c r="V174" s="20" t="inlineStr"/>
    </row>
    <row r="175" ht="46" customHeight="1">
      <c r="A175" s="9" t="inlineStr">
        <is>
          <t>Museum at Eldridge Street</t>
        </is>
      </c>
      <c r="B175" s="10" t="inlineStr">
        <is>
          <t>Templo</t>
        </is>
      </c>
      <c r="C175" s="11" t="inlineStr">
        <is>
          <t>Arquitectura</t>
        </is>
      </c>
      <c r="D175" s="11" t="inlineStr">
        <is>
          <t>Chinatown / LES</t>
        </is>
      </c>
      <c r="E175" s="11" t="inlineStr">
        <is>
          <t>Manhattan</t>
        </is>
      </c>
      <c r="F175" s="12" t="n">
        <v>2</v>
      </c>
      <c r="G175" s="12" t="n">
        <v>2</v>
      </c>
      <c r="H175" s="13">
        <f>IF(AND(F175=2,G175=2),"AMBOS",IF(AND(F175=2,G175&lt;2),"solo JP",IF(AND(F175&lt;2,G175=2),"solo Thais","-")))</f>
        <v/>
      </c>
      <c r="I175" s="14" t="n">
        <v>15</v>
      </c>
      <c r="J175" s="15" t="n">
        <v>1</v>
      </c>
      <c r="K175" s="13" t="inlineStr">
        <is>
          <t>no</t>
        </is>
      </c>
      <c r="L175" s="16" t="inlineStr">
        <is>
          <t>lunes a viernes: 10:00–17:00 · sábado: cerrado · domingo: 10:00–17:00</t>
        </is>
      </c>
      <c r="M175" s="11" t="inlineStr">
        <is>
          <t>SABADOS (es sinagoga)</t>
        </is>
      </c>
      <c r="N175" s="16" t="inlineStr">
        <is>
          <t>—</t>
        </is>
      </c>
      <c r="O175" s="16" t="inlineStr">
        <is>
          <t>—</t>
        </is>
      </c>
      <c r="P175" s="16" t="inlineStr">
        <is>
          <t>East Broadway (F), Grand St (B,D)</t>
        </is>
      </c>
      <c r="Q175" s="16" t="inlineStr">
        <is>
          <t>Sinagoga de 1887 restaurada por $20 millones, con un roseton nuevo de Kiki Smith. Que hoy este en el medio de Chinatown es la mitad del punto.</t>
        </is>
      </c>
      <c r="R175" s="16" t="inlineStr">
        <is>
          <t>12 Eldridge St</t>
        </is>
      </c>
      <c r="S175" s="17" t="inlineStr">
        <is>
          <t>Día 2 · dom 30/8</t>
        </is>
      </c>
      <c r="T175" s="18" t="inlineStr">
        <is>
          <t>Abrir ↗</t>
        </is>
      </c>
      <c r="U175" s="19" t="inlineStr">
        <is>
          <t>lista google</t>
        </is>
      </c>
      <c r="V175" s="20" t="inlineStr"/>
    </row>
    <row r="176" ht="46" customHeight="1">
      <c r="A176" s="9" t="inlineStr">
        <is>
          <t>Trinity Church</t>
        </is>
      </c>
      <c r="B176" s="10" t="inlineStr">
        <is>
          <t>Templo</t>
        </is>
      </c>
      <c r="C176" s="11" t="inlineStr">
        <is>
          <t>Arquitectura</t>
        </is>
      </c>
      <c r="D176" s="11" t="inlineStr">
        <is>
          <t>Financial District</t>
        </is>
      </c>
      <c r="E176" s="11" t="inlineStr">
        <is>
          <t>Manhattan</t>
        </is>
      </c>
      <c r="F176" s="12" t="n">
        <v>1</v>
      </c>
      <c r="G176" s="12" t="n">
        <v>1</v>
      </c>
      <c r="H176" s="13">
        <f>IF(AND(F176=2,G176=2),"AMBOS",IF(AND(F176=2,G176&lt;2),"solo JP",IF(AND(F176&lt;2,G176=2),"solo Thais","-")))</f>
        <v/>
      </c>
      <c r="I176" s="14" t="n">
        <v>0</v>
      </c>
      <c r="J176" s="15" t="n">
        <v>0.5</v>
      </c>
      <c r="K176" s="13" t="inlineStr">
        <is>
          <t>no</t>
        </is>
      </c>
      <c r="L176" s="16" t="inlineStr">
        <is>
          <t>—</t>
        </is>
      </c>
      <c r="M176" s="11" t="inlineStr">
        <is>
          <t>—</t>
        </is>
      </c>
      <c r="N176" s="16" t="inlineStr">
        <is>
          <t>—</t>
        </is>
      </c>
      <c r="O176" s="16" t="inlineStr">
        <is>
          <t>—</t>
        </is>
      </c>
      <c r="P176" s="16" t="inlineStr">
        <is>
          <t>Wall St (4,5)</t>
        </is>
      </c>
      <c r="Q176" s="16" t="inlineStr">
        <is>
          <t>Neogótica de 1846, la torre más alta de NY durante medio siglo. En su cementerio está Alexander Hamilton.</t>
        </is>
      </c>
      <c r="R176" s="16" t="inlineStr">
        <is>
          <t>89 Broadway</t>
        </is>
      </c>
      <c r="S176" s="16" t="inlineStr">
        <is>
          <t>—</t>
        </is>
      </c>
      <c r="T176" s="18" t="inlineStr">
        <is>
          <t>Abrir ↗</t>
        </is>
      </c>
      <c r="U176" s="19" t="inlineStr">
        <is>
          <t>lista google</t>
        </is>
      </c>
      <c r="V176" s="20" t="inlineStr"/>
    </row>
    <row r="177" ht="46" customHeight="1">
      <c r="A177" s="9" t="inlineStr">
        <is>
          <t>Artists &amp; Fleas Williamsburg</t>
        </is>
      </c>
      <c r="B177" s="10" t="inlineStr">
        <is>
          <t>Tienda con historia</t>
        </is>
      </c>
      <c r="C177" s="11" t="inlineStr">
        <is>
          <t>Arquitectura</t>
        </is>
      </c>
      <c r="D177" s="11" t="inlineStr">
        <is>
          <t>Williamsburg</t>
        </is>
      </c>
      <c r="E177" s="11" t="inlineStr">
        <is>
          <t>Brooklyn</t>
        </is>
      </c>
      <c r="F177" s="12" t="n">
        <v>1</v>
      </c>
      <c r="G177" s="12" t="n">
        <v>1</v>
      </c>
      <c r="H177" s="13">
        <f>IF(AND(F177=2,G177=2),"AMBOS",IF(AND(F177=2,G177&lt;2),"solo JP",IF(AND(F177&lt;2,G177=2),"solo Thais","-")))</f>
        <v/>
      </c>
      <c r="I177" s="14" t="n">
        <v>0</v>
      </c>
      <c r="J177" s="15" t="n">
        <v>0.75</v>
      </c>
      <c r="K177" s="13" t="inlineStr">
        <is>
          <t>no</t>
        </is>
      </c>
      <c r="L177" s="16" t="inlineStr">
        <is>
          <t>—</t>
        </is>
      </c>
      <c r="M177" s="11" t="inlineStr">
        <is>
          <t>—</t>
        </is>
      </c>
      <c r="N177" s="16" t="inlineStr">
        <is>
          <t>—</t>
        </is>
      </c>
      <c r="O177" s="16" t="inlineStr">
        <is>
          <t>—</t>
        </is>
      </c>
      <c r="P177" s="16" t="inlineStr">
        <is>
          <t>Bedford Av (L)</t>
        </is>
      </c>
      <c r="Q177" s="16" t="inlineStr">
        <is>
          <t>Mercado de diseñadores y vintage, fines de semana. Está en el camino del sábado de Brooklyn.</t>
        </is>
      </c>
      <c r="R177" s="16" t="inlineStr">
        <is>
          <t>70 N 7th St</t>
        </is>
      </c>
      <c r="S177" s="16" t="inlineStr">
        <is>
          <t>—</t>
        </is>
      </c>
      <c r="T177" s="18" t="inlineStr">
        <is>
          <t>Abrir ↗</t>
        </is>
      </c>
      <c r="U177" s="19" t="inlineStr">
        <is>
          <t>lista google</t>
        </is>
      </c>
      <c r="V177" s="20" t="inlineStr"/>
    </row>
    <row r="178" ht="46" customHeight="1">
      <c r="A178" s="9" t="inlineStr">
        <is>
          <t>B&amp;H Photo Video</t>
        </is>
      </c>
      <c r="B178" s="10" t="inlineStr">
        <is>
          <t>Tienda con historia</t>
        </is>
      </c>
      <c r="C178" s="11" t="inlineStr">
        <is>
          <t>Arquitectura</t>
        </is>
      </c>
      <c r="D178" s="11" t="inlineStr">
        <is>
          <t>Midtown West</t>
        </is>
      </c>
      <c r="E178" s="11" t="inlineStr">
        <is>
          <t>Manhattan</t>
        </is>
      </c>
      <c r="F178" s="12" t="n">
        <v>1</v>
      </c>
      <c r="G178" s="12" t="n">
        <v>1</v>
      </c>
      <c r="H178" s="13">
        <f>IF(AND(F178=2,G178=2),"AMBOS",IF(AND(F178=2,G178&lt;2),"solo JP",IF(AND(F178&lt;2,G178=2),"solo Thais","-")))</f>
        <v/>
      </c>
      <c r="I178" s="14" t="n">
        <v>0</v>
      </c>
      <c r="J178" s="15" t="n">
        <v>1</v>
      </c>
      <c r="K178" s="13" t="inlineStr">
        <is>
          <t>no</t>
        </is>
      </c>
      <c r="L178" s="16" t="inlineStr">
        <is>
          <t>—</t>
        </is>
      </c>
      <c r="M178" s="11" t="inlineStr">
        <is>
          <t>—</t>
        </is>
      </c>
      <c r="N178" s="16" t="inlineStr">
        <is>
          <t>—</t>
        </is>
      </c>
      <c r="O178" s="16" t="inlineStr">
        <is>
          <t>—</t>
        </is>
      </c>
      <c r="P178" s="16" t="inlineStr">
        <is>
          <t>34 St-Penn Station (1,2,3,A,C,E)</t>
        </is>
      </c>
      <c r="Q178" s="16" t="inlineStr">
        <is>
          <t>La tienda de fotografía mítica: cintas transportadoras cruzando el techo y vendedores jasídicos que saben todo. CIERRA sábados.</t>
        </is>
      </c>
      <c r="R178" s="16" t="inlineStr">
        <is>
          <t>420 9th Ave</t>
        </is>
      </c>
      <c r="S178" s="16" t="inlineStr">
        <is>
          <t>—</t>
        </is>
      </c>
      <c r="T178" s="18" t="inlineStr">
        <is>
          <t>Abrir ↗</t>
        </is>
      </c>
      <c r="U178" s="19" t="inlineStr">
        <is>
          <t>lista google</t>
        </is>
      </c>
      <c r="V178" s="20" t="inlineStr"/>
    </row>
    <row r="179" ht="46" customHeight="1">
      <c r="A179" s="9" t="inlineStr">
        <is>
          <t>C.O. Bigelow Chemists</t>
        </is>
      </c>
      <c r="B179" s="10" t="inlineStr">
        <is>
          <t>Tienda con historia</t>
        </is>
      </c>
      <c r="C179" s="11" t="inlineStr">
        <is>
          <t>Arquitectura</t>
        </is>
      </c>
      <c r="D179" s="11" t="inlineStr">
        <is>
          <t>West Village</t>
        </is>
      </c>
      <c r="E179" s="11" t="inlineStr">
        <is>
          <t>Manhattan</t>
        </is>
      </c>
      <c r="F179" s="12" t="n">
        <v>1</v>
      </c>
      <c r="G179" s="12" t="n">
        <v>1</v>
      </c>
      <c r="H179" s="13">
        <f>IF(AND(F179=2,G179=2),"AMBOS",IF(AND(F179=2,G179&lt;2),"solo JP",IF(AND(F179&lt;2,G179=2),"solo Thais","-")))</f>
        <v/>
      </c>
      <c r="I179" s="14" t="n">
        <v>0</v>
      </c>
      <c r="J179" s="15" t="n">
        <v>0.3</v>
      </c>
      <c r="K179" s="13" t="inlineStr">
        <is>
          <t>no</t>
        </is>
      </c>
      <c r="L179" s="16" t="inlineStr">
        <is>
          <t>—</t>
        </is>
      </c>
      <c r="M179" s="11" t="inlineStr">
        <is>
          <t>—</t>
        </is>
      </c>
      <c r="N179" s="16" t="inlineStr">
        <is>
          <t>—</t>
        </is>
      </c>
      <c r="O179" s="16" t="inlineStr">
        <is>
          <t>—</t>
        </is>
      </c>
      <c r="P179" s="16" t="inlineStr">
        <is>
          <t>Christopher St-Sheridan Sq (1)</t>
        </is>
      </c>
      <c r="Q179" s="16" t="inlineStr">
        <is>
          <t>La farmacia más antigua de Estados Unidos (1838), con el mobiliario original. Entrar es gratis.</t>
        </is>
      </c>
      <c r="R179" s="16" t="inlineStr">
        <is>
          <t>414 6th Ave</t>
        </is>
      </c>
      <c r="S179" s="16" t="inlineStr">
        <is>
          <t>—</t>
        </is>
      </c>
      <c r="T179" s="18" t="inlineStr">
        <is>
          <t>Abrir ↗</t>
        </is>
      </c>
      <c r="U179" s="19" t="inlineStr">
        <is>
          <t>lista google</t>
        </is>
      </c>
      <c r="V179" s="20" t="inlineStr"/>
    </row>
    <row r="180" ht="46" customHeight="1">
      <c r="A180" s="9" t="inlineStr">
        <is>
          <t>Housing Works Bookstore</t>
        </is>
      </c>
      <c r="B180" s="10" t="inlineStr">
        <is>
          <t>Tienda con historia</t>
        </is>
      </c>
      <c r="C180" s="11" t="inlineStr">
        <is>
          <t>Arquitectura</t>
        </is>
      </c>
      <c r="D180" s="11" t="inlineStr">
        <is>
          <t>SoHo</t>
        </is>
      </c>
      <c r="E180" s="11" t="inlineStr">
        <is>
          <t>Manhattan</t>
        </is>
      </c>
      <c r="F180" s="12" t="n">
        <v>1</v>
      </c>
      <c r="G180" s="12" t="n">
        <v>1</v>
      </c>
      <c r="H180" s="13">
        <f>IF(AND(F180=2,G180=2),"AMBOS",IF(AND(F180=2,G180&lt;2),"solo JP",IF(AND(F180&lt;2,G180=2),"solo Thais","-")))</f>
        <v/>
      </c>
      <c r="I180" s="14" t="n">
        <v>0</v>
      </c>
      <c r="J180" s="15" t="n">
        <v>0.6</v>
      </c>
      <c r="K180" s="13" t="inlineStr">
        <is>
          <t>no</t>
        </is>
      </c>
      <c r="L180" s="16" t="inlineStr">
        <is>
          <t>—</t>
        </is>
      </c>
      <c r="M180" s="11" t="inlineStr">
        <is>
          <t>—</t>
        </is>
      </c>
      <c r="N180" s="16" t="inlineStr">
        <is>
          <t>—</t>
        </is>
      </c>
      <c r="O180" s="16" t="inlineStr">
        <is>
          <t>—</t>
        </is>
      </c>
      <c r="P180" s="16" t="inlineStr">
        <is>
          <t>Spring St (6)</t>
        </is>
      </c>
      <c r="Q180" s="16" t="inlineStr">
        <is>
          <t>Librería de dos pisos con café: todo lo donado y toda la ganancia va a personas con VIH sin hogar.</t>
        </is>
      </c>
      <c r="R180" s="16" t="inlineStr">
        <is>
          <t>126 Crosby St</t>
        </is>
      </c>
      <c r="S180" s="16" t="inlineStr">
        <is>
          <t>—</t>
        </is>
      </c>
      <c r="T180" s="18" t="inlineStr">
        <is>
          <t>Abrir ↗</t>
        </is>
      </c>
      <c r="U180" s="19" t="inlineStr">
        <is>
          <t>lista google</t>
        </is>
      </c>
      <c r="V180" s="20" t="inlineStr"/>
    </row>
    <row r="181" ht="46" customHeight="1">
      <c r="A181" s="9" t="inlineStr">
        <is>
          <t>Louis Vuitton</t>
        </is>
      </c>
      <c r="B181" s="10" t="inlineStr">
        <is>
          <t>Tienda con historia</t>
        </is>
      </c>
      <c r="C181" s="11" t="inlineStr">
        <is>
          <t>Arquitectura</t>
        </is>
      </c>
      <c r="D181" s="11" t="inlineStr">
        <is>
          <t>Midtown</t>
        </is>
      </c>
      <c r="E181" s="11" t="inlineStr">
        <is>
          <t>Manhattan</t>
        </is>
      </c>
      <c r="F181" s="12" t="n">
        <v>1</v>
      </c>
      <c r="G181" s="12" t="n">
        <v>1</v>
      </c>
      <c r="H181" s="13">
        <f>IF(AND(F181=2,G181=2),"AMBOS",IF(AND(F181=2,G181&lt;2),"solo JP",IF(AND(F181&lt;2,G181=2),"solo Thais","-")))</f>
        <v/>
      </c>
      <c r="I181" s="14" t="n">
        <v>0</v>
      </c>
      <c r="J181" s="15" t="n">
        <v>0.5</v>
      </c>
      <c r="K181" s="13" t="inlineStr">
        <is>
          <t>SÍ</t>
        </is>
      </c>
      <c r="L181" s="16" t="inlineStr">
        <is>
          <t>—</t>
        </is>
      </c>
      <c r="M181" s="11" t="inlineStr">
        <is>
          <t>—</t>
        </is>
      </c>
      <c r="N181" s="16" t="inlineStr">
        <is>
          <t>—</t>
        </is>
      </c>
      <c r="O181" s="16" t="inlineStr">
        <is>
          <t>—</t>
        </is>
      </c>
      <c r="P181" s="16" t="inlineStr">
        <is>
          <t>5 Av/53 St (E,M)</t>
        </is>
      </c>
      <c r="Q181" s="16" t="inlineStr">
        <is>
          <t>Flagship de la Quinta. En la lista de Google, presumiblemente para compras.</t>
        </is>
      </c>
      <c r="R181" s="16" t="inlineStr">
        <is>
          <t>1 E 57th St</t>
        </is>
      </c>
      <c r="S181" s="16" t="inlineStr">
        <is>
          <t>—</t>
        </is>
      </c>
      <c r="T181" s="18" t="inlineStr">
        <is>
          <t>Abrir ↗</t>
        </is>
      </c>
      <c r="U181" s="19" t="inlineStr">
        <is>
          <t>lista google</t>
        </is>
      </c>
      <c r="V181" s="20" t="inlineStr"/>
    </row>
    <row r="182" ht="46" customHeight="1">
      <c r="A182" s="9" t="inlineStr">
        <is>
          <t>M&amp;M'S World New York</t>
        </is>
      </c>
      <c r="B182" s="10" t="inlineStr">
        <is>
          <t>Tienda con historia</t>
        </is>
      </c>
      <c r="C182" s="11" t="inlineStr">
        <is>
          <t>Arquitectura</t>
        </is>
      </c>
      <c r="D182" s="11" t="inlineStr">
        <is>
          <t>Times Square</t>
        </is>
      </c>
      <c r="E182" s="11" t="inlineStr">
        <is>
          <t>Manhattan</t>
        </is>
      </c>
      <c r="F182" s="12" t="n">
        <v>1</v>
      </c>
      <c r="G182" s="12" t="n">
        <v>1</v>
      </c>
      <c r="H182" s="13">
        <f>IF(AND(F182=2,G182=2),"AMBOS",IF(AND(F182=2,G182&lt;2),"solo JP",IF(AND(F182&lt;2,G182=2),"solo Thais","-")))</f>
        <v/>
      </c>
      <c r="I182" s="14" t="n">
        <v>0</v>
      </c>
      <c r="J182" s="15" t="n">
        <v>0.5</v>
      </c>
      <c r="K182" s="13" t="inlineStr">
        <is>
          <t>SÍ</t>
        </is>
      </c>
      <c r="L182" s="16" t="inlineStr">
        <is>
          <t>—</t>
        </is>
      </c>
      <c r="M182" s="11" t="inlineStr">
        <is>
          <t>—</t>
        </is>
      </c>
      <c r="N182" s="16" t="inlineStr">
        <is>
          <t>—</t>
        </is>
      </c>
      <c r="O182" s="16" t="inlineStr">
        <is>
          <t>—</t>
        </is>
      </c>
      <c r="P182" s="16" t="inlineStr">
        <is>
          <t>42 St-Times Sq</t>
        </is>
      </c>
      <c r="Q182" s="16" t="inlineStr">
        <is>
          <t>Tres pisos de merchandising en Times Square. Es lo que promete, ni más ni menos.</t>
        </is>
      </c>
      <c r="R182" s="16" t="inlineStr">
        <is>
          <t>1600 Broadway</t>
        </is>
      </c>
      <c r="S182" s="16" t="inlineStr">
        <is>
          <t>—</t>
        </is>
      </c>
      <c r="T182" s="18" t="inlineStr">
        <is>
          <t>Abrir ↗</t>
        </is>
      </c>
      <c r="U182" s="19" t="inlineStr">
        <is>
          <t>lista google</t>
        </is>
      </c>
      <c r="V182" s="20" t="inlineStr"/>
    </row>
    <row r="183" ht="46" customHeight="1">
      <c r="A183" s="9" t="inlineStr">
        <is>
          <t>Green-Wood Cemetery</t>
        </is>
      </c>
      <c r="B183" s="10" t="inlineStr">
        <is>
          <t>Cementerio-jardín</t>
        </is>
      </c>
      <c r="C183" s="11" t="inlineStr">
        <is>
          <t>Parque</t>
        </is>
      </c>
      <c r="D183" s="11" t="inlineStr">
        <is>
          <t>Greenwood Heights</t>
        </is>
      </c>
      <c r="E183" s="11" t="inlineStr">
        <is>
          <t>Brooklyn</t>
        </is>
      </c>
      <c r="F183" s="12" t="n">
        <v>0</v>
      </c>
      <c r="G183" s="12" t="n">
        <v>0</v>
      </c>
      <c r="H183" s="13">
        <f>IF(AND(F183=2,G183=2),"AMBOS",IF(AND(F183=2,G183&lt;2),"solo JP",IF(AND(F183&lt;2,G183=2),"solo Thais","-")))</f>
        <v/>
      </c>
      <c r="I183" s="14" t="n">
        <v>0</v>
      </c>
      <c r="J183" s="15" t="n">
        <v>2.5</v>
      </c>
      <c r="K183" s="13" t="inlineStr">
        <is>
          <t>no</t>
        </is>
      </c>
      <c r="L183" s="16" t="inlineStr">
        <is>
          <t>—</t>
        </is>
      </c>
      <c r="M183" s="11" t="inlineStr">
        <is>
          <t>—</t>
        </is>
      </c>
      <c r="N183" s="16" t="inlineStr">
        <is>
          <t>—</t>
        </is>
      </c>
      <c r="O183" s="16" t="inlineStr">
        <is>
          <t>—</t>
        </is>
      </c>
      <c r="P183" s="16" t="inlineStr">
        <is>
          <t>25 St (R)</t>
        </is>
      </c>
      <c r="Q183" s="16" t="inlineStr">
        <is>
          <t>190 hectareas de cementerio-jardin victoriano de 1838, con la colina mas alta de Brooklyn y vista de Manhattan. Hay guia gratuita en la app Bloomberg Connects. Es un parque enorme donde no hay nadie.</t>
        </is>
      </c>
      <c r="R183" s="16" t="inlineStr">
        <is>
          <t>500 25th St, Brooklyn</t>
        </is>
      </c>
      <c r="S183" s="16" t="inlineStr">
        <is>
          <t>—</t>
        </is>
      </c>
      <c r="T183" s="18" t="inlineStr">
        <is>
          <t>Abrir ↗</t>
        </is>
      </c>
      <c r="U183" s="21" t="inlineStr">
        <is>
          <t>otros</t>
        </is>
      </c>
      <c r="V183" s="20" t="inlineStr"/>
    </row>
    <row r="184" ht="46" customHeight="1">
      <c r="A184" s="9" t="inlineStr">
        <is>
          <t>Inwood Hill Park</t>
        </is>
      </c>
      <c r="B184" s="10" t="inlineStr">
        <is>
          <t>Naturaleza</t>
        </is>
      </c>
      <c r="C184" s="11" t="inlineStr">
        <is>
          <t>Parque</t>
        </is>
      </c>
      <c r="D184" s="11" t="inlineStr">
        <is>
          <t>Inwood</t>
        </is>
      </c>
      <c r="E184" s="11" t="inlineStr">
        <is>
          <t>Manhattan</t>
        </is>
      </c>
      <c r="F184" s="12" t="n">
        <v>2</v>
      </c>
      <c r="G184" s="12" t="n">
        <v>0</v>
      </c>
      <c r="H184" s="13">
        <f>IF(AND(F184=2,G184=2),"AMBOS",IF(AND(F184=2,G184&lt;2),"solo JP",IF(AND(F184&lt;2,G184=2),"solo Thais","-")))</f>
        <v/>
      </c>
      <c r="I184" s="14" t="n">
        <v>0</v>
      </c>
      <c r="J184" s="15" t="n">
        <v>2</v>
      </c>
      <c r="K184" s="13" t="inlineStr">
        <is>
          <t>no</t>
        </is>
      </c>
      <c r="L184" s="16" t="inlineStr">
        <is>
          <t>—</t>
        </is>
      </c>
      <c r="M184" s="11" t="inlineStr">
        <is>
          <t>—</t>
        </is>
      </c>
      <c r="N184" s="16" t="inlineStr">
        <is>
          <t>—</t>
        </is>
      </c>
      <c r="O184" s="16" t="inlineStr">
        <is>
          <t>—</t>
        </is>
      </c>
      <c r="P184" s="16" t="inlineStr">
        <is>
          <t>Dyckman St o 207 St (A)</t>
        </is>
      </c>
      <c r="Q184" s="16" t="inlineStr">
        <is>
          <t>El unico bosque primario que queda en Manhattan, con cuevas de roca usadas por los Lenape y vista del Hudson y los Palisades. Cuesta creer que sea la misma isla.</t>
        </is>
      </c>
      <c r="R184" s="16" t="inlineStr">
        <is>
          <t>Inwood Hill Park, Manhattan</t>
        </is>
      </c>
      <c r="S184" s="16" t="inlineStr">
        <is>
          <t>—</t>
        </is>
      </c>
      <c r="T184" s="18" t="inlineStr">
        <is>
          <t>Abrir ↗</t>
        </is>
      </c>
      <c r="U184" s="21" t="inlineStr">
        <is>
          <t>otros</t>
        </is>
      </c>
      <c r="V184" s="20" t="inlineStr"/>
    </row>
    <row r="185" ht="46" customHeight="1">
      <c r="A185" s="9" t="inlineStr">
        <is>
          <t>Wave Hill</t>
        </is>
      </c>
      <c r="B185" s="10" t="inlineStr">
        <is>
          <t>Naturaleza</t>
        </is>
      </c>
      <c r="C185" s="11" t="inlineStr">
        <is>
          <t>Parque</t>
        </is>
      </c>
      <c r="D185" s="11" t="inlineStr">
        <is>
          <t>Riverdale</t>
        </is>
      </c>
      <c r="E185" s="11" t="inlineStr">
        <is>
          <t>Bronx</t>
        </is>
      </c>
      <c r="F185" s="12" t="n">
        <v>1</v>
      </c>
      <c r="G185" s="12" t="n">
        <v>1</v>
      </c>
      <c r="H185" s="13">
        <f>IF(AND(F185=2,G185=2),"AMBOS",IF(AND(F185=2,G185&lt;2),"solo JP",IF(AND(F185&lt;2,G185=2),"solo Thais","-")))</f>
        <v/>
      </c>
      <c r="I185" s="14" t="n">
        <v>10</v>
      </c>
      <c r="J185" s="15" t="n">
        <v>2.5</v>
      </c>
      <c r="K185" s="13" t="inlineStr">
        <is>
          <t>no</t>
        </is>
      </c>
      <c r="L185" s="16" t="inlineStr">
        <is>
          <t>—</t>
        </is>
      </c>
      <c r="M185" s="11" t="inlineStr">
        <is>
          <t>lunes</t>
        </is>
      </c>
      <c r="N185" s="16" t="inlineStr">
        <is>
          <t>—</t>
        </is>
      </c>
      <c r="O185" s="16" t="inlineStr">
        <is>
          <t>—</t>
        </is>
      </c>
      <c r="P185" s="16" t="inlineStr">
        <is>
          <t>Metro-North a Riverdale + shuttle</t>
        </is>
      </c>
      <c r="Q185" s="16" t="inlineStr">
        <is>
          <t>Jardin botanico sobre un acantilado del Hudson, con los Palisades enfrente. Es el lugar mas tranquilo de los cinco boroughs.</t>
        </is>
      </c>
      <c r="R185" s="16" t="inlineStr">
        <is>
          <t>4900 Independence Ave, Bronx</t>
        </is>
      </c>
      <c r="S185" s="16" t="inlineStr">
        <is>
          <t>—</t>
        </is>
      </c>
      <c r="T185" s="18" t="inlineStr">
        <is>
          <t>Abrir ↗</t>
        </is>
      </c>
      <c r="U185" s="19" t="inlineStr">
        <is>
          <t>lista google</t>
        </is>
      </c>
      <c r="V185" s="20" t="inlineStr"/>
    </row>
    <row r="186" ht="46" customHeight="1">
      <c r="A186" s="9" t="inlineStr">
        <is>
          <t>Socrates Sculpture Park</t>
        </is>
      </c>
      <c r="B186" s="10" t="inlineStr">
        <is>
          <t>Parque de esculturas</t>
        </is>
      </c>
      <c r="C186" s="11" t="inlineStr">
        <is>
          <t>Parque</t>
        </is>
      </c>
      <c r="D186" s="11" t="inlineStr">
        <is>
          <t>Long Island City</t>
        </is>
      </c>
      <c r="E186" s="11" t="inlineStr">
        <is>
          <t>Queens</t>
        </is>
      </c>
      <c r="F186" s="12" t="n">
        <v>0</v>
      </c>
      <c r="G186" s="12" t="n">
        <v>0</v>
      </c>
      <c r="H186" s="13">
        <f>IF(AND(F186=2,G186=2),"AMBOS",IF(AND(F186=2,G186&lt;2),"solo JP",IF(AND(F186&lt;2,G186=2),"solo Thais","-")))</f>
        <v/>
      </c>
      <c r="I186" s="14" t="n">
        <v>0</v>
      </c>
      <c r="J186" s="15" t="n">
        <v>1</v>
      </c>
      <c r="K186" s="13" t="inlineStr">
        <is>
          <t>no</t>
        </is>
      </c>
      <c r="L186" s="16" t="inlineStr">
        <is>
          <t>—</t>
        </is>
      </c>
      <c r="M186" s="11" t="inlineStr">
        <is>
          <t>—</t>
        </is>
      </c>
      <c r="N186" s="16" t="inlineStr">
        <is>
          <t>—</t>
        </is>
      </c>
      <c r="O186" s="16" t="inlineStr">
        <is>
          <t>—</t>
        </is>
      </c>
      <c r="P186" s="16" t="inlineStr">
        <is>
          <t>Broadway (N,W)</t>
        </is>
      </c>
      <c r="Q186" s="16" t="inlineStr">
        <is>
          <t>Ex basural convertido en parque de esculturas sobre el East River. 'Homecoming' de Chakaia Booker (esculturas de neumaticos) hasta abril 2027. A 5 minutos del Noguchi.</t>
        </is>
      </c>
      <c r="R186" s="16" t="inlineStr">
        <is>
          <t>32-01 Vernon Blvd, LIC</t>
        </is>
      </c>
      <c r="S186" s="16" t="inlineStr">
        <is>
          <t>—</t>
        </is>
      </c>
      <c r="T186" s="18" t="inlineStr">
        <is>
          <t>Abrir ↗</t>
        </is>
      </c>
      <c r="U186" s="21" t="inlineStr">
        <is>
          <t>otros</t>
        </is>
      </c>
      <c r="V186" s="20" t="inlineStr"/>
    </row>
    <row r="187" ht="46" customHeight="1">
      <c r="A187" s="9" t="inlineStr">
        <is>
          <t>Astoria Park</t>
        </is>
      </c>
      <c r="B187" s="10" t="inlineStr">
        <is>
          <t>Parque urbano</t>
        </is>
      </c>
      <c r="C187" s="11" t="inlineStr">
        <is>
          <t>Parque</t>
        </is>
      </c>
      <c r="D187" s="11" t="inlineStr">
        <is>
          <t>Astoria</t>
        </is>
      </c>
      <c r="E187" s="11" t="inlineStr">
        <is>
          <t>Queens</t>
        </is>
      </c>
      <c r="F187" s="12" t="n">
        <v>1</v>
      </c>
      <c r="G187" s="12" t="n">
        <v>1</v>
      </c>
      <c r="H187" s="13">
        <f>IF(AND(F187=2,G187=2),"AMBOS",IF(AND(F187=2,G187&lt;2),"solo JP",IF(AND(F187&lt;2,G187=2),"solo Thais","-")))</f>
        <v/>
      </c>
      <c r="I187" s="14" t="n">
        <v>0</v>
      </c>
      <c r="J187" s="15" t="n">
        <v>1</v>
      </c>
      <c r="K187" s="13" t="inlineStr">
        <is>
          <t>no</t>
        </is>
      </c>
      <c r="L187" s="16" t="inlineStr">
        <is>
          <t>—</t>
        </is>
      </c>
      <c r="M187" s="11" t="inlineStr">
        <is>
          <t>—</t>
        </is>
      </c>
      <c r="N187" s="16" t="inlineStr">
        <is>
          <t>—</t>
        </is>
      </c>
      <c r="O187" s="16" t="inlineStr">
        <is>
          <t>—</t>
        </is>
      </c>
      <c r="P187" s="16" t="inlineStr">
        <is>
          <t>Astoria Blvd (N,W) + caminata</t>
        </is>
      </c>
      <c r="Q187" s="16" t="inlineStr">
        <is>
          <t>Debajo del Hell Gate Bridge, con el Triborough al lado y Manhattan enfrente. Al atardecer es de los mejores lugares de la ciudad y solo hay vecinos corriendo.</t>
        </is>
      </c>
      <c r="R187" s="16" t="inlineStr">
        <is>
          <t>19th St &amp; 23rd Ave, Astoria</t>
        </is>
      </c>
      <c r="S187" s="16" t="inlineStr">
        <is>
          <t>—</t>
        </is>
      </c>
      <c r="T187" s="18" t="inlineStr">
        <is>
          <t>Abrir ↗</t>
        </is>
      </c>
      <c r="U187" s="21" t="inlineStr">
        <is>
          <t>otros</t>
        </is>
      </c>
      <c r="V187" s="20" t="inlineStr"/>
    </row>
    <row r="188" ht="46" customHeight="1">
      <c r="A188" s="9" t="inlineStr">
        <is>
          <t>Battery Park</t>
        </is>
      </c>
      <c r="B188" s="10" t="inlineStr">
        <is>
          <t>Parque urbano</t>
        </is>
      </c>
      <c r="C188" s="11" t="inlineStr">
        <is>
          <t>Parque</t>
        </is>
      </c>
      <c r="D188" s="11" t="inlineStr">
        <is>
          <t>Financial District</t>
        </is>
      </c>
      <c r="E188" s="11" t="inlineStr">
        <is>
          <t>Manhattan</t>
        </is>
      </c>
      <c r="F188" s="12" t="n">
        <v>1</v>
      </c>
      <c r="G188" s="12" t="n">
        <v>1</v>
      </c>
      <c r="H188" s="13">
        <f>IF(AND(F188=2,G188=2),"AMBOS",IF(AND(F188=2,G188&lt;2),"solo JP",IF(AND(F188&lt;2,G188=2),"solo Thais","-")))</f>
        <v/>
      </c>
      <c r="I188" s="14" t="n">
        <v>0</v>
      </c>
      <c r="J188" s="15" t="n">
        <v>0.75</v>
      </c>
      <c r="K188" s="13" t="inlineStr">
        <is>
          <t>SÍ</t>
        </is>
      </c>
      <c r="L188" s="16" t="inlineStr">
        <is>
          <t>—</t>
        </is>
      </c>
      <c r="M188" s="11" t="inlineStr">
        <is>
          <t>—</t>
        </is>
      </c>
      <c r="N188" s="16" t="inlineStr">
        <is>
          <t>—</t>
        </is>
      </c>
      <c r="O188" s="16" t="inlineStr">
        <is>
          <t>—</t>
        </is>
      </c>
      <c r="P188" s="16" t="inlineStr">
        <is>
          <t>Bowling Green (4,5), South Ferry (1)</t>
        </is>
      </c>
      <c r="Q188" s="16" t="inlineStr">
        <is>
          <t>La punta sur de la isla: la bahía, la Estatua a lo lejos y el embarcadero del ferry. Gratis.</t>
        </is>
      </c>
      <c r="R188" s="16" t="inlineStr"/>
      <c r="S188" s="16" t="inlineStr">
        <is>
          <t>—</t>
        </is>
      </c>
      <c r="T188" s="18" t="inlineStr">
        <is>
          <t>Abrir ↗</t>
        </is>
      </c>
      <c r="U188" s="19" t="inlineStr">
        <is>
          <t>lista google</t>
        </is>
      </c>
      <c r="V188" s="20" t="inlineStr"/>
    </row>
    <row r="189" ht="46" customHeight="1">
      <c r="A189" s="9" t="inlineStr">
        <is>
          <t>Brooklyn Bridge Park</t>
        </is>
      </c>
      <c r="B189" s="10" t="inlineStr">
        <is>
          <t>Parque urbano</t>
        </is>
      </c>
      <c r="C189" s="11" t="inlineStr">
        <is>
          <t>Parque</t>
        </is>
      </c>
      <c r="D189" s="11" t="inlineStr">
        <is>
          <t>DUMBO / Brooklyn Heights</t>
        </is>
      </c>
      <c r="E189" s="11" t="inlineStr">
        <is>
          <t>Brooklyn</t>
        </is>
      </c>
      <c r="F189" s="12" t="n">
        <v>2</v>
      </c>
      <c r="G189" s="12" t="n">
        <v>2</v>
      </c>
      <c r="H189" s="13">
        <f>IF(AND(F189=2,G189=2),"AMBOS",IF(AND(F189=2,G189&lt;2),"solo JP",IF(AND(F189&lt;2,G189=2),"solo Thais","-")))</f>
        <v/>
      </c>
      <c r="I189" s="14" t="n">
        <v>0</v>
      </c>
      <c r="J189" s="15" t="n">
        <v>1.5</v>
      </c>
      <c r="K189" s="13" t="inlineStr">
        <is>
          <t>SÍ</t>
        </is>
      </c>
      <c r="L189" s="16" t="inlineStr">
        <is>
          <t>—</t>
        </is>
      </c>
      <c r="M189" s="11" t="inlineStr">
        <is>
          <t>—</t>
        </is>
      </c>
      <c r="N189" s="16" t="inlineStr">
        <is>
          <t>—</t>
        </is>
      </c>
      <c r="O189" s="16" t="inlineStr">
        <is>
          <t>—</t>
        </is>
      </c>
      <c r="P189" s="16" t="inlineStr">
        <is>
          <t>York St (F), High St (A,C)</t>
        </is>
      </c>
      <c r="Q189" s="16" t="inlineStr">
        <is>
          <t>Muelles reconvertidos con el skyline de Lower Manhattan de frente. Woody De Othello, 'Guardian Spirit', en el Pier 1 hasta marzo 2027.</t>
        </is>
      </c>
      <c r="R189" s="16" t="inlineStr">
        <is>
          <t>334 Furman St, Brooklyn</t>
        </is>
      </c>
      <c r="S189" s="17" t="inlineStr">
        <is>
          <t>Día 8 · sáb 5/9</t>
        </is>
      </c>
      <c r="T189" s="18" t="inlineStr">
        <is>
          <t>Abrir ↗</t>
        </is>
      </c>
      <c r="U189" s="21" t="inlineStr">
        <is>
          <t>otros</t>
        </is>
      </c>
      <c r="V189" s="20" t="inlineStr">
        <is>
          <t>SÍ</t>
        </is>
      </c>
    </row>
    <row r="190" ht="46" customHeight="1">
      <c r="A190" s="9" t="inlineStr">
        <is>
          <t>Bryant Park</t>
        </is>
      </c>
      <c r="B190" s="10" t="inlineStr">
        <is>
          <t>Parque urbano</t>
        </is>
      </c>
      <c r="C190" s="11" t="inlineStr">
        <is>
          <t>Parque</t>
        </is>
      </c>
      <c r="D190" s="11" t="inlineStr">
        <is>
          <t>Midtown</t>
        </is>
      </c>
      <c r="E190" s="11" t="inlineStr">
        <is>
          <t>Manhattan</t>
        </is>
      </c>
      <c r="F190" s="12" t="n">
        <v>2</v>
      </c>
      <c r="G190" s="12" t="n">
        <v>0</v>
      </c>
      <c r="H190" s="13">
        <f>IF(AND(F190=2,G190=2),"AMBOS",IF(AND(F190=2,G190&lt;2),"solo JP",IF(AND(F190&lt;2,G190=2),"solo Thais","-")))</f>
        <v/>
      </c>
      <c r="I190" s="14" t="n">
        <v>0</v>
      </c>
      <c r="J190" s="15" t="n">
        <v>0.75</v>
      </c>
      <c r="K190" s="13" t="inlineStr">
        <is>
          <t>SÍ</t>
        </is>
      </c>
      <c r="L190" s="16" t="inlineStr">
        <is>
          <t>—</t>
        </is>
      </c>
      <c r="M190" s="11" t="inlineStr">
        <is>
          <t>—</t>
        </is>
      </c>
      <c r="N190" s="16" t="inlineStr">
        <is>
          <t>—</t>
        </is>
      </c>
      <c r="O190" s="16" t="inlineStr">
        <is>
          <t>—</t>
        </is>
      </c>
      <c r="P190" s="16" t="inlineStr">
        <is>
          <t>5 Av-Bryant Pk (7,B,D,F,M)</t>
        </is>
      </c>
      <c r="Q190" s="16" t="inlineStr">
        <is>
          <t>El patio trasero de la Biblioteca Publica. Picnic Performances gratis toda la temporada: sab 29/8 (Accordion Festival), jue 3 y vie 4/9 (Brass Festival).</t>
        </is>
      </c>
      <c r="R190" s="16" t="inlineStr">
        <is>
          <t>Bryant Park, New York</t>
        </is>
      </c>
      <c r="S190" s="17" t="inlineStr">
        <is>
          <t>Día 3 · lun 31/8</t>
        </is>
      </c>
      <c r="T190" s="18" t="inlineStr">
        <is>
          <t>Abrir ↗</t>
        </is>
      </c>
      <c r="U190" s="21" t="inlineStr">
        <is>
          <t>otros</t>
        </is>
      </c>
      <c r="V190" s="20" t="inlineStr">
        <is>
          <t>SÍ</t>
        </is>
      </c>
    </row>
    <row r="191" ht="46" customHeight="1">
      <c r="A191" s="9" t="inlineStr">
        <is>
          <t>Central Park</t>
        </is>
      </c>
      <c r="B191" s="10" t="inlineStr">
        <is>
          <t>Parque urbano</t>
        </is>
      </c>
      <c r="C191" s="11" t="inlineStr">
        <is>
          <t>Parque</t>
        </is>
      </c>
      <c r="D191" s="11" t="inlineStr">
        <is>
          <t>Central Park</t>
        </is>
      </c>
      <c r="E191" s="11" t="inlineStr">
        <is>
          <t>Manhattan</t>
        </is>
      </c>
      <c r="F191" s="12" t="n">
        <v>2</v>
      </c>
      <c r="G191" s="12" t="n">
        <v>2</v>
      </c>
      <c r="H191" s="13">
        <f>IF(AND(F191=2,G191=2),"AMBOS",IF(AND(F191=2,G191&lt;2),"solo JP",IF(AND(F191&lt;2,G191=2),"solo Thais","-")))</f>
        <v/>
      </c>
      <c r="I191" s="14" t="n">
        <v>0</v>
      </c>
      <c r="J191" s="15" t="n">
        <v>3</v>
      </c>
      <c r="K191" s="13" t="inlineStr">
        <is>
          <t>SÍ</t>
        </is>
      </c>
      <c r="L191" s="16" t="inlineStr">
        <is>
          <t>—</t>
        </is>
      </c>
      <c r="M191" s="11" t="inlineStr">
        <is>
          <t>—</t>
        </is>
      </c>
      <c r="N191" s="16" t="inlineStr">
        <is>
          <t>—</t>
        </is>
      </c>
      <c r="O191" s="16" t="inlineStr">
        <is>
          <t>—</t>
        </is>
      </c>
      <c r="P191" s="16" t="inlineStr">
        <is>
          <t>multiples: 72 St (B,C), 59 St-Columbus Circle, 86 St</t>
        </is>
      </c>
      <c r="Q191" s="16" t="inlineStr">
        <is>
          <t>Bethesda Terrace, el Ramble, Bow Bridge, el Reservoir. La mitad norte (arriba de la 96) esta casi vacia y es la mejor. A dos cuadras del hotel The Beacon.</t>
        </is>
      </c>
      <c r="R191" s="16" t="inlineStr">
        <is>
          <t>Central Park, New York</t>
        </is>
      </c>
      <c r="S191" s="17" t="inlineStr">
        <is>
          <t>Día 9 · dom 6/9</t>
        </is>
      </c>
      <c r="T191" s="18" t="inlineStr">
        <is>
          <t>Abrir ↗</t>
        </is>
      </c>
      <c r="U191" s="21" t="inlineStr">
        <is>
          <t>otros</t>
        </is>
      </c>
      <c r="V191" s="20" t="inlineStr">
        <is>
          <t>SÍ</t>
        </is>
      </c>
    </row>
    <row r="192" ht="46" customHeight="1">
      <c r="A192" s="9" t="inlineStr">
        <is>
          <t>Prospect Park</t>
        </is>
      </c>
      <c r="B192" s="10" t="inlineStr">
        <is>
          <t>Parque urbano</t>
        </is>
      </c>
      <c r="C192" s="11" t="inlineStr">
        <is>
          <t>Parque</t>
        </is>
      </c>
      <c r="D192" s="11" t="inlineStr">
        <is>
          <t>Park Slope</t>
        </is>
      </c>
      <c r="E192" s="11" t="inlineStr">
        <is>
          <t>Brooklyn</t>
        </is>
      </c>
      <c r="F192" s="12" t="n">
        <v>1</v>
      </c>
      <c r="G192" s="12" t="n">
        <v>1</v>
      </c>
      <c r="H192" s="13">
        <f>IF(AND(F192=2,G192=2),"AMBOS",IF(AND(F192=2,G192&lt;2),"solo JP",IF(AND(F192&lt;2,G192=2),"solo Thais","-")))</f>
        <v/>
      </c>
      <c r="I192" s="14" t="n">
        <v>0</v>
      </c>
      <c r="J192" s="15" t="n">
        <v>1.5</v>
      </c>
      <c r="K192" s="13" t="inlineStr">
        <is>
          <t>no</t>
        </is>
      </c>
      <c r="L192" s="16" t="inlineStr">
        <is>
          <t>—</t>
        </is>
      </c>
      <c r="M192" s="11" t="inlineStr">
        <is>
          <t>—</t>
        </is>
      </c>
      <c r="N192" s="16" t="inlineStr">
        <is>
          <t>—</t>
        </is>
      </c>
      <c r="O192" s="16" t="inlineStr">
        <is>
          <t>—</t>
        </is>
      </c>
      <c r="P192" s="16" t="inlineStr">
        <is>
          <t>Grand Army Plaza (2,3)</t>
        </is>
      </c>
      <c r="Q192" s="16" t="inlineStr">
        <is>
          <t>El parque que Olmsted y Vaux consideraban SU obra maestra, mejor que Central Park: más bosque y menos turistas.</t>
        </is>
      </c>
      <c r="R192" s="16" t="inlineStr"/>
      <c r="S192" s="16" t="inlineStr">
        <is>
          <t>—</t>
        </is>
      </c>
      <c r="T192" s="18" t="inlineStr">
        <is>
          <t>Abrir ↗</t>
        </is>
      </c>
      <c r="U192" s="19" t="inlineStr">
        <is>
          <t>lista google</t>
        </is>
      </c>
      <c r="V192" s="20" t="inlineStr"/>
    </row>
    <row r="193" ht="46" customHeight="1">
      <c r="A193" s="9" t="inlineStr">
        <is>
          <t>Washington Square Park</t>
        </is>
      </c>
      <c r="B193" s="10" t="inlineStr">
        <is>
          <t>Parque urbano</t>
        </is>
      </c>
      <c r="C193" s="11" t="inlineStr">
        <is>
          <t>Parque</t>
        </is>
      </c>
      <c r="D193" s="11" t="inlineStr">
        <is>
          <t>Greenwich Village</t>
        </is>
      </c>
      <c r="E193" s="11" t="inlineStr">
        <is>
          <t>Manhattan</t>
        </is>
      </c>
      <c r="F193" s="12" t="n">
        <v>2</v>
      </c>
      <c r="G193" s="12" t="n">
        <v>0</v>
      </c>
      <c r="H193" s="13">
        <f>IF(AND(F193=2,G193=2),"AMBOS",IF(AND(F193=2,G193&lt;2),"solo JP",IF(AND(F193&lt;2,G193=2),"solo Thais","-")))</f>
        <v/>
      </c>
      <c r="I193" s="14" t="n">
        <v>0</v>
      </c>
      <c r="J193" s="15" t="n">
        <v>0.75</v>
      </c>
      <c r="K193" s="13" t="inlineStr">
        <is>
          <t>SÍ</t>
        </is>
      </c>
      <c r="L193" s="16" t="inlineStr">
        <is>
          <t>—</t>
        </is>
      </c>
      <c r="M193" s="11" t="inlineStr">
        <is>
          <t>—</t>
        </is>
      </c>
      <c r="N193" s="16" t="inlineStr">
        <is>
          <t>—</t>
        </is>
      </c>
      <c r="O193" s="16" t="inlineStr">
        <is>
          <t>—</t>
        </is>
      </c>
      <c r="P193" s="16" t="inlineStr">
        <is>
          <t>W 4 St (A,B,C,D,E,F,M), 8 St-NYU (R,W)</t>
        </is>
      </c>
      <c r="Q193" s="16" t="inlineStr">
        <is>
          <t>El arco, el piano ambulante, los ajedrecistas y NYU alrededor. Es el mejor lugar de la ciudad para sentarse una hora a mirar gente.</t>
        </is>
      </c>
      <c r="R193" s="16" t="inlineStr">
        <is>
          <t>Washington Square Park</t>
        </is>
      </c>
      <c r="S193" s="17" t="inlineStr">
        <is>
          <t>Día 4 · mar 1/9</t>
        </is>
      </c>
      <c r="T193" s="18" t="inlineStr">
        <is>
          <t>Abrir ↗</t>
        </is>
      </c>
      <c r="U193" s="19" t="inlineStr">
        <is>
          <t>lista google</t>
        </is>
      </c>
      <c r="V193" s="20" t="inlineStr"/>
    </row>
    <row r="194" ht="46" customHeight="1">
      <c r="A194" s="9" t="inlineStr">
        <is>
          <t>The High Line</t>
        </is>
      </c>
      <c r="B194" s="10" t="inlineStr">
        <is>
          <t>Paseo elevado</t>
        </is>
      </c>
      <c r="C194" s="11" t="inlineStr">
        <is>
          <t>Parque</t>
        </is>
      </c>
      <c r="D194" s="11" t="inlineStr">
        <is>
          <t>Chelsea / Meatpacking</t>
        </is>
      </c>
      <c r="E194" s="11" t="inlineStr">
        <is>
          <t>Manhattan</t>
        </is>
      </c>
      <c r="F194" s="12" t="n">
        <v>2</v>
      </c>
      <c r="G194" s="12" t="n">
        <v>2</v>
      </c>
      <c r="H194" s="13">
        <f>IF(AND(F194=2,G194=2),"AMBOS",IF(AND(F194=2,G194&lt;2),"solo JP",IF(AND(F194&lt;2,G194=2),"solo Thais","-")))</f>
        <v/>
      </c>
      <c r="I194" s="14" t="n">
        <v>0</v>
      </c>
      <c r="J194" s="15" t="n">
        <v>1.5</v>
      </c>
      <c r="K194" s="13" t="inlineStr">
        <is>
          <t>SÍ</t>
        </is>
      </c>
      <c r="L194" s="16" t="inlineStr">
        <is>
          <t>—</t>
        </is>
      </c>
      <c r="M194" s="11" t="inlineStr">
        <is>
          <t>—</t>
        </is>
      </c>
      <c r="N194" s="16" t="inlineStr">
        <is>
          <t>—</t>
        </is>
      </c>
      <c r="O194" s="16" t="inlineStr">
        <is>
          <t>—</t>
        </is>
      </c>
      <c r="P194" s="16" t="inlineStr">
        <is>
          <t>14 St (A,C,E), 34 St-Hudson Yards (7)</t>
        </is>
      </c>
      <c r="Q194" s="16" t="inlineStr">
        <is>
          <t>Via ferroviaria elevada convertida en parque lineal de 2,3 km. Recorrer de sur a norte por la luz. Incluye 'The Light That Shines Through the Universe' de Tuan Andrew Nguyen, un Buda de arenisca de 9 metros.</t>
        </is>
      </c>
      <c r="R194" s="16" t="inlineStr">
        <is>
          <t>High Line, Gansevoort St a W 34th St</t>
        </is>
      </c>
      <c r="S194" s="17" t="inlineStr">
        <is>
          <t>Día 7 · vie 4/9</t>
        </is>
      </c>
      <c r="T194" s="18" t="inlineStr">
        <is>
          <t>Abrir ↗</t>
        </is>
      </c>
      <c r="U194" s="19" t="inlineStr">
        <is>
          <t>lista google</t>
        </is>
      </c>
      <c r="V194" s="20" t="inlineStr">
        <is>
          <t>SÍ</t>
        </is>
      </c>
    </row>
    <row r="195" ht="46" customHeight="1">
      <c r="A195" s="23" t="inlineStr">
        <is>
          <t>US Open (primeras rondas)</t>
        </is>
      </c>
      <c r="B195" s="24" t="inlineStr">
        <is>
          <t>Deporte</t>
        </is>
      </c>
      <c r="C195" s="25" t="inlineStr">
        <is>
          <t>Evento</t>
        </is>
      </c>
      <c r="D195" s="25" t="inlineStr">
        <is>
          <t>Flushing Meadows</t>
        </is>
      </c>
      <c r="E195" s="25" t="inlineStr">
        <is>
          <t>Queens</t>
        </is>
      </c>
      <c r="F195" s="12" t="n">
        <v>0</v>
      </c>
      <c r="G195" s="12" t="n">
        <v>0</v>
      </c>
      <c r="H195" s="26">
        <f>IF(AND(F195=2,G195=2),"AMBOS",IF(AND(F195=2,G195&lt;2),"solo JP",IF(AND(F195&lt;2,G195=2),"solo Thais","-")))</f>
        <v/>
      </c>
      <c r="I195" s="27" t="n">
        <v>80</v>
      </c>
      <c r="J195" s="28" t="n">
        <v>7</v>
      </c>
      <c r="K195" s="26" t="inlineStr">
        <is>
          <t>no</t>
        </is>
      </c>
      <c r="L195" s="29" t="inlineStr">
        <is>
          <t>—</t>
        </is>
      </c>
      <c r="M195" s="25" t="inlineStr">
        <is>
          <t>—</t>
        </is>
      </c>
      <c r="N195" s="29" t="inlineStr">
        <is>
          <t>—</t>
        </is>
      </c>
      <c r="O195" s="29" t="inlineStr">
        <is>
          <t>Ticketmaster</t>
        </is>
      </c>
      <c r="P195" s="29" t="inlineStr">
        <is>
          <t>Mets-Willets Point (7)</t>
        </is>
      </c>
      <c r="Q195" s="29" t="inlineStr">
        <is>
          <t>Cuadro principal del 30 de agosto al 13 de septiembre. Las primeras rondas (30 ago - 2 sep) son cuando mas partidos simultaneos hay y el grounds pass rinde mas: se ve a metros en las canchas exteriores. Se come un dia entero.</t>
        </is>
      </c>
      <c r="R195" s="29" t="inlineStr">
        <is>
          <t>USTA Billie Jean King NTC, Flushing</t>
        </is>
      </c>
      <c r="S195" s="29" t="inlineStr">
        <is>
          <t>—</t>
        </is>
      </c>
      <c r="T195" s="30" t="inlineStr">
        <is>
          <t>Abrir ↗</t>
        </is>
      </c>
      <c r="U195" s="31" t="inlineStr">
        <is>
          <t>otros</t>
        </is>
      </c>
      <c r="V195" s="20" t="inlineStr"/>
    </row>
    <row r="196" ht="46" customHeight="1">
      <c r="A196" s="23" t="inlineStr">
        <is>
          <t>Charlie Parker Jazz Festival - East Village</t>
        </is>
      </c>
      <c r="B196" s="24" t="inlineStr">
        <is>
          <t>Festival gratis</t>
        </is>
      </c>
      <c r="C196" s="25" t="inlineStr">
        <is>
          <t>Evento</t>
        </is>
      </c>
      <c r="D196" s="25" t="inlineStr">
        <is>
          <t>East Village</t>
        </is>
      </c>
      <c r="E196" s="25" t="inlineStr">
        <is>
          <t>Manhattan</t>
        </is>
      </c>
      <c r="F196" s="12" t="n">
        <v>0</v>
      </c>
      <c r="G196" s="12" t="n">
        <v>0</v>
      </c>
      <c r="H196" s="26">
        <f>IF(AND(F196=2,G196=2),"AMBOS",IF(AND(F196=2,G196&lt;2),"solo JP",IF(AND(F196&lt;2,G196=2),"solo Thais","-")))</f>
        <v/>
      </c>
      <c r="I196" s="27" t="n">
        <v>0</v>
      </c>
      <c r="J196" s="28" t="n">
        <v>4</v>
      </c>
      <c r="K196" s="26" t="inlineStr">
        <is>
          <t>no</t>
        </is>
      </c>
      <c r="L196" s="29" t="inlineStr">
        <is>
          <t>—</t>
        </is>
      </c>
      <c r="M196" s="25" t="inlineStr">
        <is>
          <t>—</t>
        </is>
      </c>
      <c r="N196" s="29" t="inlineStr">
        <is>
          <t>—</t>
        </is>
      </c>
      <c r="O196" s="29" t="inlineStr">
        <is>
          <t>—</t>
        </is>
      </c>
      <c r="P196" s="29" t="inlineStr">
        <is>
          <t>1 Av (L), Astor Pl (6)</t>
        </is>
      </c>
      <c r="Q196" s="29" t="inlineStr">
        <is>
          <t>DOMINGO 30 DE AGOSTO, 15-19h. Ravi Coltrane (headliner), Billy Hart Quartet, Kassa Overall, Vanisha Gould. Segundo dia del festival, en el East Village.</t>
        </is>
      </c>
      <c r="R196" s="29" t="inlineStr">
        <is>
          <t>Tompkins Square Park</t>
        </is>
      </c>
      <c r="S196" s="29" t="inlineStr">
        <is>
          <t>—</t>
        </is>
      </c>
      <c r="T196" s="30" t="inlineStr">
        <is>
          <t>Abrir ↗</t>
        </is>
      </c>
      <c r="U196" s="31" t="inlineStr">
        <is>
          <t>otros</t>
        </is>
      </c>
      <c r="V196" s="20" t="inlineStr"/>
    </row>
    <row r="197" ht="46" customHeight="1">
      <c r="A197" s="23" t="inlineStr">
        <is>
          <t>Charlie Parker Jazz Festival - Harlem</t>
        </is>
      </c>
      <c r="B197" s="24" t="inlineStr">
        <is>
          <t>Festival gratis</t>
        </is>
      </c>
      <c r="C197" s="25" t="inlineStr">
        <is>
          <t>Evento</t>
        </is>
      </c>
      <c r="D197" s="25" t="inlineStr">
        <is>
          <t>Harlem</t>
        </is>
      </c>
      <c r="E197" s="25" t="inlineStr">
        <is>
          <t>Manhattan</t>
        </is>
      </c>
      <c r="F197" s="12" t="n">
        <v>2</v>
      </c>
      <c r="G197" s="12" t="n">
        <v>2</v>
      </c>
      <c r="H197" s="26">
        <f>IF(AND(F197=2,G197=2),"AMBOS",IF(AND(F197=2,G197&lt;2),"solo JP",IF(AND(F197&lt;2,G197=2),"solo Thais","-")))</f>
        <v/>
      </c>
      <c r="I197" s="27" t="n">
        <v>0</v>
      </c>
      <c r="J197" s="28" t="n">
        <v>4</v>
      </c>
      <c r="K197" s="26" t="inlineStr">
        <is>
          <t>no</t>
        </is>
      </c>
      <c r="L197" s="29" t="inlineStr">
        <is>
          <t>—</t>
        </is>
      </c>
      <c r="M197" s="25" t="inlineStr">
        <is>
          <t>—</t>
        </is>
      </c>
      <c r="N197" s="29" t="inlineStr">
        <is>
          <t>—</t>
        </is>
      </c>
      <c r="O197" s="29" t="inlineStr">
        <is>
          <t>—</t>
        </is>
      </c>
      <c r="P197" s="29" t="inlineStr">
        <is>
          <t>125 St (2,3)</t>
        </is>
      </c>
      <c r="Q197" s="29" t="inlineStr">
        <is>
          <t>SABADO 29 DE AGOSTO, 14-19h. Joshua Redman (headliner), Nat Adderley Jr., Catherine Russell, Nicole Glover. Gratis, al aire libre, con el mismo nivel artistico que se paga $60-80 en un club. Llevar manta y llegar 1-2 h antes del headliner.</t>
        </is>
      </c>
      <c r="R197" s="29" t="inlineStr">
        <is>
          <t>Marcus Garvey Park, Harlem</t>
        </is>
      </c>
      <c r="S197" s="17" t="inlineStr">
        <is>
          <t>Día 1 · sáb 29/8</t>
        </is>
      </c>
      <c r="T197" s="30" t="inlineStr">
        <is>
          <t>Abrir ↗</t>
        </is>
      </c>
      <c r="U197" s="31" t="inlineStr">
        <is>
          <t>otros</t>
        </is>
      </c>
      <c r="V197" s="20" t="inlineStr">
        <is>
          <t>SÍ</t>
        </is>
      </c>
    </row>
    <row r="198" ht="46" customHeight="1">
      <c r="A198" s="23" t="inlineStr">
        <is>
          <t>SummerStage: Christian McBride (gratis)</t>
        </is>
      </c>
      <c r="B198" s="24" t="inlineStr">
        <is>
          <t>Festival gratis</t>
        </is>
      </c>
      <c r="C198" s="25" t="inlineStr">
        <is>
          <t>Evento</t>
        </is>
      </c>
      <c r="D198" s="25" t="inlineStr">
        <is>
          <t>Central Park</t>
        </is>
      </c>
      <c r="E198" s="25" t="inlineStr">
        <is>
          <t>Manhattan</t>
        </is>
      </c>
      <c r="F198" s="12" t="n">
        <v>2</v>
      </c>
      <c r="G198" s="12" t="n">
        <v>0</v>
      </c>
      <c r="H198" s="26">
        <f>IF(AND(F198=2,G198=2),"AMBOS",IF(AND(F198=2,G198&lt;2),"solo JP",IF(AND(F198&lt;2,G198=2),"solo Thais","-")))</f>
        <v/>
      </c>
      <c r="I198" s="27" t="n">
        <v>0</v>
      </c>
      <c r="J198" s="28" t="n">
        <v>3</v>
      </c>
      <c r="K198" s="26" t="inlineStr">
        <is>
          <t>no</t>
        </is>
      </c>
      <c r="L198" s="29" t="inlineStr">
        <is>
          <t>—</t>
        </is>
      </c>
      <c r="M198" s="25" t="inlineStr">
        <is>
          <t>—</t>
        </is>
      </c>
      <c r="N198" s="29" t="inlineStr">
        <is>
          <t>—</t>
        </is>
      </c>
      <c r="O198" s="29" t="inlineStr">
        <is>
          <t>—</t>
        </is>
      </c>
      <c r="P198" s="29" t="inlineStr">
        <is>
          <t>72 St (B,C)</t>
        </is>
      </c>
      <c r="Q198" s="29" t="inlineStr">
        <is>
          <t>MIERCOLES 2 DE SEPTIEMBRE. Christian McBride + SAMARA JOY (Verve 70 aniversario) + Mei Semones &amp; Friends tocando Getz/Gilberto. Puertas 18:00, show 19:00-22:00. Gratis, sin ticket, por orden de llegada: con ese cartel hay que llegar bastante antes de las 18:00.</t>
        </is>
      </c>
      <c r="R198" s="29" t="inlineStr">
        <is>
          <t>Rumsey Playfield, Central Park</t>
        </is>
      </c>
      <c r="S198" s="17" t="inlineStr">
        <is>
          <t>Día 5 · mié 2/9</t>
        </is>
      </c>
      <c r="T198" s="30" t="inlineStr">
        <is>
          <t>Abrir ↗</t>
        </is>
      </c>
      <c r="U198" s="31" t="inlineStr">
        <is>
          <t>otros</t>
        </is>
      </c>
      <c r="V198" s="20" t="inlineStr">
        <is>
          <t>SÍ</t>
        </is>
      </c>
    </row>
    <row r="199" ht="46" customHeight="1">
      <c r="A199" s="23" t="inlineStr">
        <is>
          <t>NY Caribbean Carnival Week (Panorama)</t>
        </is>
      </c>
      <c r="B199" s="24" t="inlineStr">
        <is>
          <t>Festival pago</t>
        </is>
      </c>
      <c r="C199" s="25" t="inlineStr">
        <is>
          <t>Evento</t>
        </is>
      </c>
      <c r="D199" s="25" t="inlineStr">
        <is>
          <t>Prospect Heights</t>
        </is>
      </c>
      <c r="E199" s="25" t="inlineStr">
        <is>
          <t>Brooklyn</t>
        </is>
      </c>
      <c r="F199" s="12" t="n">
        <v>1</v>
      </c>
      <c r="G199" s="12" t="n">
        <v>1</v>
      </c>
      <c r="H199" s="26">
        <f>IF(AND(F199=2,G199=2),"AMBOS",IF(AND(F199=2,G199&lt;2),"solo JP",IF(AND(F199&lt;2,G199=2),"solo Thais","-")))</f>
        <v/>
      </c>
      <c r="I199" s="27" t="n">
        <v>30</v>
      </c>
      <c r="J199" s="28" t="n">
        <v>4</v>
      </c>
      <c r="K199" s="26" t="inlineStr">
        <is>
          <t>no</t>
        </is>
      </c>
      <c r="L199" s="29" t="inlineStr">
        <is>
          <t>—</t>
        </is>
      </c>
      <c r="M199" s="25" t="inlineStr">
        <is>
          <t>—</t>
        </is>
      </c>
      <c r="N199" s="29" t="inlineStr">
        <is>
          <t>—</t>
        </is>
      </c>
      <c r="O199" s="29" t="inlineStr">
        <is>
          <t>—</t>
        </is>
      </c>
      <c r="P199" s="29" t="inlineStr">
        <is>
          <t>Eastern Pkwy-Brooklyn Museum (2,3)</t>
        </is>
      </c>
      <c r="Q199" s="29" t="inlineStr">
        <is>
          <t>Del 3 al 7 de septiembre en el Brooklyn Museum: Blocko Mania (jue 3), Soca Fest (vie 4), Junior Carnival y Panorama (sab 5 / dom 6). El Panorama es la competencia de steel pan mas grande de Norteamerica. Fechas de fuente secundaria: VERIFICAR.</t>
        </is>
      </c>
      <c r="R199" s="29" t="inlineStr">
        <is>
          <t>Brooklyn Museum, 200 Eastern Pkwy</t>
        </is>
      </c>
      <c r="S199" s="29" t="inlineStr">
        <is>
          <t>—</t>
        </is>
      </c>
      <c r="T199" s="30" t="inlineStr">
        <is>
          <t>Abrir ↗</t>
        </is>
      </c>
      <c r="U199" s="31" t="inlineStr">
        <is>
          <t>otros</t>
        </is>
      </c>
      <c r="V199" s="20" t="inlineStr"/>
    </row>
    <row r="200" ht="46" customHeight="1">
      <c r="A200" s="23" t="inlineStr">
        <is>
          <t>Paint 'N Pour</t>
        </is>
      </c>
      <c r="B200" s="24" t="inlineStr">
        <is>
          <t>Taller y experiencia</t>
        </is>
      </c>
      <c r="C200" s="25" t="inlineStr">
        <is>
          <t>Evento</t>
        </is>
      </c>
      <c r="D200" s="25" t="inlineStr">
        <is>
          <t>Manhattan</t>
        </is>
      </c>
      <c r="E200" s="25" t="inlineStr">
        <is>
          <t>Manhattan</t>
        </is>
      </c>
      <c r="F200" s="12" t="n">
        <v>1</v>
      </c>
      <c r="G200" s="12" t="n">
        <v>1</v>
      </c>
      <c r="H200" s="26">
        <f>IF(AND(F200=2,G200=2),"AMBOS",IF(AND(F200=2,G200&lt;2),"solo JP",IF(AND(F200&lt;2,G200=2),"solo Thais","-")))</f>
        <v/>
      </c>
      <c r="I200" s="27" t="n">
        <v>45</v>
      </c>
      <c r="J200" s="28" t="n">
        <v>2</v>
      </c>
      <c r="K200" s="26" t="inlineStr">
        <is>
          <t>no</t>
        </is>
      </c>
      <c r="L200" s="29" t="inlineStr">
        <is>
          <t>—</t>
        </is>
      </c>
      <c r="M200" s="25" t="inlineStr">
        <is>
          <t>—</t>
        </is>
      </c>
      <c r="N200" s="29" t="inlineStr">
        <is>
          <t>—</t>
        </is>
      </c>
      <c r="O200" s="29" t="inlineStr">
        <is>
          <t>—</t>
        </is>
      </c>
      <c r="P200" s="29" t="inlineStr">
        <is>
          <t>-</t>
        </is>
      </c>
      <c r="Q200" s="29" t="inlineStr">
        <is>
          <t>Taller de pintura con copa de vino. Se reserva por sesión.</t>
        </is>
      </c>
      <c r="R200" s="29" t="inlineStr"/>
      <c r="S200" s="29" t="inlineStr">
        <is>
          <t>—</t>
        </is>
      </c>
      <c r="T200" s="30" t="inlineStr">
        <is>
          <t>Abrir ↗</t>
        </is>
      </c>
      <c r="U200" s="32" t="inlineStr">
        <is>
          <t>lista google</t>
        </is>
      </c>
      <c r="V200" s="20" t="inlineStr"/>
    </row>
    <row r="201" ht="46" customHeight="1">
      <c r="A201" s="23" t="inlineStr">
        <is>
          <t>Time To Paint - Painting Studio</t>
        </is>
      </c>
      <c r="B201" s="24" t="inlineStr">
        <is>
          <t>Taller y experiencia</t>
        </is>
      </c>
      <c r="C201" s="25" t="inlineStr">
        <is>
          <t>Evento</t>
        </is>
      </c>
      <c r="D201" s="25" t="inlineStr">
        <is>
          <t>Manhattan</t>
        </is>
      </c>
      <c r="E201" s="25" t="inlineStr">
        <is>
          <t>Manhattan</t>
        </is>
      </c>
      <c r="F201" s="12" t="n">
        <v>1</v>
      </c>
      <c r="G201" s="12" t="n">
        <v>1</v>
      </c>
      <c r="H201" s="26">
        <f>IF(AND(F201=2,G201=2),"AMBOS",IF(AND(F201=2,G201&lt;2),"solo JP",IF(AND(F201&lt;2,G201=2),"solo Thais","-")))</f>
        <v/>
      </c>
      <c r="I201" s="27" t="n">
        <v>45</v>
      </c>
      <c r="J201" s="28" t="n">
        <v>2</v>
      </c>
      <c r="K201" s="26" t="inlineStr">
        <is>
          <t>no</t>
        </is>
      </c>
      <c r="L201" s="29" t="inlineStr">
        <is>
          <t>—</t>
        </is>
      </c>
      <c r="M201" s="25" t="inlineStr">
        <is>
          <t>—</t>
        </is>
      </c>
      <c r="N201" s="29" t="inlineStr">
        <is>
          <t>—</t>
        </is>
      </c>
      <c r="O201" s="29" t="inlineStr">
        <is>
          <t>—</t>
        </is>
      </c>
      <c r="P201" s="29" t="inlineStr">
        <is>
          <t>-</t>
        </is>
      </c>
      <c r="Q201" s="29" t="inlineStr">
        <is>
          <t>Estudio para pintar por sesión, mismo formato que Paint 'N Pour.</t>
        </is>
      </c>
      <c r="R201" s="29" t="inlineStr"/>
      <c r="S201" s="29" t="inlineStr">
        <is>
          <t>—</t>
        </is>
      </c>
      <c r="T201" s="30" t="inlineStr">
        <is>
          <t>Abrir ↗</t>
        </is>
      </c>
      <c r="U201" s="32" t="inlineStr">
        <is>
          <t>lista google</t>
        </is>
      </c>
      <c r="V201" s="20" t="inlineStr"/>
    </row>
    <row r="202" ht="46" customHeight="1">
      <c r="A202" s="23" t="inlineStr">
        <is>
          <t>Green-Wood Discover Trolley Tour</t>
        </is>
      </c>
      <c r="B202" s="24" t="inlineStr">
        <is>
          <t>Tour guiado</t>
        </is>
      </c>
      <c r="C202" s="25" t="inlineStr">
        <is>
          <t>Evento</t>
        </is>
      </c>
      <c r="D202" s="25" t="inlineStr">
        <is>
          <t>Greenwood Heights</t>
        </is>
      </c>
      <c r="E202" s="25" t="inlineStr">
        <is>
          <t>Brooklyn</t>
        </is>
      </c>
      <c r="F202" s="12" t="n">
        <v>0</v>
      </c>
      <c r="G202" s="12" t="n">
        <v>0</v>
      </c>
      <c r="H202" s="26">
        <f>IF(AND(F202=2,G202=2),"AMBOS",IF(AND(F202=2,G202&lt;2),"solo JP",IF(AND(F202&lt;2,G202=2),"solo Thais","-")))</f>
        <v/>
      </c>
      <c r="I202" s="27" t="n">
        <v>25</v>
      </c>
      <c r="J202" s="28" t="n">
        <v>2</v>
      </c>
      <c r="K202" s="26" t="inlineStr">
        <is>
          <t>no</t>
        </is>
      </c>
      <c r="L202" s="29" t="inlineStr">
        <is>
          <t>—</t>
        </is>
      </c>
      <c r="M202" s="25" t="inlineStr">
        <is>
          <t>—</t>
        </is>
      </c>
      <c r="N202" s="29" t="inlineStr">
        <is>
          <t>—</t>
        </is>
      </c>
      <c r="O202" s="29" t="inlineStr">
        <is>
          <t>reservar</t>
        </is>
      </c>
      <c r="P202" s="29" t="inlineStr">
        <is>
          <t>25 St (R)</t>
        </is>
      </c>
      <c r="Q202" s="29" t="inlineStr">
        <is>
          <t>SABADO 29 DE AGOSTO y SABADO 5 DE SEPTIEMBRE, 13-15h. Recorrido en trolley por las 190 hectareas con guia. Es la forma de ver el cementerio entero sin caminar seis horas.</t>
        </is>
      </c>
      <c r="R202" s="29" t="inlineStr">
        <is>
          <t>500 25th St, Brooklyn</t>
        </is>
      </c>
      <c r="S202" s="29" t="inlineStr">
        <is>
          <t>—</t>
        </is>
      </c>
      <c r="T202" s="30" t="inlineStr">
        <is>
          <t>Abrir ↗</t>
        </is>
      </c>
      <c r="U202" s="31" t="inlineStr">
        <is>
          <t>otros</t>
        </is>
      </c>
      <c r="V202" s="20" t="inlineStr"/>
    </row>
    <row r="203" ht="46" customHeight="1">
      <c r="A203" s="23" t="inlineStr">
        <is>
          <t>Hamilton</t>
        </is>
      </c>
      <c r="B203" s="24" t="inlineStr">
        <is>
          <t>Musical de Broadway</t>
        </is>
      </c>
      <c r="C203" s="25" t="inlineStr">
        <is>
          <t>Teatro</t>
        </is>
      </c>
      <c r="D203" s="25" t="inlineStr">
        <is>
          <t>Theater District</t>
        </is>
      </c>
      <c r="E203" s="25" t="inlineStr">
        <is>
          <t>Manhattan</t>
        </is>
      </c>
      <c r="F203" s="12" t="n">
        <v>0</v>
      </c>
      <c r="G203" s="12" t="n">
        <v>0</v>
      </c>
      <c r="H203" s="26">
        <f>IF(AND(F203=2,G203=2),"AMBOS",IF(AND(F203=2,G203&lt;2),"solo JP",IF(AND(F203&lt;2,G203=2),"solo Thais","-")))</f>
        <v/>
      </c>
      <c r="I203" s="27" t="n">
        <v>112</v>
      </c>
      <c r="J203" s="28" t="n">
        <v>3</v>
      </c>
      <c r="K203" s="26" t="inlineStr">
        <is>
          <t>SÍ</t>
        </is>
      </c>
      <c r="L203" s="29" t="inlineStr">
        <is>
          <t>—</t>
        </is>
      </c>
      <c r="M203" s="25" t="inlineStr">
        <is>
          <t>—</t>
        </is>
      </c>
      <c r="N203" s="29" t="inlineStr">
        <is>
          <t>—</t>
        </is>
      </c>
      <c r="O203" s="29" t="inlineStr">
        <is>
          <t>—</t>
        </is>
      </c>
      <c r="P203" s="29" t="inlineStr">
        <is>
          <t>50 St (1), 49 St (N,R,W)</t>
        </is>
      </c>
      <c r="Q203" s="29" t="inlineStr">
        <is>
          <t>Sigue siendo el show mas dificil de conseguir barato, pero la loteria de $10 es gratis de intentar y asigna butacas de primera fila. Anotarse todos los dias desde ya.</t>
        </is>
      </c>
      <c r="R203" s="29" t="inlineStr">
        <is>
          <t>Richard Rodgers Theatre, 226 W 46th St</t>
        </is>
      </c>
      <c r="S203" s="29" t="inlineStr">
        <is>
          <t>—</t>
        </is>
      </c>
      <c r="T203" s="30" t="inlineStr">
        <is>
          <t>Abrir ↗</t>
        </is>
      </c>
      <c r="U203" s="31" t="inlineStr">
        <is>
          <t>otros</t>
        </is>
      </c>
      <c r="V203" s="20" t="inlineStr"/>
    </row>
    <row r="204" ht="46" customHeight="1">
      <c r="A204" s="23" t="inlineStr">
        <is>
          <t>Maybe Happy Ending</t>
        </is>
      </c>
      <c r="B204" s="24" t="inlineStr">
        <is>
          <t>Musical de Broadway</t>
        </is>
      </c>
      <c r="C204" s="25" t="inlineStr">
        <is>
          <t>Teatro</t>
        </is>
      </c>
      <c r="D204" s="25" t="inlineStr">
        <is>
          <t>Theater District</t>
        </is>
      </c>
      <c r="E204" s="25" t="inlineStr">
        <is>
          <t>Manhattan</t>
        </is>
      </c>
      <c r="F204" s="12" t="n">
        <v>0</v>
      </c>
      <c r="G204" s="12" t="n">
        <v>0</v>
      </c>
      <c r="H204" s="26">
        <f>IF(AND(F204=2,G204=2),"AMBOS",IF(AND(F204=2,G204&lt;2),"solo JP",IF(AND(F204&lt;2,G204=2),"solo Thais","-")))</f>
        <v/>
      </c>
      <c r="I204" s="27" t="n">
        <v>59</v>
      </c>
      <c r="J204" s="28" t="n">
        <v>2.5</v>
      </c>
      <c r="K204" s="26" t="inlineStr">
        <is>
          <t>no</t>
        </is>
      </c>
      <c r="L204" s="29" t="inlineStr">
        <is>
          <t>—</t>
        </is>
      </c>
      <c r="M204" s="25" t="inlineStr">
        <is>
          <t>—</t>
        </is>
      </c>
      <c r="N204" s="29" t="inlineStr">
        <is>
          <t>—</t>
        </is>
      </c>
      <c r="O204" s="29" t="inlineStr">
        <is>
          <t>—</t>
        </is>
      </c>
      <c r="P204" s="29" t="inlineStr">
        <is>
          <t>49 St (N,R,W)</t>
        </is>
      </c>
      <c r="Q204" s="29" t="inlineStr">
        <is>
          <t>Musical sobre dos robots obsoletos en Seul. Es la mejor relacion calidad/precio de la cartelera actual y la loteria de $20 es de las mas accesibles.</t>
        </is>
      </c>
      <c r="R204" s="29" t="inlineStr">
        <is>
          <t>Belasco Theatre, 111 W 44th St</t>
        </is>
      </c>
      <c r="S204" s="29" t="inlineStr">
        <is>
          <t>—</t>
        </is>
      </c>
      <c r="T204" s="30" t="inlineStr">
        <is>
          <t>Abrir ↗</t>
        </is>
      </c>
      <c r="U204" s="31" t="inlineStr">
        <is>
          <t>otros</t>
        </is>
      </c>
      <c r="V204" s="20" t="inlineStr"/>
    </row>
    <row r="205" ht="46" customHeight="1">
      <c r="A205" s="23" t="inlineStr">
        <is>
          <t>Moulin Rouge! (ULTIMAS FUNCIONES)</t>
        </is>
      </c>
      <c r="B205" s="24" t="inlineStr">
        <is>
          <t>Musical de Broadway</t>
        </is>
      </c>
      <c r="C205" s="25" t="inlineStr">
        <is>
          <t>Teatro</t>
        </is>
      </c>
      <c r="D205" s="25" t="inlineStr">
        <is>
          <t>Theater District</t>
        </is>
      </c>
      <c r="E205" s="25" t="inlineStr">
        <is>
          <t>Manhattan</t>
        </is>
      </c>
      <c r="F205" s="12" t="n">
        <v>1</v>
      </c>
      <c r="G205" s="12" t="n">
        <v>1</v>
      </c>
      <c r="H205" s="26">
        <f>IF(AND(F205=2,G205=2),"AMBOS",IF(AND(F205=2,G205&lt;2),"solo JP",IF(AND(F205&lt;2,G205=2),"solo Thais","-")))</f>
        <v/>
      </c>
      <c r="I205" s="27" t="n">
        <v>90</v>
      </c>
      <c r="J205" s="28" t="n">
        <v>3</v>
      </c>
      <c r="K205" s="26" t="inlineStr">
        <is>
          <t>no</t>
        </is>
      </c>
      <c r="L205" s="29" t="inlineStr">
        <is>
          <t>—</t>
        </is>
      </c>
      <c r="M205" s="25" t="inlineStr">
        <is>
          <t>—</t>
        </is>
      </c>
      <c r="N205" s="29" t="inlineStr">
        <is>
          <t>—</t>
        </is>
      </c>
      <c r="O205" s="29" t="inlineStr">
        <is>
          <t>urgente si lo quieren</t>
        </is>
      </c>
      <c r="P205" s="29" t="inlineStr">
        <is>
          <t>42 St-Port Authority (A,C,E)</t>
        </is>
      </c>
      <c r="Q205" s="29" t="inlineStr">
        <is>
          <t>CIERRA EL 30 DE AGOSTO DE 2026 (ya postergo el cierre una vez, de julio a agosto: puede volver a extender). Las dos ultimas funciones caen en el fin de semana de llegada, con demanda y precios en pico. Aaron Tveit protagoniza del 18 al 29 de agosto.</t>
        </is>
      </c>
      <c r="R205" s="29" t="inlineStr">
        <is>
          <t>Al Hirschfeld Theatre, 302 W 45th St</t>
        </is>
      </c>
      <c r="S205" s="29" t="inlineStr">
        <is>
          <t>—</t>
        </is>
      </c>
      <c r="T205" s="30" t="inlineStr">
        <is>
          <t>Abrir ↗</t>
        </is>
      </c>
      <c r="U205" s="31" t="inlineStr">
        <is>
          <t>otros</t>
        </is>
      </c>
      <c r="V205" s="20" t="inlineStr"/>
    </row>
    <row r="206" ht="46" customHeight="1">
      <c r="A206" s="23" t="inlineStr">
        <is>
          <t>Operation Mincemeat</t>
        </is>
      </c>
      <c r="B206" s="24" t="inlineStr">
        <is>
          <t>Musical de Broadway</t>
        </is>
      </c>
      <c r="C206" s="25" t="inlineStr">
        <is>
          <t>Teatro</t>
        </is>
      </c>
      <c r="D206" s="25" t="inlineStr">
        <is>
          <t>Theater District</t>
        </is>
      </c>
      <c r="E206" s="25" t="inlineStr">
        <is>
          <t>Manhattan</t>
        </is>
      </c>
      <c r="F206" s="12" t="n">
        <v>0</v>
      </c>
      <c r="G206" s="12" t="n">
        <v>0</v>
      </c>
      <c r="H206" s="26">
        <f>IF(AND(F206=2,G206=2),"AMBOS",IF(AND(F206=2,G206&lt;2),"solo JP",IF(AND(F206&lt;2,G206=2),"solo Thais","-")))</f>
        <v/>
      </c>
      <c r="I206" s="27" t="n">
        <v>63</v>
      </c>
      <c r="J206" s="28" t="n">
        <v>2.5</v>
      </c>
      <c r="K206" s="26" t="inlineStr">
        <is>
          <t>no</t>
        </is>
      </c>
      <c r="L206" s="29" t="inlineStr">
        <is>
          <t>—</t>
        </is>
      </c>
      <c r="M206" s="25" t="inlineStr">
        <is>
          <t>—</t>
        </is>
      </c>
      <c r="N206" s="29" t="inlineStr">
        <is>
          <t>—</t>
        </is>
      </c>
      <c r="O206" s="29" t="inlineStr">
        <is>
          <t>—</t>
        </is>
      </c>
      <c r="P206" s="29" t="inlineStr">
        <is>
          <t>49 St (N,R,W)</t>
        </is>
      </c>
      <c r="Q206" s="29" t="inlineStr">
        <is>
          <t>Comedia musical britanica sobre una operacion de contrainteligencia real de la Segunda Guerra. Cinco actores haciendo ochenta personajes. Muy bien recibida y mas barata que los grandes musicales.</t>
        </is>
      </c>
      <c r="R206" s="29" t="inlineStr">
        <is>
          <t>John Golden Theatre, 252 W 45th St</t>
        </is>
      </c>
      <c r="S206" s="29" t="inlineStr">
        <is>
          <t>—</t>
        </is>
      </c>
      <c r="T206" s="30" t="inlineStr">
        <is>
          <t>Abrir ↗</t>
        </is>
      </c>
      <c r="U206" s="31" t="inlineStr">
        <is>
          <t>otros</t>
        </is>
      </c>
      <c r="V206" s="20" t="inlineStr"/>
    </row>
    <row r="207" ht="46" customHeight="1">
      <c r="A207" s="23" t="inlineStr">
        <is>
          <t>Little Shop of Horrors (Off-Broadway)</t>
        </is>
      </c>
      <c r="B207" s="24" t="inlineStr">
        <is>
          <t>Off-Broadway</t>
        </is>
      </c>
      <c r="C207" s="25" t="inlineStr">
        <is>
          <t>Teatro</t>
        </is>
      </c>
      <c r="D207" s="25" t="inlineStr">
        <is>
          <t>Theater District</t>
        </is>
      </c>
      <c r="E207" s="25" t="inlineStr">
        <is>
          <t>Manhattan</t>
        </is>
      </c>
      <c r="F207" s="12" t="n">
        <v>0</v>
      </c>
      <c r="G207" s="12" t="n">
        <v>0</v>
      </c>
      <c r="H207" s="26">
        <f>IF(AND(F207=2,G207=2),"AMBOS",IF(AND(F207=2,G207&lt;2),"solo JP",IF(AND(F207&lt;2,G207=2),"solo Thais","-")))</f>
        <v/>
      </c>
      <c r="I207" s="27" t="n">
        <v>40</v>
      </c>
      <c r="J207" s="28" t="n">
        <v>2</v>
      </c>
      <c r="K207" s="26" t="inlineStr">
        <is>
          <t>no</t>
        </is>
      </c>
      <c r="L207" s="29" t="inlineStr">
        <is>
          <t>—</t>
        </is>
      </c>
      <c r="M207" s="25" t="inlineStr">
        <is>
          <t>—</t>
        </is>
      </c>
      <c r="N207" s="29" t="inlineStr">
        <is>
          <t>—</t>
        </is>
      </c>
      <c r="O207" s="29" t="inlineStr">
        <is>
          <t>—</t>
        </is>
      </c>
      <c r="P207" s="29" t="inlineStr">
        <is>
          <t>50 St (C,E)</t>
        </is>
      </c>
      <c r="Q207" s="29" t="inlineStr">
        <is>
          <t>Sala chica, produccion excelente, y a un cuarto del precio de un musical grande. Off-Broadway hecho bien.</t>
        </is>
      </c>
      <c r="R207" s="29" t="inlineStr">
        <is>
          <t>Westside Theatre, 407 W 43rd St</t>
        </is>
      </c>
      <c r="S207" s="29" t="inlineStr">
        <is>
          <t>—</t>
        </is>
      </c>
      <c r="T207" s="30" t="inlineStr">
        <is>
          <t>Abrir ↗</t>
        </is>
      </c>
      <c r="U207" s="31" t="inlineStr">
        <is>
          <t>otros</t>
        </is>
      </c>
      <c r="V207" s="20" t="inlineStr"/>
    </row>
    <row r="208" ht="46" customHeight="1">
      <c r="A208" s="23" t="inlineStr">
        <is>
          <t>Stranger Things: The First Shadow (play)</t>
        </is>
      </c>
      <c r="B208" s="24" t="inlineStr">
        <is>
          <t>Play de Broadway</t>
        </is>
      </c>
      <c r="C208" s="25" t="inlineStr">
        <is>
          <t>Teatro</t>
        </is>
      </c>
      <c r="D208" s="25" t="inlineStr">
        <is>
          <t>Midtown</t>
        </is>
      </c>
      <c r="E208" s="25" t="inlineStr">
        <is>
          <t>Manhattan</t>
        </is>
      </c>
      <c r="F208" s="12" t="n">
        <v>2</v>
      </c>
      <c r="G208" s="12" t="n">
        <v>2</v>
      </c>
      <c r="H208" s="26">
        <f>IF(AND(F208=2,G208=2),"AMBOS",IF(AND(F208=2,G208&lt;2),"solo JP",IF(AND(F208&lt;2,G208=2),"solo Thais","-")))</f>
        <v/>
      </c>
      <c r="I208" s="27" t="n">
        <v>90</v>
      </c>
      <c r="J208" s="28" t="n">
        <v>2.5</v>
      </c>
      <c r="K208" s="26" t="inlineStr">
        <is>
          <t>SÍ</t>
        </is>
      </c>
      <c r="L208" s="29" t="inlineStr">
        <is>
          <t>—</t>
        </is>
      </c>
      <c r="M208" s="25" t="inlineStr">
        <is>
          <t>—</t>
        </is>
      </c>
      <c r="N208" s="29" t="inlineStr">
        <is>
          <t>—</t>
        </is>
      </c>
      <c r="O208" s="29" t="inlineStr">
        <is>
          <t>compra firme esta semana - verificar horario de funcion (19:00/19:30/20:00)</t>
        </is>
      </c>
      <c r="P208" s="29" t="inlineStr">
        <is>
          <t>Times Sq-42 St</t>
        </is>
      </c>
      <c r="Q208" s="29" t="inlineStr">
        <is>
          <t>EL play-espectaculo de Broadway: la precuela de Stranger Things con la maquinaria escenica que gano el Tony. Para quien viene de Mercer Labs, es el mismo musculo llevado al teatro.</t>
        </is>
      </c>
      <c r="R208" s="29" t="inlineStr">
        <is>
          <t>Marquis Theatre, 210 W 46th St</t>
        </is>
      </c>
      <c r="S208" s="17" t="inlineStr">
        <is>
          <t>Día 8 · sáb 5/9</t>
        </is>
      </c>
      <c r="T208" s="30" t="inlineStr">
        <is>
          <t>Abrir ↗</t>
        </is>
      </c>
      <c r="U208" s="31" t="inlineStr">
        <is>
          <t>otros</t>
        </is>
      </c>
      <c r="V208" s="20" t="inlineStr"/>
    </row>
    <row r="209" ht="46" customHeight="1">
      <c r="A209" s="23" t="inlineStr">
        <is>
          <t>TKTS Lincoln Center</t>
        </is>
      </c>
      <c r="B209" s="24" t="inlineStr">
        <is>
          <t>Tickets con descuento</t>
        </is>
      </c>
      <c r="C209" s="25" t="inlineStr">
        <is>
          <t>Teatro</t>
        </is>
      </c>
      <c r="D209" s="25" t="inlineStr">
        <is>
          <t>Lincoln Square</t>
        </is>
      </c>
      <c r="E209" s="25" t="inlineStr">
        <is>
          <t>Manhattan</t>
        </is>
      </c>
      <c r="F209" s="12" t="n">
        <v>2</v>
      </c>
      <c r="G209" s="12" t="n">
        <v>2</v>
      </c>
      <c r="H209" s="26">
        <f>IF(AND(F209=2,G209=2),"AMBOS",IF(AND(F209=2,G209&lt;2),"solo JP",IF(AND(F209&lt;2,G209=2),"solo Thais","-")))</f>
        <v/>
      </c>
      <c r="I209" s="27" t="n">
        <v>0</v>
      </c>
      <c r="J209" s="28" t="n">
        <v>0.75</v>
      </c>
      <c r="K209" s="26" t="inlineStr">
        <is>
          <t>no</t>
        </is>
      </c>
      <c r="L209" s="29" t="inlineStr">
        <is>
          <t>lunes: cerrado · martes a sábado: 11:00–18:00 · domingo: cerrado</t>
        </is>
      </c>
      <c r="M209" s="25" t="inlineStr">
        <is>
          <t>lunes y domingos</t>
        </is>
      </c>
      <c r="N209" s="29" t="inlineStr">
        <is>
          <t>—</t>
        </is>
      </c>
      <c r="O209" s="29" t="inlineStr">
        <is>
          <t>—</t>
        </is>
      </c>
      <c r="P209" s="29" t="inlineStr">
        <is>
          <t>66 St-Lincoln Center (1)</t>
        </is>
      </c>
      <c r="Q209" s="29" t="inlineStr">
        <is>
          <t>Mismo inventario que el booth de Times Square y casi siempre sin cola. Mar-sab 11-18h. Usar la app de TKTS para ver el inventario en tiempo real ANTES de ir. A 10 cuadras del hotel The Beacon.</t>
        </is>
      </c>
      <c r="R209" s="29" t="inlineStr">
        <is>
          <t>61 W 62nd St</t>
        </is>
      </c>
      <c r="S209" s="29" t="inlineStr">
        <is>
          <t>—</t>
        </is>
      </c>
      <c r="T209" s="30" t="inlineStr">
        <is>
          <t>Abrir ↗</t>
        </is>
      </c>
      <c r="U209" s="32" t="inlineStr">
        <is>
          <t>lista google</t>
        </is>
      </c>
      <c r="V209" s="20" t="inlineStr"/>
    </row>
    <row r="210" ht="46" customHeight="1">
      <c r="A210" s="9" t="inlineStr">
        <is>
          <t>NYC Ferry DUMBO → Wall St</t>
        </is>
      </c>
      <c r="B210" s="10" t="inlineStr">
        <is>
          <t>Ferry y teleférico</t>
        </is>
      </c>
      <c r="C210" s="11" t="inlineStr">
        <is>
          <t>Logística</t>
        </is>
      </c>
      <c r="D210" s="11" t="inlineStr">
        <is>
          <t>East River</t>
        </is>
      </c>
      <c r="E210" s="11" t="inlineStr">
        <is>
          <t>Manhattan</t>
        </is>
      </c>
      <c r="F210" s="12" t="n">
        <v>1</v>
      </c>
      <c r="G210" s="12" t="n">
        <v>1</v>
      </c>
      <c r="H210" s="13">
        <f>IF(AND(F210=2,G210=2),"AMBOS",IF(AND(F210=2,G210&lt;2),"solo JP",IF(AND(F210&lt;2,G210=2),"solo Thais","-")))</f>
        <v/>
      </c>
      <c r="I210" s="14" t="n">
        <v>4</v>
      </c>
      <c r="J210" s="15" t="n">
        <v>0.5</v>
      </c>
      <c r="K210" s="13" t="inlineStr">
        <is>
          <t>no</t>
        </is>
      </c>
      <c r="L210" s="16" t="inlineStr">
        <is>
          <t>—</t>
        </is>
      </c>
      <c r="M210" s="11" t="inlineStr">
        <is>
          <t>—</t>
        </is>
      </c>
      <c r="N210" s="16" t="inlineStr">
        <is>
          <t>—</t>
        </is>
      </c>
      <c r="O210" s="16" t="inlineStr">
        <is>
          <t>—</t>
        </is>
      </c>
      <c r="P210" s="16" t="inlineStr">
        <is>
          <t>Pier 1 DUMBO / Pier 11 Wall St</t>
        </is>
      </c>
      <c r="Q210" s="16" t="inlineStr">
        <is>
          <t>$4,50 y cruza el East River con el puente de Brooklyn de frente: la vista del crucero turístico por precio de subte.</t>
        </is>
      </c>
      <c r="R210" s="16" t="inlineStr"/>
      <c r="S210" s="16" t="inlineStr">
        <is>
          <t>—</t>
        </is>
      </c>
      <c r="T210" s="18" t="inlineStr">
        <is>
          <t>Abrir ↗</t>
        </is>
      </c>
      <c r="U210" s="19" t="inlineStr">
        <is>
          <t>lista google</t>
        </is>
      </c>
      <c r="V210" s="20" t="inlineStr"/>
    </row>
    <row r="211" ht="46" customHeight="1">
      <c r="A211" s="9" t="inlineStr">
        <is>
          <t>Hotel Ink48 (29-31 ago)</t>
        </is>
      </c>
      <c r="B211" s="10" t="inlineStr">
        <is>
          <t>Hotel</t>
        </is>
      </c>
      <c r="C211" s="11" t="inlineStr">
        <is>
          <t>Logística</t>
        </is>
      </c>
      <c r="D211" s="11" t="inlineStr">
        <is>
          <t>Hell's Kitchen</t>
        </is>
      </c>
      <c r="E211" s="11" t="inlineStr">
        <is>
          <t>Manhattan</t>
        </is>
      </c>
      <c r="F211" s="12" t="n">
        <v>2</v>
      </c>
      <c r="G211" s="12" t="n">
        <v>2</v>
      </c>
      <c r="H211" s="13">
        <f>IF(AND(F211=2,G211=2),"AMBOS",IF(AND(F211=2,G211&lt;2),"solo JP",IF(AND(F211&lt;2,G211=2),"solo Thais","-")))</f>
        <v/>
      </c>
      <c r="I211" s="14" t="n">
        <v>0</v>
      </c>
      <c r="J211" s="15" t="n">
        <v>0</v>
      </c>
      <c r="K211" s="13" t="inlineStr">
        <is>
          <t>no</t>
        </is>
      </c>
      <c r="L211" s="16" t="inlineStr">
        <is>
          <t>—</t>
        </is>
      </c>
      <c r="M211" s="11" t="inlineStr">
        <is>
          <t>—</t>
        </is>
      </c>
      <c r="N211" s="16" t="inlineStr">
        <is>
          <t>—</t>
        </is>
      </c>
      <c r="O211" s="16" t="inlineStr">
        <is>
          <t>—</t>
        </is>
      </c>
      <c r="P211" s="16" t="inlineStr">
        <is>
          <t>50 St (C,E) a ~12 min caminando</t>
        </is>
      </c>
      <c r="Q211" s="16" t="inlineStr">
        <is>
          <t>Base 29-31 de agosto. Esta lejos del subte (12 min al este hasta la 8va Av). Cerca: Intrepid, High Line norte, Hudson Yards, Birdland.</t>
        </is>
      </c>
      <c r="R211" s="16" t="inlineStr">
        <is>
          <t>653 11th Ave</t>
        </is>
      </c>
      <c r="S211" s="17" t="inlineStr">
        <is>
          <t>Día 1 · sáb 29/8, Día 3 · lun 31/8</t>
        </is>
      </c>
      <c r="T211" s="18" t="inlineStr">
        <is>
          <t>Abrir ↗</t>
        </is>
      </c>
      <c r="U211" s="19" t="inlineStr">
        <is>
          <t>lista google</t>
        </is>
      </c>
      <c r="V211" s="20" t="inlineStr"/>
    </row>
    <row r="212" ht="46" customHeight="1">
      <c r="A212" s="9" t="inlineStr">
        <is>
          <t>Hotel The Beacon (3-6 sep)</t>
        </is>
      </c>
      <c r="B212" s="10" t="inlineStr">
        <is>
          <t>Hotel</t>
        </is>
      </c>
      <c r="C212" s="11" t="inlineStr">
        <is>
          <t>Logística</t>
        </is>
      </c>
      <c r="D212" s="11" t="inlineStr">
        <is>
          <t>Upper West Side</t>
        </is>
      </c>
      <c r="E212" s="11" t="inlineStr">
        <is>
          <t>Manhattan</t>
        </is>
      </c>
      <c r="F212" s="12" t="n">
        <v>2</v>
      </c>
      <c r="G212" s="12" t="n">
        <v>2</v>
      </c>
      <c r="H212" s="13">
        <f>IF(AND(F212=2,G212=2),"AMBOS",IF(AND(F212=2,G212&lt;2),"solo JP",IF(AND(F212&lt;2,G212=2),"solo Thais","-")))</f>
        <v/>
      </c>
      <c r="I212" s="14" t="n">
        <v>0</v>
      </c>
      <c r="J212" s="15" t="n">
        <v>0</v>
      </c>
      <c r="K212" s="13" t="inlineStr">
        <is>
          <t>no</t>
        </is>
      </c>
      <c r="L212" s="16" t="inlineStr">
        <is>
          <t>—</t>
        </is>
      </c>
      <c r="M212" s="11" t="inlineStr">
        <is>
          <t>—</t>
        </is>
      </c>
      <c r="N212" s="16" t="inlineStr">
        <is>
          <t>—</t>
        </is>
      </c>
      <c r="O212" s="16" t="inlineStr">
        <is>
          <t>—</t>
        </is>
      </c>
      <c r="P212" s="16" t="inlineStr">
        <is>
          <t>72 St (1,2,3) a 3 cuadras</t>
        </is>
      </c>
      <c r="Q212" s="16" t="inlineStr">
        <is>
          <t>Base 3-6 de septiembre. Ubicacion excelente: la 1/2/3 llega a Penn Station en 10 min. Cerca: Central Park, AMNH, TKTS Lincoln Center, Dizzy's.</t>
        </is>
      </c>
      <c r="R212" s="16" t="inlineStr">
        <is>
          <t>2130 Broadway</t>
        </is>
      </c>
      <c r="S212" s="17" t="inlineStr">
        <is>
          <t>Día 6 · jue 3/9, Día 9 · dom 6/9</t>
        </is>
      </c>
      <c r="T212" s="18" t="inlineStr">
        <is>
          <t>Abrir ↗</t>
        </is>
      </c>
      <c r="U212" s="19" t="inlineStr">
        <is>
          <t>lista google</t>
        </is>
      </c>
      <c r="V212" s="20" t="inlineStr"/>
    </row>
    <row r="213" ht="46" customHeight="1">
      <c r="A213" s="9" t="inlineStr">
        <is>
          <t>JGSTAY SoHo (JP: 31 ago-2 sep)</t>
        </is>
      </c>
      <c r="B213" s="10" t="inlineStr">
        <is>
          <t>Hotel</t>
        </is>
      </c>
      <c r="C213" s="11" t="inlineStr">
        <is>
          <t>Logística</t>
        </is>
      </c>
      <c r="D213" s="11" t="inlineStr">
        <is>
          <t>SoHo</t>
        </is>
      </c>
      <c r="E213" s="11" t="inlineStr">
        <is>
          <t>Manhattan</t>
        </is>
      </c>
      <c r="F213" s="12" t="n">
        <v>2</v>
      </c>
      <c r="G213" s="12" t="n">
        <v>0</v>
      </c>
      <c r="H213" s="13">
        <f>IF(AND(F213=2,G213=2),"AMBOS",IF(AND(F213=2,G213&lt;2),"solo JP",IF(AND(F213&lt;2,G213=2),"solo Thais","-")))</f>
        <v/>
      </c>
      <c r="I213" s="14" t="n">
        <v>0</v>
      </c>
      <c r="J213" s="15" t="n">
        <v>0</v>
      </c>
      <c r="K213" s="13" t="inlineStr">
        <is>
          <t>no</t>
        </is>
      </c>
      <c r="L213" s="16" t="inlineStr">
        <is>
          <t>—</t>
        </is>
      </c>
      <c r="M213" s="11" t="inlineStr">
        <is>
          <t>—</t>
        </is>
      </c>
      <c r="N213" s="16" t="inlineStr">
        <is>
          <t>—</t>
        </is>
      </c>
      <c r="O213" s="16" t="inlineStr">
        <is>
          <t>—</t>
        </is>
      </c>
      <c r="P213" s="16" t="inlineStr">
        <is>
          <t>Canal St: la del 6/J/Z esta EN la esquina (Lafayette y Canal); N/Q/R/W a 2 cuadras</t>
        </is>
      </c>
      <c r="Q213" s="16" t="inlineStr">
        <is>
          <t>Base de JP lunes y martes a la noche: se acabaron las dos vueltas nocturnas a New Jersey. Recepcion 24 h, CONSIGNA de equipaje y desayuno incluido 7-9 AM. Canal St al lado = 6 directo al MET y Grand Central, A/C al AMNH, y el Village a 15-20 min a pie.</t>
        </is>
      </c>
      <c r="R213" s="16" t="inlineStr">
        <is>
          <t>120 Lafayette St, NY 10013</t>
        </is>
      </c>
      <c r="S213" s="17" t="inlineStr">
        <is>
          <t>Día 3 · lun 31/8, Día 4 · mar 1/9, Día 5 · mié 2/9</t>
        </is>
      </c>
      <c r="T213" s="18" t="inlineStr">
        <is>
          <t>Abrir ↗</t>
        </is>
      </c>
      <c r="U213" s="21" t="inlineStr">
        <is>
          <t>otros</t>
        </is>
      </c>
      <c r="V213" s="20" t="inlineStr"/>
    </row>
    <row r="214" ht="46" customHeight="1">
      <c r="A214" s="9" t="inlineStr">
        <is>
          <t>Residence Inn Branchburg (Thais 31/8-3/9 · JP solo la noche del 2)</t>
        </is>
      </c>
      <c r="B214" s="10" t="inlineStr">
        <is>
          <t>Hotel</t>
        </is>
      </c>
      <c r="C214" s="11" t="inlineStr">
        <is>
          <t>Logística</t>
        </is>
      </c>
      <c r="D214" s="11" t="inlineStr">
        <is>
          <t>Branchburg</t>
        </is>
      </c>
      <c r="E214" s="11" t="inlineStr">
        <is>
          <t>New Jersey</t>
        </is>
      </c>
      <c r="F214" s="12" t="n">
        <v>2</v>
      </c>
      <c r="G214" s="12" t="n">
        <v>2</v>
      </c>
      <c r="H214" s="13">
        <f>IF(AND(F214=2,G214=2),"AMBOS",IF(AND(F214=2,G214&lt;2),"solo JP",IF(AND(F214&lt;2,G214=2),"solo Thais","-")))</f>
        <v/>
      </c>
      <c r="I214" s="14" t="n">
        <v>0</v>
      </c>
      <c r="J214" s="15" t="n">
        <v>0</v>
      </c>
      <c r="K214" s="13" t="inlineStr">
        <is>
          <t>no</t>
        </is>
      </c>
      <c r="L214" s="16" t="inlineStr">
        <is>
          <t>—</t>
        </is>
      </c>
      <c r="M214" s="11" t="inlineStr">
        <is>
          <t>—</t>
        </is>
      </c>
      <c r="N214" s="16" t="inlineStr">
        <is>
          <t>—</t>
        </is>
      </c>
      <c r="O214" s="16" t="inlineStr">
        <is>
          <t>—</t>
        </is>
      </c>
      <c r="P214" s="16" t="inlineStr">
        <is>
          <t>Estacion Raritan (NJ Transit RVL) a 6,4 km</t>
        </is>
      </c>
      <c r="Q214" s="16" t="inlineStr">
        <is>
          <t>Base en NJ. NO tiene shuttle (confirmado por Marriott). Estacionamiento propio gratis. Para llegar al tren hay que tomar Uber (~$14-20 por tramo a Raritan).</t>
        </is>
      </c>
      <c r="R214" s="16" t="inlineStr">
        <is>
          <t>3241 US Highway 22 East, Branchburg NJ</t>
        </is>
      </c>
      <c r="S214" s="17" t="inlineStr">
        <is>
          <t>Día 5 · mié 2/9, Día 6 · jue 3/9</t>
        </is>
      </c>
      <c r="T214" s="18" t="inlineStr">
        <is>
          <t>Abrir ↗</t>
        </is>
      </c>
      <c r="U214" s="19" t="inlineStr">
        <is>
          <t>lista google</t>
        </is>
      </c>
      <c r="V214" s="20" t="inlineStr"/>
    </row>
  </sheetData>
  <autoFilter ref="A4:V214"/>
  <mergeCells count="2">
    <mergeCell ref="A2:V2"/>
    <mergeCell ref="A1:V1"/>
  </mergeCells>
  <conditionalFormatting sqref="H5:H214">
    <cfRule type="cellIs" priority="1" operator="equal" dxfId="0">
      <formula>"AMBOS"</formula>
    </cfRule>
  </conditionalFormatting>
  <dataValidations count="2">
    <dataValidation sqref="F5:G214" showDropDown="0" showInputMessage="0" showErrorMessage="0" allowBlank="0" errorTitle="Valor inválido" error="Solo 0, 1 o 2" promptTitle="Nivel de interés" prompt="0 = no me interesa · 1 = quizás · 2 = sí quiero" type="list">
      <formula1>"0,1,2"</formula1>
    </dataValidation>
    <dataValidation sqref="V5:V214"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0"/>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t>
        </is>
      </c>
    </row>
    <row r="7" ht="16" customHeight="1">
      <c r="A7" s="35" t="n"/>
      <c r="B7" s="36" t="inlineStr">
        <is>
          <t>06:00</t>
        </is>
      </c>
      <c r="C7" s="37" t="inlineStr">
        <is>
          <t>07:15</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07:15</t>
        </is>
      </c>
      <c r="C8" s="37" t="inlineStr">
        <is>
          <t>07:39</t>
        </is>
      </c>
      <c r="D8" s="38" t="inlineStr">
        <is>
          <t>Ambos</t>
        </is>
      </c>
      <c r="E8" s="39" t="inlineStr">
        <is>
          <t>AirTrain al Newark Airport Station (~10 min). Comprar el ticket en la app MyTix: a bordo cobran $5 extra.</t>
        </is>
      </c>
      <c r="F8" s="37" t="inlineStr"/>
      <c r="G8" s="40" t="inlineStr"/>
      <c r="H8" s="41" t="inlineStr"/>
      <c r="I8" s="41" t="inlineStr"/>
    </row>
    <row r="9" ht="16" customHeight="1">
      <c r="A9" s="35" t="n"/>
      <c r="B9" s="36" t="inlineStr">
        <is>
          <t>07:39</t>
        </is>
      </c>
      <c r="C9" s="37" t="inlineStr">
        <is>
          <t>08:20</t>
        </is>
      </c>
      <c r="D9" s="38" t="inlineStr">
        <is>
          <t>Ambos</t>
        </is>
      </c>
      <c r="E9" s="39" t="inlineStr">
        <is>
          <t>NJ Transit EWR → New York Penn Station. $17,25 (incluye el fee del AirTrain). Llega 8:07.</t>
        </is>
      </c>
      <c r="F9" s="37" t="inlineStr"/>
      <c r="G9" s="40" t="inlineStr"/>
      <c r="H9" s="41" t="inlineStr"/>
      <c r="I9" s="41" t="inlineStr"/>
    </row>
    <row r="10" ht="30" customHeight="1">
      <c r="A10" s="35" t="n"/>
      <c r="B10" s="36" t="inlineStr">
        <is>
          <t>08:20</t>
        </is>
      </c>
      <c r="C10" s="37" t="inlineStr">
        <is>
          <t>09:15</t>
        </is>
      </c>
      <c r="D10" s="38" t="inlineStr">
        <is>
          <t>Ambos</t>
        </is>
      </c>
      <c r="E10" s="39" t="inlineStr">
        <is>
          <t>Taxi/Uber Penn Station → Ink48 ($12-18). Dejar valijas y, si consiguieron el early check-in, ducha y ropa limpia.</t>
        </is>
      </c>
      <c r="F10" s="37" t="inlineStr">
        <is>
          <t>Hotel Ink48 (29-31 ago)</t>
        </is>
      </c>
      <c r="G10" s="40" t="inlineStr"/>
      <c r="H10" s="41" t="inlineStr"/>
      <c r="I10" s="41" t="inlineStr"/>
    </row>
    <row r="11" ht="16" customHeight="1">
      <c r="A11" s="35" t="n"/>
      <c r="B11" s="36" t="inlineStr">
        <is>
          <t>09:15</t>
        </is>
      </c>
      <c r="C11" s="37" t="inlineStr">
        <is>
          <t>10:00</t>
        </is>
      </c>
      <c r="D11" s="38" t="inlineStr">
        <is>
          <t>Ambos</t>
        </is>
      </c>
      <c r="E11" s="39" t="inlineStr">
        <is>
          <t>Desayuno rápido en Hell's Kitchen.</t>
        </is>
      </c>
      <c r="F11" s="37" t="inlineStr"/>
      <c r="G11" s="40" t="inlineStr"/>
      <c r="H11" s="41" t="inlineStr"/>
      <c r="I11" s="41" t="inlineStr"/>
    </row>
    <row r="12" ht="16" customHeight="1">
      <c r="A12" s="35" t="n"/>
      <c r="B12" s="36" t="inlineStr">
        <is>
          <t>10:00</t>
        </is>
      </c>
      <c r="C12" s="37" t="inlineStr">
        <is>
          <t>10:30</t>
        </is>
      </c>
      <c r="D12" s="38" t="inlineStr">
        <is>
          <t>Ambos</t>
        </is>
      </c>
      <c r="E12" s="39" t="inlineStr">
        <is>
          <t>Subte A o D express desde 42 St hasta 125 St: 12 minutos y ya están en Harlem.</t>
        </is>
      </c>
      <c r="F12" s="37" t="inlineStr"/>
      <c r="G12" s="40" t="inlineStr"/>
      <c r="H12" s="41" t="inlineStr"/>
      <c r="I12" s="41" t="inlineStr"/>
    </row>
    <row r="13" ht="30" customHeight="1">
      <c r="A13" s="35" t="n"/>
      <c r="B13" s="42" t="inlineStr">
        <is>
          <t>10:30</t>
        </is>
      </c>
      <c r="C13" s="43" t="inlineStr">
        <is>
          <t>11:30</t>
        </is>
      </c>
      <c r="D13" s="44" t="inlineStr">
        <is>
          <t>Ambos</t>
        </is>
      </c>
      <c r="E13" s="45" t="inlineStr">
        <is>
          <t>Caminata por Harlem: 125th St, Adam Clayton Powell Blvd y las brownstones del Mount Morris Park Historic District.</t>
        </is>
      </c>
      <c r="F13" s="43" t="inlineStr">
        <is>
          <t>Harlem</t>
        </is>
      </c>
      <c r="G13" s="40" t="inlineStr"/>
      <c r="H13" s="41" t="inlineStr"/>
      <c r="I13" s="41" t="inlineStr"/>
    </row>
    <row r="14" ht="30" customHeight="1">
      <c r="A14" s="35" t="n"/>
      <c r="B14" s="36" t="inlineStr">
        <is>
          <t>11:30</t>
        </is>
      </c>
      <c r="C14" s="37" t="inlineStr">
        <is>
          <t>12:00</t>
        </is>
      </c>
      <c r="D14" s="38" t="inlineStr">
        <is>
          <t>Ambos</t>
        </is>
      </c>
      <c r="E14" s="39" t="inlineStr">
        <is>
          <t>Bo's Bagels (235 W 116th St) — bagel rápido, sin sentarse mucho: hoy el almuerzo fuerte es italiano en el Bronx.</t>
        </is>
      </c>
      <c r="F14" s="37" t="inlineStr">
        <is>
          <t>Bo's Bagels</t>
        </is>
      </c>
      <c r="G14" s="40" t="inlineStr">
        <is>
          <t>🚶 ~15 min a pie · 1.1 km · estimado</t>
        </is>
      </c>
      <c r="H14" s="41" t="inlineStr"/>
      <c r="I14" s="41" t="inlineStr"/>
    </row>
    <row r="15" ht="30" customHeight="1">
      <c r="A15" s="35" t="n"/>
      <c r="B15" s="42" t="inlineStr">
        <is>
          <t>12:00</t>
        </is>
      </c>
      <c r="C15" s="43" t="inlineStr">
        <is>
          <t>13:30</t>
        </is>
      </c>
      <c r="D15" s="44" t="inlineStr">
        <is>
          <t>Ambos</t>
        </is>
      </c>
      <c r="E15" s="45" t="inlineStr">
        <is>
          <t>★ STUDIO MUSEUM IN HARLEM — reabrió en noviembre 2025 en el edificio nuevo de David Adjaye. La novedad arquitectónica y curatorial más relevante de la ciudad. Pay-what-you-can, sugerido $16.</t>
        </is>
      </c>
      <c r="F15" s="43" t="inlineStr">
        <is>
          <t>Studio Museum in Harlem</t>
        </is>
      </c>
      <c r="G15" s="40" t="inlineStr">
        <is>
          <t>🚶 ~14 min a pie · 1.0 km · estimado</t>
        </is>
      </c>
      <c r="H15" s="41" t="inlineStr"/>
      <c r="I15" s="41" t="inlineStr"/>
    </row>
    <row r="16" ht="30" customHeight="1">
      <c r="A16" s="35" t="n"/>
      <c r="B16" s="36" t="inlineStr">
        <is>
          <t>13:30</t>
        </is>
      </c>
      <c r="C16" s="37" t="inlineStr">
        <is>
          <t>14:00</t>
        </is>
      </c>
      <c r="D16" s="38" t="inlineStr">
        <is>
          <t>Ambos</t>
        </is>
      </c>
      <c r="E16" s="39" t="inlineStr">
        <is>
          <t>Subte D desde 125 St hasta Fordham Rd (~20 min). Alternativa: Metro-North desde Harlem-125th a Fordham, 12 minutos.</t>
        </is>
      </c>
      <c r="F16" s="37" t="inlineStr"/>
      <c r="G16" s="40" t="inlineStr"/>
      <c r="H16" s="41" t="inlineStr"/>
      <c r="I16" s="41" t="inlineStr"/>
    </row>
    <row r="17" ht="30" customHeight="1">
      <c r="A17" s="35" t="n"/>
      <c r="B17" s="42" t="inlineStr">
        <is>
          <t>14:00</t>
        </is>
      </c>
      <c r="C17" s="43" t="inlineStr">
        <is>
          <t>15:40</t>
        </is>
      </c>
      <c r="D17" s="44" t="inlineStr">
        <is>
          <t>Ambos</t>
        </is>
      </c>
      <c r="E17"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7" s="43" t="inlineStr">
        <is>
          <t>Arthur Avenue (Belmont)</t>
        </is>
      </c>
      <c r="G17" s="40" t="inlineStr"/>
      <c r="H17" s="41" t="inlineStr"/>
      <c r="I17" s="41" t="inlineStr"/>
    </row>
    <row r="18" ht="16" customHeight="1">
      <c r="A18" s="35" t="n"/>
      <c r="B18" s="36" t="inlineStr">
        <is>
          <t>15:40</t>
        </is>
      </c>
      <c r="C18" s="37" t="inlineStr">
        <is>
          <t>16:30</t>
        </is>
      </c>
      <c r="D18" s="38" t="inlineStr">
        <is>
          <t>Ambos</t>
        </is>
      </c>
      <c r="E18" s="39" t="inlineStr">
        <is>
          <t>Subte D desde Fordham Rd de vuelta a 125 St (~25 min) y caminar a Marcus Garvey Park.</t>
        </is>
      </c>
      <c r="F18" s="37" t="inlineStr"/>
      <c r="G18" s="40" t="inlineStr"/>
      <c r="H18" s="41" t="inlineStr"/>
      <c r="I18" s="41" t="inlineStr"/>
    </row>
    <row r="19" ht="30" customHeight="1">
      <c r="A19" s="35" t="n"/>
      <c r="B19" s="42" t="inlineStr">
        <is>
          <t>16:30</t>
        </is>
      </c>
      <c r="C19" s="43" t="inlineStr">
        <is>
          <t>18:30</t>
        </is>
      </c>
      <c r="D19" s="44" t="inlineStr">
        <is>
          <t>Ambos</t>
        </is>
      </c>
      <c r="E19" s="45" t="inlineStr">
        <is>
          <t>★★ CHARLIE PARKER JAZZ FESTIVAL — franja 16:30-18:30 (2 horas justas): la reserva de Hudson VU no es modificable y manda. ⚠️ SALIDA OBLIGADA 18:30: el festival sigue hasta las 19, así que pueden perderse el final del set de cierre de Joshua Redman. El orden por artista no está publicado — VERIFICAR el día anterior en cityparksfoundation.org: si Redman arranca ~17:15, lo ven casi entero.</t>
        </is>
      </c>
      <c r="F19" s="43" t="inlineStr">
        <is>
          <t>Charlie Parker Jazz Festival - Harlem</t>
        </is>
      </c>
      <c r="G19" s="40" t="inlineStr"/>
      <c r="H19" s="41" t="inlineStr"/>
      <c r="I19" s="41" t="inlineStr"/>
    </row>
    <row r="20" ht="30" customHeight="1">
      <c r="A20" s="35" t="n"/>
      <c r="B20" s="36" t="inlineStr">
        <is>
          <t>18:30</t>
        </is>
      </c>
      <c r="C20" s="37" t="inlineStr">
        <is>
          <t>19:20</t>
        </is>
      </c>
      <c r="D20" s="38" t="inlineStr">
        <is>
          <t>Ambos</t>
        </is>
      </c>
      <c r="E20" s="39" t="inlineStr">
        <is>
          <t>UBER desde Marcus Garvey Park al Ink48 (~20-25 min un sábado a la tarde, ~$25-30). Es lo que garantiza llegar 19:00-19:05. Plan B en subte: salir 18:10, 2/3 desde 125-Lenox hasta Times Sq y 15 min a pie — total ~45 min.</t>
        </is>
      </c>
      <c r="F20" s="37" t="inlineStr"/>
      <c r="G20" s="40" t="inlineStr"/>
      <c r="H20" s="41" t="inlineStr"/>
      <c r="I20" s="41" t="inlineStr"/>
    </row>
    <row r="21" ht="16" customHeight="1">
      <c r="A21" s="35" t="n"/>
      <c r="B21" s="36" t="inlineStr">
        <is>
          <t>19:20</t>
        </is>
      </c>
      <c r="C21" s="37" t="inlineStr">
        <is>
          <t>19:30</t>
        </is>
      </c>
      <c r="D21" s="38" t="inlineStr">
        <is>
          <t>Ambos</t>
        </is>
      </c>
      <c r="E21" s="39" t="inlineStr">
        <is>
          <t>EN EL HOTEL — margen para dejar cosas y subir.</t>
        </is>
      </c>
      <c r="F21" s="37" t="inlineStr"/>
      <c r="G21" s="40" t="inlineStr"/>
      <c r="H21" s="41" t="inlineStr"/>
      <c r="I21" s="41" t="inlineStr"/>
    </row>
    <row r="22" ht="30" customHeight="1">
      <c r="A22" s="35" t="n"/>
      <c r="B22" s="42" t="inlineStr">
        <is>
          <t>19:30</t>
        </is>
      </c>
      <c r="C22" s="43" t="inlineStr">
        <is>
          <t>21:00</t>
        </is>
      </c>
      <c r="D22" s="44" t="inlineStr">
        <is>
          <t>Ambos</t>
        </is>
      </c>
      <c r="E22" s="45" t="inlineStr">
        <is>
          <t>★★ HUDSON VU — drinks y comida, RESERVA NO MODIFICABLE, en el rooftop de SU PROPIO hotel (Ink48). La mesa es de MÁXIMO 90 MINUTOS: cierran ~21:00. Pedir sin vueltas y disfrutar la vista — lo que sigue está a 8 cuadras.</t>
        </is>
      </c>
      <c r="F22" s="43" t="inlineStr">
        <is>
          <t>Hotel Ink48 (29-31 ago)</t>
        </is>
      </c>
      <c r="G22" s="40" t="inlineStr"/>
      <c r="H22" s="41" t="inlineStr"/>
      <c r="I22" s="41" t="inlineStr"/>
    </row>
    <row r="23" ht="30" customHeight="1">
      <c r="A23" s="35" t="n"/>
      <c r="B23" s="36" t="inlineStr">
        <is>
          <t>21:00</t>
        </is>
      </c>
      <c r="C23" s="37" t="inlineStr">
        <is>
          <t>21:30</t>
        </is>
      </c>
      <c r="D23" s="38" t="inlineStr">
        <is>
          <t>Ambos</t>
        </is>
      </c>
      <c r="E23" s="39" t="inlineStr">
        <is>
          <t>Caminata Ink48 → Birdland (315 W 44th): 8 cuadras, 10-12 min. Llegan ~21:15, justo para las puertas del set de las 21:30.</t>
        </is>
      </c>
      <c r="F23" s="37" t="inlineStr"/>
      <c r="G23" s="40" t="inlineStr"/>
      <c r="H23" s="41" t="inlineStr"/>
      <c r="I23" s="41" t="inlineStr"/>
    </row>
    <row r="24" ht="30" customHeight="1">
      <c r="A24" s="35" t="n"/>
      <c r="B24" s="42" t="inlineStr">
        <is>
          <t>21:30</t>
        </is>
      </c>
      <c r="C24" s="43" t="inlineStr"/>
      <c r="D24" s="44" t="inlineStr">
        <is>
          <t>Ambos</t>
        </is>
      </c>
      <c r="E24"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4" s="43" t="inlineStr">
        <is>
          <t>Birdland</t>
        </is>
      </c>
      <c r="G24" s="40" t="inlineStr"/>
      <c r="H24" s="41" t="inlineStr"/>
      <c r="I24" s="41" t="inlineStr"/>
    </row>
    <row r="25" ht="32" customHeight="1">
      <c r="A25" s="46" t="inlineStr">
        <is>
          <t>ALTERNATIVA / OJO: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7" ht="22" customHeight="1">
      <c r="A27" s="33" t="inlineStr">
        <is>
          <t>DÍA 2 · Domingo 30/08 · Lower East Side, Chinatown y el Brooklyn Bridge a pie  —  base: Ink48  ·  Ambos</t>
        </is>
      </c>
    </row>
    <row r="28" ht="32" customHeight="1">
      <c r="A28"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29" ht="16" customHeight="1">
      <c r="A29" s="35" t="n"/>
      <c r="B29" s="36" t="inlineStr">
        <is>
          <t>08:30</t>
        </is>
      </c>
      <c r="C29" s="37" t="inlineStr">
        <is>
          <t>09:15</t>
        </is>
      </c>
      <c r="D29" s="38" t="inlineStr">
        <is>
          <t>Ambos</t>
        </is>
      </c>
      <c r="E29" s="39" t="inlineStr">
        <is>
          <t>Desayuno rápido y subte F hasta 2 Av.</t>
        </is>
      </c>
      <c r="F29" s="37" t="inlineStr"/>
      <c r="G29" s="40" t="inlineStr"/>
      <c r="H29" s="41" t="inlineStr"/>
      <c r="I29" s="41" t="inlineStr"/>
    </row>
    <row r="30" ht="30" customHeight="1">
      <c r="A30" s="35" t="n"/>
      <c r="B30" s="42" t="inlineStr">
        <is>
          <t>09:15</t>
        </is>
      </c>
      <c r="C30" s="43" t="inlineStr">
        <is>
          <t>10:30</t>
        </is>
      </c>
      <c r="D30" s="44" t="inlineStr">
        <is>
          <t>Ambos</t>
        </is>
      </c>
      <c r="E30" s="45" t="inlineStr">
        <is>
          <t>★ Russ &amp; Daughters — appetizing store de 1914, cuarta generación de la misma familia. Salmón curado cortado a mano sobre bagel. El mostrador es mejor experiencia que el café de al lado.</t>
        </is>
      </c>
      <c r="F30" s="43" t="inlineStr">
        <is>
          <t>Russ &amp; Daughters</t>
        </is>
      </c>
      <c r="G30" s="40" t="inlineStr"/>
      <c r="H30" s="41" t="inlineStr"/>
      <c r="I30" s="41" t="inlineStr"/>
    </row>
    <row r="31" ht="30" customHeight="1">
      <c r="A31" s="35" t="n"/>
      <c r="B31" s="42" t="inlineStr">
        <is>
          <t>10:30</t>
        </is>
      </c>
      <c r="C31" s="43" t="inlineStr">
        <is>
          <t>11:45</t>
        </is>
      </c>
      <c r="D31" s="44" t="inlineStr">
        <is>
          <t>Ambos</t>
        </is>
      </c>
      <c r="E31" s="45" t="inlineStr">
        <is>
          <t>★ Museum at Eldridge Street — sinagoga de 1887 restaurada por $20 millones, con un rosetón nuevo de Kiki Smith. Que hoy esté en el medio de Chinatown es la mitad del punto. CIERRA LOS SÁBADOS: hoy es el día.</t>
        </is>
      </c>
      <c r="F31" s="43" t="inlineStr">
        <is>
          <t>Museum at Eldridge Street</t>
        </is>
      </c>
      <c r="G31" s="40" t="inlineStr">
        <is>
          <t>🚶 ~20 min a pie (1.3 km) o 🚇 ~15 min · estimado</t>
        </is>
      </c>
      <c r="H31" s="41" t="inlineStr"/>
      <c r="I31" s="41" t="inlineStr"/>
    </row>
    <row r="32" ht="30" customHeight="1">
      <c r="A32" s="35" t="n"/>
      <c r="B32" s="36" t="inlineStr">
        <is>
          <t>11:45</t>
        </is>
      </c>
      <c r="C32" s="37" t="inlineStr">
        <is>
          <t>12:45</t>
        </is>
      </c>
      <c r="D32" s="38" t="inlineStr">
        <is>
          <t>Ambos</t>
        </is>
      </c>
      <c r="E32" s="39" t="inlineStr">
        <is>
          <t>Essex Market — mercado municipal desde 1940. Sigue teniendo carniceros y pescaderos de verdad, no solo puestos para turistas.</t>
        </is>
      </c>
      <c r="F32" s="37" t="inlineStr">
        <is>
          <t>Essex Market</t>
        </is>
      </c>
      <c r="G32" s="40" t="inlineStr">
        <is>
          <t>🚶 ~11 min a pie · 0.8 km · estimado</t>
        </is>
      </c>
      <c r="H32" s="41" t="inlineStr"/>
      <c r="I32" s="41" t="inlineStr"/>
    </row>
    <row r="33" ht="30" customHeight="1">
      <c r="A33" s="35" t="n"/>
      <c r="B33" s="36" t="inlineStr">
        <is>
          <t>12:45</t>
        </is>
      </c>
      <c r="C33" s="37" t="inlineStr">
        <is>
          <t>13:15</t>
        </is>
      </c>
      <c r="D33" s="38" t="inlineStr">
        <is>
          <t>Ambos</t>
        </is>
      </c>
      <c r="E33" s="39" t="inlineStr">
        <is>
          <t>Caminata por el Lower East Side: Orchard, Ludlow, Rivington. Tres capas de inmigración en la misma cuadra.</t>
        </is>
      </c>
      <c r="F33" s="37" t="inlineStr">
        <is>
          <t>Lower East Side</t>
        </is>
      </c>
      <c r="G33" s="40" t="inlineStr"/>
      <c r="H33" s="41" t="inlineStr"/>
      <c r="I33" s="41" t="inlineStr"/>
    </row>
    <row r="34" ht="30" customHeight="1">
      <c r="A34" s="35" t="n"/>
      <c r="B34" s="36" t="inlineStr">
        <is>
          <t>13:15</t>
        </is>
      </c>
      <c r="C34" s="37" t="inlineStr">
        <is>
          <t>14:15</t>
        </is>
      </c>
      <c r="D34" s="38" t="inlineStr">
        <is>
          <t>Ambos</t>
        </is>
      </c>
      <c r="E34" s="39" t="inlineStr">
        <is>
          <t>Almuerzo en Chinatown: Mott St y las pescaderías de la calle. El paisaje urbano es el plato fuerte.</t>
        </is>
      </c>
      <c r="F34" s="37" t="inlineStr">
        <is>
          <t>Chinatown (Manhattan)</t>
        </is>
      </c>
      <c r="G34" s="40" t="inlineStr">
        <is>
          <t>🚶 ~14 min a pie · 1.0 km · estimado</t>
        </is>
      </c>
      <c r="H34" s="41" t="inlineStr"/>
      <c r="I34" s="41" t="inlineStr"/>
    </row>
    <row r="35" ht="30" customHeight="1">
      <c r="A35" s="35" t="n"/>
      <c r="B35" s="36" t="inlineStr">
        <is>
          <t>14:15</t>
        </is>
      </c>
      <c r="C35" s="37" t="inlineStr">
        <is>
          <t>14:45</t>
        </is>
      </c>
      <c r="D35" s="38" t="inlineStr">
        <is>
          <t>Ambos</t>
        </is>
      </c>
      <c r="E35" s="39" t="inlineStr">
        <is>
          <t>Columbus Park (tai chi y partidas de xiangqi) y Doyers Street, la cuadra torcida que era 'the Bloody Angle'. Diez minutos y de ahí se sale caminando hacia City Hall.</t>
        </is>
      </c>
      <c r="F35" s="37" t="inlineStr"/>
      <c r="G35" s="40" t="inlineStr"/>
      <c r="H35" s="41" t="inlineStr"/>
      <c r="I35" s="41" t="inlineStr"/>
    </row>
    <row r="36" ht="30" customHeight="1">
      <c r="A36" s="35" t="n"/>
      <c r="B36" s="42" t="inlineStr">
        <is>
          <t>14:45</t>
        </is>
      </c>
      <c r="C36" s="43" t="inlineStr">
        <is>
          <t>16:00</t>
        </is>
      </c>
      <c r="D36" s="44" t="inlineStr">
        <is>
          <t>Ambos</t>
        </is>
      </c>
      <c r="E36"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6" s="43" t="inlineStr"/>
      <c r="G36" s="40" t="inlineStr"/>
      <c r="H36" s="41" t="inlineStr"/>
      <c r="I36" s="41" t="inlineStr"/>
    </row>
    <row r="37" ht="30" customHeight="1">
      <c r="A37" s="35" t="n"/>
      <c r="B37" s="36" t="inlineStr">
        <is>
          <t>16:00</t>
        </is>
      </c>
      <c r="C37" s="37" t="inlineStr">
        <is>
          <t>17:05</t>
        </is>
      </c>
      <c r="D37" s="38" t="inlineStr">
        <is>
          <t>Ambos</t>
        </is>
      </c>
      <c r="E37" s="39" t="inlineStr">
        <is>
          <t>Bajar en DUMBO: la foto del Manhattan Bridge encuadrado en Washington St, el waterfront, y una parada en TIME OUT MARKET (está ahí mismo y JP lo marcó 2): un vermut con el skyline de frente. OJO: el sábado 5 vuelven de día — no repetir de más.</t>
        </is>
      </c>
      <c r="F37" s="37" t="inlineStr">
        <is>
          <t>DUMBO</t>
        </is>
      </c>
      <c r="G37" s="40" t="inlineStr"/>
      <c r="H37" s="41" t="inlineStr"/>
      <c r="I37" s="41" t="inlineStr"/>
    </row>
    <row r="38" ht="16" customHeight="1">
      <c r="A38" s="35" t="n"/>
      <c r="B38" s="36" t="inlineStr">
        <is>
          <t>17:05</t>
        </is>
      </c>
      <c r="C38" s="37" t="inlineStr">
        <is>
          <t>17:30</t>
        </is>
      </c>
      <c r="D38" s="38" t="inlineStr">
        <is>
          <t>Ambos</t>
        </is>
      </c>
      <c r="E38" s="39" t="inlineStr">
        <is>
          <t>Subte A/C desde High St hasta Fulton St (2 paradas, ~10 min) y 5 min a pie hasta Dey St.</t>
        </is>
      </c>
      <c r="F38" s="37" t="inlineStr"/>
      <c r="G38" s="40" t="inlineStr"/>
      <c r="H38" s="41" t="inlineStr"/>
      <c r="I38" s="41" t="inlineStr"/>
    </row>
    <row r="39" ht="30" customHeight="1">
      <c r="A39" s="35" t="n"/>
      <c r="B39" s="42" t="inlineStr">
        <is>
          <t>17:30</t>
        </is>
      </c>
      <c r="C39" s="43" t="inlineStr">
        <is>
          <t>18:50</t>
        </is>
      </c>
      <c r="D39" s="44" t="inlineStr">
        <is>
          <t>Ambos</t>
        </is>
      </c>
      <c r="E39"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39" s="43" t="inlineStr">
        <is>
          <t>Mercer Labs — Museum of Art and Technology</t>
        </is>
      </c>
      <c r="G39" s="40" t="inlineStr"/>
      <c r="H39" s="41" t="inlineStr"/>
      <c r="I39" s="41" t="inlineStr"/>
    </row>
    <row r="40" ht="30" customHeight="1">
      <c r="A40" s="35" t="n"/>
      <c r="B40" s="36" t="inlineStr">
        <is>
          <t>18:50</t>
        </is>
      </c>
      <c r="C40" s="37" t="inlineStr">
        <is>
          <t>19:15</t>
        </is>
      </c>
      <c r="D40" s="38" t="inlineStr">
        <is>
          <t>Ambos</t>
        </is>
      </c>
      <c r="E40" s="39" t="inlineStr">
        <is>
          <t>Caminar a The Crown: 1,6 km derecho por Park Row hacia Bowery (~20 min) — o R/W City Hall → Canal St si llueve.</t>
        </is>
      </c>
      <c r="F40" s="37" t="inlineStr"/>
      <c r="G40" s="40" t="inlineStr"/>
      <c r="H40" s="41" t="inlineStr"/>
      <c r="I40" s="41" t="inlineStr"/>
    </row>
    <row r="41" ht="30" customHeight="1">
      <c r="A41" s="35" t="n"/>
      <c r="B41" s="42" t="inlineStr">
        <is>
          <t>19:15</t>
        </is>
      </c>
      <c r="C41" s="43" t="inlineStr">
        <is>
          <t>20:45</t>
        </is>
      </c>
      <c r="D41" s="44" t="inlineStr">
        <is>
          <t>Ambos</t>
        </is>
      </c>
      <c r="E41" s="45" t="inlineStr">
        <is>
          <t>★ The Crown (50 Bowery, piso 21) — rooftop sin cover, EN EL ATARDECER (~19:27): el Manhattan Bridge que acaban de cruzar se enciende de frente mientras cae el sol. Es el ángulo que no da ningún observatorio pago — luz, atardecer y noche en un solo trago.</t>
        </is>
      </c>
      <c r="F41" s="43" t="inlineStr">
        <is>
          <t>The Crown (50 Bowery)</t>
        </is>
      </c>
      <c r="G41" s="40" t="inlineStr"/>
      <c r="H41" s="41" t="inlineStr"/>
      <c r="I41" s="41" t="inlineStr"/>
    </row>
    <row r="42" ht="30" customHeight="1">
      <c r="A42" s="35" t="n"/>
      <c r="B42" s="36" t="inlineStr">
        <is>
          <t>20:45</t>
        </is>
      </c>
      <c r="C42" s="37" t="inlineStr">
        <is>
          <t>22:15</t>
        </is>
      </c>
      <c r="D42" s="38" t="inlineStr">
        <is>
          <t>Ambos</t>
        </is>
      </c>
      <c r="E42" s="39" t="inlineStr">
        <is>
          <t>Cena en el East Village / LES: Katz's abre hasta tarde (a esta hora la cola del domingo ya bajó).</t>
        </is>
      </c>
      <c r="F42" s="37" t="inlineStr">
        <is>
          <t>Katz's Delicatessen</t>
        </is>
      </c>
      <c r="G42" s="40" t="inlineStr">
        <is>
          <t>🚶 ~20 min a pie (1.3 km) o 🚇 ~15 min · estimado</t>
        </is>
      </c>
      <c r="H42" s="41" t="inlineStr"/>
      <c r="I42" s="41" t="inlineStr"/>
    </row>
    <row r="43" ht="30" customHeight="1">
      <c r="A43" s="35" t="n"/>
      <c r="B43" s="36" t="inlineStr">
        <is>
          <t>22:15</t>
        </is>
      </c>
      <c r="C43" s="37" t="inlineStr"/>
      <c r="D43" s="38" t="inlineStr">
        <is>
          <t>Ambos</t>
        </is>
      </c>
      <c r="E43" s="39" t="inlineStr">
        <is>
          <t>Opcional: Nublu (Avenue C) — jazz experimental y afrobeat hasta tarde. A 14 minutos A PIE de Katz's. Lo marcaron 2 los dos.</t>
        </is>
      </c>
      <c r="F43" s="37" t="inlineStr">
        <is>
          <t>Nublu</t>
        </is>
      </c>
      <c r="G43" s="40" t="inlineStr">
        <is>
          <t>🚶 ~14 min a pie · 1.1 km · estimado</t>
        </is>
      </c>
      <c r="H43" s="41" t="inlineStr"/>
      <c r="I43" s="41" t="inlineStr"/>
    </row>
    <row r="44" ht="32" customHeight="1">
      <c r="A44"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6" ht="22" customHeight="1">
      <c r="A46" s="33" t="inlineStr">
        <is>
          <t>DÍA 3 · Lunes 31/08 · JP solo · Midtown total: MoMA, Top of the Rock y Birdland  —  base: Ink48 → JGStay SoHo (las valijas viajan con Thais)  ·  Solo JP</t>
        </is>
      </c>
    </row>
    <row r="47" ht="32" customHeight="1">
      <c r="A47"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8" ht="30" customHeight="1">
      <c r="A48" s="35" t="n"/>
      <c r="B48" s="36" t="inlineStr">
        <is>
          <t>08:00</t>
        </is>
      </c>
      <c r="C48" s="37" t="inlineStr">
        <is>
          <t>08:10</t>
        </is>
      </c>
      <c r="D48" s="38" t="inlineStr">
        <is>
          <t>Thais</t>
        </is>
      </c>
      <c r="E48" s="39" t="inlineStr">
        <is>
          <t>THAIS: checkout de Ink48 y tren temprano a New Jersey con LAS DOS valijas — hoy EMPIEZA A TRABAJAR. No participa de nada de este día. JP sale solo con su bolso de dos noches.</t>
        </is>
      </c>
      <c r="F48" s="37" t="inlineStr">
        <is>
          <t>Hotel Ink48 (29-31 ago)</t>
        </is>
      </c>
      <c r="G48" s="40" t="inlineStr"/>
      <c r="H48" s="41" t="inlineStr"/>
      <c r="I48" s="41" t="inlineStr"/>
    </row>
    <row r="49" ht="16" customHeight="1">
      <c r="A49" s="35" t="n"/>
      <c r="B49" s="36" t="inlineStr">
        <is>
          <t>08:10</t>
        </is>
      </c>
      <c r="C49" s="37" t="inlineStr">
        <is>
          <t>08:35</t>
        </is>
      </c>
      <c r="D49" s="38" t="inlineStr">
        <is>
          <t>Solo JP</t>
        </is>
      </c>
      <c r="E49" s="39" t="inlineStr">
        <is>
          <t>JP: checkout y subte N/R/W desde 49 St derecho por Broadway hasta Canal St (~15 min).</t>
        </is>
      </c>
      <c r="F49" s="37" t="inlineStr"/>
      <c r="G49" s="40" t="inlineStr"/>
      <c r="H49" s="41" t="inlineStr"/>
      <c r="I49" s="41" t="inlineStr"/>
    </row>
    <row r="50" ht="30" customHeight="1">
      <c r="A50" s="35" t="n"/>
      <c r="B50" s="36" t="inlineStr">
        <is>
          <t>08:35</t>
        </is>
      </c>
      <c r="C50" s="37" t="inlineStr">
        <is>
          <t>09:00</t>
        </is>
      </c>
      <c r="D50" s="38" t="inlineStr">
        <is>
          <t>Solo JP</t>
        </is>
      </c>
      <c r="E50" s="39" t="inlineStr">
        <is>
          <t>Dejar el bolso en la CONSIGNA del JGSTAY SOHO (recepción 24 h; el check-in formal es a la tarde — confirmar la consigna por mensaje). Liviano el resto del día.</t>
        </is>
      </c>
      <c r="F50" s="37" t="inlineStr">
        <is>
          <t>JGSTAY SoHo (JP: 31 ago-2 sep)</t>
        </is>
      </c>
      <c r="G50" s="40" t="inlineStr"/>
      <c r="H50" s="41" t="inlineStr"/>
      <c r="I50" s="41" t="inlineStr"/>
    </row>
    <row r="51" ht="16" customHeight="1">
      <c r="A51" s="35" t="n"/>
      <c r="B51" s="36" t="inlineStr">
        <is>
          <t>09:00</t>
        </is>
      </c>
      <c r="C51" s="37" t="inlineStr">
        <is>
          <t>09:20</t>
        </is>
      </c>
      <c r="D51" s="38" t="inlineStr">
        <is>
          <t>Solo JP</t>
        </is>
      </c>
      <c r="E51" s="39" t="inlineStr">
        <is>
          <t>Subte 6 desde Canal St directo hasta Grand Central (~20 min).</t>
        </is>
      </c>
      <c r="F51" s="37" t="inlineStr"/>
      <c r="G51" s="40" t="inlineStr"/>
      <c r="H51" s="41" t="inlineStr"/>
      <c r="I51" s="41" t="inlineStr"/>
    </row>
    <row r="52" ht="30" customHeight="1">
      <c r="A52" s="35" t="n"/>
      <c r="B52" s="36" t="inlineStr">
        <is>
          <t>09:20</t>
        </is>
      </c>
      <c r="C52" s="37" t="inlineStr">
        <is>
          <t>09:45</t>
        </is>
      </c>
      <c r="D52" s="38" t="inlineStr">
        <is>
          <t>Solo JP</t>
        </is>
      </c>
      <c r="E52" s="39" t="inlineStr">
        <is>
          <t>Desayuno adentro de Grand Central, en el dining concourse o en el Grand Central Market — ya estás dentro del edificio que venís a ver.</t>
        </is>
      </c>
      <c r="F52" s="37" t="inlineStr">
        <is>
          <t>Grand Central Terminal</t>
        </is>
      </c>
      <c r="G52" s="40" t="inlineStr"/>
      <c r="H52" s="41" t="inlineStr"/>
      <c r="I52" s="41" t="inlineStr"/>
    </row>
    <row r="53" ht="30" customHeight="1">
      <c r="A53" s="35" t="n"/>
      <c r="B53" s="42" t="inlineStr">
        <is>
          <t>09:45</t>
        </is>
      </c>
      <c r="C53" s="43" t="inlineStr">
        <is>
          <t>10:15</t>
        </is>
      </c>
      <c r="D53" s="44" t="inlineStr">
        <is>
          <t>Solo JP</t>
        </is>
      </c>
      <c r="E53" s="45" t="inlineStr">
        <is>
          <t>Grand Central Terminal: el techo celeste pintado al revés y la Whispering Gallery frente al Oyster Bar.</t>
        </is>
      </c>
      <c r="F53" s="43" t="inlineStr">
        <is>
          <t>Grand Central Terminal</t>
        </is>
      </c>
      <c r="G53" s="40" t="inlineStr"/>
      <c r="H53" s="41" t="inlineStr"/>
      <c r="I53" s="41" t="inlineStr"/>
    </row>
    <row r="54" ht="16" customHeight="1">
      <c r="A54" s="35" t="n"/>
      <c r="B54" s="36" t="inlineStr">
        <is>
          <t>10:15</t>
        </is>
      </c>
      <c r="C54" s="37" t="inlineStr">
        <is>
          <t>11:00</t>
        </is>
      </c>
      <c r="D54" s="38" t="inlineStr">
        <is>
          <t>Solo JP</t>
        </is>
      </c>
      <c r="E54" s="39" t="inlineStr">
        <is>
          <t>Lobby del Chrysler Building — art déco puro. SOLO lun-vie 8-18h.</t>
        </is>
      </c>
      <c r="F54" s="37" t="inlineStr">
        <is>
          <t>Lobby del Chrysler Building</t>
        </is>
      </c>
      <c r="G54" s="40" t="inlineStr">
        <is>
          <t>🚶 ~4 min a pie · 0.2 km · estimado</t>
        </is>
      </c>
      <c r="H54" s="41" t="inlineStr"/>
      <c r="I54" s="41" t="inlineStr"/>
    </row>
    <row r="55" ht="30" customHeight="1">
      <c r="A55" s="35" t="n"/>
      <c r="B55" s="42" t="inlineStr">
        <is>
          <t>11:00</t>
        </is>
      </c>
      <c r="C55" s="43" t="inlineStr">
        <is>
          <t>11:55</t>
        </is>
      </c>
      <c r="D55" s="44" t="inlineStr">
        <is>
          <t>Solo JP</t>
        </is>
      </c>
      <c r="E55" s="45" t="inlineStr">
        <is>
          <t>Ford Foundation Atrium — jardín de 12 pisos dentro de un edificio de oficinas. PREINSCRIPCIÓN online antes de las 17h de ayer. Solo se puede del 31/8 al 3/9.</t>
        </is>
      </c>
      <c r="F55" s="43" t="inlineStr">
        <is>
          <t>Ford Foundation Atrium</t>
        </is>
      </c>
      <c r="G55" s="40" t="inlineStr">
        <is>
          <t>🚶 ~9 min a pie · 0.6 km · estimado</t>
        </is>
      </c>
      <c r="H55" s="41" t="inlineStr"/>
      <c r="I55" s="41" t="inlineStr"/>
    </row>
    <row r="56" ht="30" customHeight="1">
      <c r="A56" s="35" t="n"/>
      <c r="B56" s="36" t="inlineStr">
        <is>
          <t>11:55</t>
        </is>
      </c>
      <c r="C56" s="37" t="inlineStr">
        <is>
          <t>12:55</t>
        </is>
      </c>
      <c r="D56" s="38" t="inlineStr">
        <is>
          <t>Solo JP</t>
        </is>
      </c>
      <c r="E56" s="39" t="inlineStr">
        <is>
          <t>New York Public Library: Rose Main Reading Room — se ve perfecta por libre (los tours gratuitos son 11:00 y 14:00 y no coinciden con esta pasada; no hacen falta).</t>
        </is>
      </c>
      <c r="F56" s="37" t="inlineStr">
        <is>
          <t>New York Public Library (Schwarzman)</t>
        </is>
      </c>
      <c r="G56" s="40" t="inlineStr">
        <is>
          <t>🚶 ~20 min a pie (1.4 km) o 🚇 ~15 min · estimado</t>
        </is>
      </c>
      <c r="H56" s="41" t="inlineStr"/>
      <c r="I56" s="41" t="inlineStr"/>
    </row>
    <row r="57" ht="16" customHeight="1">
      <c r="A57" s="35" t="n"/>
      <c r="B57" s="36" t="inlineStr">
        <is>
          <t>12:55</t>
        </is>
      </c>
      <c r="C57" s="37" t="inlineStr">
        <is>
          <t>13:45</t>
        </is>
      </c>
      <c r="D57" s="38" t="inlineStr">
        <is>
          <t>Solo JP</t>
        </is>
      </c>
      <c r="E57" s="39" t="inlineStr">
        <is>
          <t>Almuerzo cerca de Bryant Park.</t>
        </is>
      </c>
      <c r="F57" s="37" t="inlineStr">
        <is>
          <t>Bryant Park</t>
        </is>
      </c>
      <c r="G57" s="40" t="inlineStr"/>
      <c r="H57" s="41" t="inlineStr"/>
      <c r="I57" s="41" t="inlineStr"/>
    </row>
    <row r="58" ht="30" customHeight="1">
      <c r="A58" s="35" t="n"/>
      <c r="B58" s="42" t="inlineStr">
        <is>
          <t>13:45</t>
        </is>
      </c>
      <c r="C58" s="43" t="inlineStr">
        <is>
          <t>16:30</t>
        </is>
      </c>
      <c r="D58" s="44" t="inlineStr">
        <is>
          <t>Solo JP</t>
        </is>
      </c>
      <c r="E58" s="45" t="inlineStr">
        <is>
          <t>★ MoMA — a cinco cuadras de la biblioteca. Van Gogh, Picasso, Rothko, Warhol. El cine está INCLUIDO en la entrada.</t>
        </is>
      </c>
      <c r="F58" s="43" t="inlineStr">
        <is>
          <t>MoMA</t>
        </is>
      </c>
      <c r="G58" s="40" t="inlineStr">
        <is>
          <t>🚶 ~20 min a pie (1.3 km) o 🚇 ~15 min · estimado</t>
        </is>
      </c>
      <c r="H58" s="41" t="inlineStr"/>
      <c r="I58" s="41" t="inlineStr"/>
    </row>
    <row r="59" ht="30" customHeight="1">
      <c r="A59" s="35" t="n"/>
      <c r="B59" s="36" t="inlineStr">
        <is>
          <t>16:30</t>
        </is>
      </c>
      <c r="C59" s="37" t="inlineStr">
        <is>
          <t>17:15</t>
        </is>
      </c>
      <c r="D59" s="38" t="inlineStr">
        <is>
          <t>Solo JP</t>
        </is>
      </c>
      <c r="E59" s="39" t="inlineStr">
        <is>
          <t>Caminar cuatro cuadras: Rockefeller Center a nivel de calle — la plaza, Atlas y St. Patrick's enfrente, sobre la Quinta.</t>
        </is>
      </c>
      <c r="F59" s="37" t="inlineStr"/>
      <c r="G59" s="40" t="inlineStr"/>
      <c r="H59" s="41" t="inlineStr"/>
      <c r="I59" s="41" t="inlineStr"/>
    </row>
    <row r="60" ht="30" customHeight="1">
      <c r="A60" s="35" t="n"/>
      <c r="B60" s="36" t="inlineStr">
        <is>
          <t>17:15</t>
        </is>
      </c>
      <c r="C60" s="37" t="inlineStr">
        <is>
          <t>18:15</t>
        </is>
      </c>
      <c r="D60" s="38" t="inlineStr">
        <is>
          <t>Solo JP</t>
        </is>
      </c>
      <c r="E60" s="39" t="inlineStr">
        <is>
          <t>Cena TEMPRANA en Midtown. Hoy se cena ANTES de subir: la noche está tomada por el arco del observatorio y Birdland. Las valijas viajan con Thais y el bolso ya espera en SoHo.</t>
        </is>
      </c>
      <c r="F60" s="37" t="inlineStr"/>
      <c r="G60" s="40" t="inlineStr"/>
      <c r="H60" s="41" t="inlineStr"/>
      <c r="I60" s="41" t="inlineStr"/>
    </row>
    <row r="61" ht="30" customHeight="1">
      <c r="A61" s="35" t="n"/>
      <c r="B61" s="42" t="inlineStr">
        <is>
          <t>18:15</t>
        </is>
      </c>
      <c r="C61" s="43" t="inlineStr">
        <is>
          <t>20:10</t>
        </is>
      </c>
      <c r="D61" s="44" t="inlineStr">
        <is>
          <t>Solo JP</t>
        </is>
      </c>
      <c r="E61"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1" s="43" t="inlineStr">
        <is>
          <t>Top of the Rock</t>
        </is>
      </c>
      <c r="G61" s="40" t="inlineStr"/>
      <c r="H61" s="41" t="inlineStr"/>
      <c r="I61" s="41" t="inlineStr"/>
    </row>
    <row r="62" ht="16" customHeight="1">
      <c r="A62" s="35" t="n"/>
      <c r="B62" s="36" t="inlineStr">
        <is>
          <t>20:10</t>
        </is>
      </c>
      <c r="C62" s="37" t="inlineStr">
        <is>
          <t>20:30</t>
        </is>
      </c>
      <c r="D62" s="38" t="inlineStr">
        <is>
          <t>Solo JP</t>
        </is>
      </c>
      <c r="E62" s="39" t="inlineStr">
        <is>
          <t>Caminar a Birdland: 12 minutos (50th y 6ª → 44th entre 8ª y 9ª).</t>
        </is>
      </c>
      <c r="F62" s="37" t="inlineStr"/>
      <c r="G62" s="40" t="inlineStr"/>
      <c r="H62" s="41" t="inlineStr"/>
      <c r="I62" s="41" t="inlineStr"/>
    </row>
    <row r="63" ht="30" customHeight="1">
      <c r="A63" s="35" t="n"/>
      <c r="B63" s="42" t="inlineStr">
        <is>
          <t>20:30</t>
        </is>
      </c>
      <c r="C63" s="43" t="inlineStr">
        <is>
          <t>22:40</t>
        </is>
      </c>
      <c r="D63" s="44" t="inlineStr">
        <is>
          <t>Solo JP</t>
        </is>
      </c>
      <c r="E63" s="45" t="inlineStr">
        <is>
          <t>★ BIRDLAND: Vince Giordano &amp; the Nighthawks — jazz de los años 20 y 30 con instrumentos de época. Institución de los lunes, y el lunes Broadway está oscuro. Birdland está a 8 cuadras de Penn Station.</t>
        </is>
      </c>
      <c r="F63" s="43" t="inlineStr">
        <is>
          <t>Birdland</t>
        </is>
      </c>
      <c r="G63" s="40" t="inlineStr"/>
      <c r="H63" s="41" t="inlineStr"/>
      <c r="I63" s="41" t="inlineStr"/>
    </row>
    <row r="64" ht="30" customHeight="1">
      <c r="A64" s="35" t="n"/>
      <c r="B64" s="36" t="inlineStr">
        <is>
          <t>22:40</t>
        </is>
      </c>
      <c r="C64" s="37" t="inlineStr"/>
      <c r="D64" s="38" t="inlineStr">
        <is>
          <t>Solo JP</t>
        </is>
      </c>
      <c r="E64" s="39" t="inlineStr">
        <is>
          <t>Birdland ENTERO y sin mirar el reloj: ya NO hay tren que atrapar. Subte A/C/E desde 42 St-Port Authority hasta Canal St (~15 min) y check-in en el JGStay. La noche pasó de terminar 00:35 en New Jersey a ~23:30 en SoHo.</t>
        </is>
      </c>
      <c r="F64" s="37" t="inlineStr">
        <is>
          <t>JGSTAY SoHo (JP: 31 ago-2 sep)</t>
        </is>
      </c>
      <c r="G64" s="40" t="inlineStr"/>
      <c r="H64" s="41" t="inlineStr"/>
      <c r="I64" s="41" t="inlineStr"/>
    </row>
    <row r="65" ht="32" customHeight="1">
      <c r="A65"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7" ht="22" customHeight="1">
      <c r="A67" s="33" t="inlineStr">
        <is>
          <t>DÍA 4 · Martes 01/09 · JP solo · el MET, The Cloisters y la noche del Village  —  base: JGStay SoHo  ·  Solo JP</t>
        </is>
      </c>
    </row>
    <row r="68" ht="32" customHeight="1">
      <c r="A68"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69" ht="30" customHeight="1">
      <c r="A69" s="35" t="n"/>
      <c r="B69" s="36" t="inlineStr">
        <is>
          <t>08:20</t>
        </is>
      </c>
      <c r="C69" s="37" t="inlineStr">
        <is>
          <t>09:10</t>
        </is>
      </c>
      <c r="D69" s="38" t="inlineStr">
        <is>
          <t>Solo JP</t>
        </is>
      </c>
      <c r="E69" s="39" t="inlineStr">
        <is>
          <t>Desayuno INCLUIDO en el JGStay (7-9 AM) — primera mañana del viaje sin tren ni madrugón: el MET abre 10:00 y Canal St está en la puerta.</t>
        </is>
      </c>
      <c r="F69" s="37" t="inlineStr">
        <is>
          <t>JGSTAY SoHo (JP: 31 ago-2 sep)</t>
        </is>
      </c>
      <c r="G69" s="40" t="inlineStr"/>
      <c r="H69" s="41" t="inlineStr"/>
      <c r="I69" s="41" t="inlineStr"/>
    </row>
    <row r="70" ht="16" customHeight="1">
      <c r="A70" s="35" t="n"/>
      <c r="B70" s="36" t="inlineStr">
        <is>
          <t>09:10</t>
        </is>
      </c>
      <c r="C70" s="37" t="inlineStr">
        <is>
          <t>10:00</t>
        </is>
      </c>
      <c r="D70" s="38" t="inlineStr">
        <is>
          <t>Solo JP</t>
        </is>
      </c>
      <c r="E70" s="39" t="inlineStr">
        <is>
          <t>Subte 6 directo desde Canal St hasta 86 St (~35 min): se llega justo a la apertura del MET.</t>
        </is>
      </c>
      <c r="F70" s="37" t="inlineStr"/>
      <c r="G70" s="40" t="inlineStr"/>
      <c r="H70" s="41" t="inlineStr"/>
      <c r="I70" s="41" t="inlineStr"/>
    </row>
    <row r="71" ht="30" customHeight="1">
      <c r="A71" s="35" t="n"/>
      <c r="B71" s="42" t="inlineStr">
        <is>
          <t>10:00</t>
        </is>
      </c>
      <c r="C71" s="43" t="inlineStr">
        <is>
          <t>13:15</t>
        </is>
      </c>
      <c r="D71" s="44" t="inlineStr">
        <is>
          <t>Solo JP</t>
        </is>
      </c>
      <c r="E71" s="45" t="inlineStr">
        <is>
          <t>★★ THE METROPOLITAN MUSEUM OF ART — es inagotable, así que elegí DOS alas y hacelas bien: egipcio + pintura europea, o armas y armaduras + arte islámico. $30 (el pay-what-you-wish es solo para residentes de NY y estudiantes de NY/NJ/CT).</t>
        </is>
      </c>
      <c r="F71" s="43" t="inlineStr">
        <is>
          <t>The Metropolitan Museum of Art</t>
        </is>
      </c>
      <c r="G71" s="40" t="inlineStr"/>
      <c r="H71" s="41" t="inlineStr"/>
      <c r="I71" s="41" t="inlineStr"/>
    </row>
    <row r="72" ht="16" customHeight="1">
      <c r="A72" s="35" t="n"/>
      <c r="B72" s="36" t="inlineStr">
        <is>
          <t>13:15</t>
        </is>
      </c>
      <c r="C72" s="37" t="inlineStr">
        <is>
          <t>13:50</t>
        </is>
      </c>
      <c r="D72" s="38" t="inlineStr">
        <is>
          <t>Solo JP</t>
        </is>
      </c>
      <c r="E72" s="39" t="inlineStr">
        <is>
          <t>Almuerzo RÁPIDO cerca del MET (30-40 min): hoy la tarde tiene museo con hora de cierre.</t>
        </is>
      </c>
      <c r="F72" s="37" t="inlineStr"/>
      <c r="G72" s="40" t="inlineStr"/>
      <c r="H72" s="41" t="inlineStr"/>
      <c r="I72" s="41" t="inlineStr"/>
    </row>
    <row r="73" ht="30" customHeight="1">
      <c r="A73" s="35" t="n"/>
      <c r="B73" s="36" t="inlineStr">
        <is>
          <t>13:50</t>
        </is>
      </c>
      <c r="C73" s="37" t="inlineStr">
        <is>
          <t>14:30</t>
        </is>
      </c>
      <c r="D73" s="38" t="inlineStr">
        <is>
          <t>Solo JP</t>
        </is>
      </c>
      <c r="E73" s="39" t="inlineStr">
        <is>
          <t>Al Cloisters: NO hay tren A en el lado este — la ruta real en subte es M86-SBS cruzando el parque + B/C hasta 168 St + A hasta 190 St (~55 min). El taxi/Uber directo (~25 min, $28-35) compra 40 minutos de museo: hoy se justifica.</t>
        </is>
      </c>
      <c r="F73" s="37" t="inlineStr"/>
      <c r="G73" s="40" t="inlineStr"/>
      <c r="H73" s="41" t="inlineStr"/>
      <c r="I73" s="41" t="inlineStr"/>
    </row>
    <row r="74" ht="30" customHeight="1">
      <c r="A74" s="35" t="n"/>
      <c r="B74" s="42" t="inlineStr">
        <is>
          <t>14:30</t>
        </is>
      </c>
      <c r="C74" s="43" t="inlineStr">
        <is>
          <t>17:00</t>
        </is>
      </c>
      <c r="D74" s="44" t="inlineStr">
        <is>
          <t>Solo JP</t>
        </is>
      </c>
      <c r="E74" s="45" t="inlineStr">
        <is>
          <t>★ THE MET CLOISTERS — arte medieval en un edificio armado con claustros franceses reales, sobre un acantilado del Hudson. INCLUIDO en el ticket del MET del mismo día: guardá el sticker.</t>
        </is>
      </c>
      <c r="F74" s="43" t="inlineStr">
        <is>
          <t>The Met Cloisters</t>
        </is>
      </c>
      <c r="G74" s="40" t="inlineStr"/>
      <c r="H74" s="41" t="inlineStr"/>
      <c r="I74" s="41" t="inlineStr"/>
    </row>
    <row r="75" ht="30" customHeight="1">
      <c r="A75" s="35" t="n"/>
      <c r="B75" s="36" t="inlineStr">
        <is>
          <t>17:00</t>
        </is>
      </c>
      <c r="C75" s="37" t="inlineStr">
        <is>
          <t>17:30</t>
        </is>
      </c>
      <c r="D75" s="38" t="inlineStr">
        <is>
          <t>Solo JP</t>
        </is>
      </c>
      <c r="E75" s="39" t="inlineStr">
        <is>
          <t>Fort Tryon Park — el Hudson y los Palisades sin un solo edificio a la vista. Media hora honesta: el parque ya rodea al Cloisters, y la noche de hoy tiene tres paradas.</t>
        </is>
      </c>
      <c r="F75" s="37" t="inlineStr">
        <is>
          <t>Fort Tryon Park</t>
        </is>
      </c>
      <c r="G75" s="40" t="inlineStr">
        <is>
          <t>🚶 ~5 min a pie · 0.3 km · estimado</t>
        </is>
      </c>
      <c r="H75" s="41" t="inlineStr"/>
      <c r="I75" s="41" t="inlineStr"/>
    </row>
    <row r="76" ht="16" customHeight="1">
      <c r="A76" s="35" t="n"/>
      <c r="B76" s="36" t="inlineStr">
        <is>
          <t>17:30</t>
        </is>
      </c>
      <c r="C76" s="37" t="inlineStr">
        <is>
          <t>18:10</t>
        </is>
      </c>
      <c r="D76" s="38" t="inlineStr">
        <is>
          <t>Solo JP</t>
        </is>
      </c>
      <c r="E76" s="39" t="inlineStr">
        <is>
          <t>Tren A desde 190 St directo hasta W 4 St-Washington Sq (~35 min).</t>
        </is>
      </c>
      <c r="F76" s="37" t="inlineStr"/>
      <c r="G76" s="40" t="inlineStr"/>
      <c r="H76" s="41" t="inlineStr"/>
      <c r="I76" s="41" t="inlineStr"/>
    </row>
    <row r="77" ht="30" customHeight="1">
      <c r="A77" s="35" t="n"/>
      <c r="B77" s="36" t="inlineStr">
        <is>
          <t>18:10</t>
        </is>
      </c>
      <c r="C77" s="37" t="inlineStr">
        <is>
          <t>18:35</t>
        </is>
      </c>
      <c r="D77" s="38" t="inlineStr">
        <is>
          <t>Solo JP</t>
        </is>
      </c>
      <c r="E77" s="39" t="inlineStr">
        <is>
          <t>Washington Square Park (JP lo marcó 2): el arco, los músicos y las mesas de ajedrez al caer la tarde. Veinte minutos.</t>
        </is>
      </c>
      <c r="F77" s="37" t="inlineStr">
        <is>
          <t>Washington Square Park</t>
        </is>
      </c>
      <c r="G77" s="40" t="inlineStr"/>
      <c r="H77" s="41" t="inlineStr"/>
      <c r="I77" s="41" t="inlineStr"/>
    </row>
    <row r="78" ht="30" customHeight="1">
      <c r="A78" s="35" t="n"/>
      <c r="B78" s="36" t="inlineStr">
        <is>
          <t>18:35</t>
        </is>
      </c>
      <c r="C78" s="37" t="inlineStr">
        <is>
          <t>18:45</t>
        </is>
      </c>
      <c r="D78" s="38" t="inlineStr">
        <is>
          <t>Solo JP</t>
        </is>
      </c>
      <c r="E78" s="39" t="inlineStr">
        <is>
          <t>Bajar MacDougal St — la cuadra folk de los 60s (Caffe Reggio, el viejo Gaslight) — hasta Houston: 8-10 min y es paseo, no traslado.</t>
        </is>
      </c>
      <c r="F78" s="37" t="inlineStr"/>
      <c r="G78" s="40" t="inlineStr"/>
      <c r="H78" s="41" t="inlineStr"/>
      <c r="I78" s="41" t="inlineStr"/>
    </row>
    <row r="79" ht="30" customHeight="1">
      <c r="A79" s="35" t="n"/>
      <c r="B79" s="42" t="inlineStr">
        <is>
          <t>18:45</t>
        </is>
      </c>
      <c r="C79" s="43" t="inlineStr">
        <is>
          <t>19:40</t>
        </is>
      </c>
      <c r="D79" s="44" t="inlineStr">
        <is>
          <t>Solo JP</t>
        </is>
      </c>
      <c r="E79"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79" s="43" t="inlineStr">
        <is>
          <t>Hamburger America</t>
        </is>
      </c>
      <c r="G79" s="40" t="inlineStr">
        <is>
          <t>🚶 ~10 min a pie · 0.8 km · estimado</t>
        </is>
      </c>
      <c r="H79" s="41" t="inlineStr"/>
      <c r="I79" s="41" t="inlineStr"/>
    </row>
    <row r="80" ht="30" customHeight="1">
      <c r="A80" s="35" t="n"/>
      <c r="B80" s="36" t="inlineStr">
        <is>
          <t>19:40</t>
        </is>
      </c>
      <c r="C80" s="37" t="inlineStr">
        <is>
          <t>20:30</t>
        </is>
      </c>
      <c r="D80" s="38" t="inlineStr">
        <is>
          <t>Solo JP</t>
        </is>
      </c>
      <c r="E80" s="39" t="inlineStr">
        <is>
          <t>Paseo por el West Village sin plan: Bleecker, Grove, Bedford. La única grilla rota de Manhattan, y de noche es cuando mejor está.</t>
        </is>
      </c>
      <c r="F80" s="37" t="inlineStr">
        <is>
          <t>West Village</t>
        </is>
      </c>
      <c r="G80" s="40" t="inlineStr">
        <is>
          <t>🚶 ~11 min a pie · 0.8 km · estimado</t>
        </is>
      </c>
      <c r="H80" s="41" t="inlineStr"/>
      <c r="I80" s="41" t="inlineStr"/>
    </row>
    <row r="81" ht="30" customHeight="1">
      <c r="A81" s="35" t="n"/>
      <c r="B81" s="42" t="inlineStr">
        <is>
          <t>20:30</t>
        </is>
      </c>
      <c r="C81" s="43" t="inlineStr">
        <is>
          <t>22:30</t>
        </is>
      </c>
      <c r="D81" s="44" t="inlineStr">
        <is>
          <t>Solo JP</t>
        </is>
      </c>
      <c r="E81"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1" s="43" t="inlineStr">
        <is>
          <t>Smalls Jazz Club</t>
        </is>
      </c>
      <c r="G81" s="40" t="inlineStr"/>
      <c r="H81" s="41" t="inlineStr"/>
      <c r="I81" s="41" t="inlineStr"/>
    </row>
    <row r="82" ht="30" customHeight="1">
      <c r="A82" s="35" t="n"/>
      <c r="B82" s="36" t="inlineStr">
        <is>
          <t>22:30</t>
        </is>
      </c>
      <c r="C82" s="37" t="inlineStr"/>
      <c r="D82" s="38" t="inlineStr">
        <is>
          <t>Solo JP</t>
        </is>
      </c>
      <c r="E82" s="39" t="inlineStr">
        <is>
          <t>Caminar al JGStay: 20-25 min cruzando el Village y SoHo, que a esta hora es el mejor paseo del viaje. O subte 1 desde Christopher St a Canal.</t>
        </is>
      </c>
      <c r="F82" s="37" t="inlineStr">
        <is>
          <t>JGSTAY SoHo (JP: 31 ago-2 sep)</t>
        </is>
      </c>
      <c r="G82" s="40" t="inlineStr"/>
      <c r="H82" s="41" t="inlineStr"/>
      <c r="I82" s="41" t="inlineStr"/>
    </row>
    <row r="83" ht="32" customHeight="1">
      <c r="A83"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5" ht="22" customHeight="1">
      <c r="A85" s="33" t="inlineStr">
        <is>
          <t>DÍA 5 · Miércoles 02/09 · JP solo · Historia Natural, Frick gratis y McBride en Central Park  —  base: JGStay SoHo → New Jersey (la ÚNICA vuelta nocturna)  ·  Solo JP</t>
        </is>
      </c>
    </row>
    <row r="86" ht="32" customHeight="1">
      <c r="A86"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7" ht="30" customHeight="1">
      <c r="A87" s="35" t="n"/>
      <c r="B87" s="36" t="inlineStr">
        <is>
          <t>08:15</t>
        </is>
      </c>
      <c r="C87" s="37" t="inlineStr">
        <is>
          <t>09:15</t>
        </is>
      </c>
      <c r="D87" s="38" t="inlineStr">
        <is>
          <t>Solo JP</t>
        </is>
      </c>
      <c r="E87" s="39" t="inlineStr">
        <is>
          <t>Desayuno incluido en el JGStay y CHECKOUT: el bolso queda en la CONSIGNA — se retira a la tarde, en el hueco libre del día.</t>
        </is>
      </c>
      <c r="F87" s="37" t="inlineStr">
        <is>
          <t>JGSTAY SoHo (JP: 31 ago-2 sep)</t>
        </is>
      </c>
      <c r="G87" s="40" t="inlineStr"/>
      <c r="H87" s="41" t="inlineStr"/>
      <c r="I87" s="41" t="inlineStr"/>
    </row>
    <row r="88" ht="16" customHeight="1">
      <c r="A88" s="35" t="n"/>
      <c r="B88" s="36" t="inlineStr">
        <is>
          <t>09:15</t>
        </is>
      </c>
      <c r="C88" s="37" t="inlineStr">
        <is>
          <t>10:00</t>
        </is>
      </c>
      <c r="D88" s="38" t="inlineStr">
        <is>
          <t>Solo JP</t>
        </is>
      </c>
      <c r="E88" s="39" t="inlineStr">
        <is>
          <t>Subte A o C desde Canal St hasta 81 St-Museum of Natural History (~30 min).</t>
        </is>
      </c>
      <c r="F88" s="37" t="inlineStr"/>
      <c r="G88" s="40" t="inlineStr"/>
      <c r="H88" s="41" t="inlineStr"/>
      <c r="I88" s="41" t="inlineStr"/>
    </row>
    <row r="89" ht="30" customHeight="1">
      <c r="A89" s="35" t="n"/>
      <c r="B89" s="42" t="inlineStr">
        <is>
          <t>10:00</t>
        </is>
      </c>
      <c r="C89" s="43" t="inlineStr">
        <is>
          <t>12:45</t>
        </is>
      </c>
      <c r="D89" s="44" t="inlineStr">
        <is>
          <t>Solo JP</t>
        </is>
      </c>
      <c r="E89" s="45" t="inlineStr">
        <is>
          <t>★ AMERICAN MUSEUM OF NATURAL HISTORY — dinosaurios, la ballena azul y el Gilder Center nuevo de Studio Gang. $37. Thais lo marcó 0: es de hoy.</t>
        </is>
      </c>
      <c r="F89" s="43" t="inlineStr">
        <is>
          <t>American Museum of Natural History</t>
        </is>
      </c>
      <c r="G89" s="40" t="inlineStr"/>
      <c r="H89" s="41" t="inlineStr"/>
      <c r="I89" s="41" t="inlineStr"/>
    </row>
    <row r="90" ht="16" customHeight="1">
      <c r="A90" s="35" t="n"/>
      <c r="B90" s="36" t="inlineStr">
        <is>
          <t>12:45</t>
        </is>
      </c>
      <c r="C90" s="37" t="inlineStr">
        <is>
          <t>13:45</t>
        </is>
      </c>
      <c r="D90" s="38" t="inlineStr">
        <is>
          <t>Solo JP</t>
        </is>
      </c>
      <c r="E90" s="39" t="inlineStr">
        <is>
          <t>Almuerzo y cruzar Central Park de oeste a este (20 min a pie).</t>
        </is>
      </c>
      <c r="F90" s="37" t="inlineStr"/>
      <c r="G90" s="40" t="inlineStr"/>
      <c r="H90" s="41" t="inlineStr"/>
      <c r="I90" s="41" t="inlineStr"/>
    </row>
    <row r="91" ht="30" customHeight="1">
      <c r="A91" s="35" t="n"/>
      <c r="B91" s="42" t="inlineStr">
        <is>
          <t>13:45</t>
        </is>
      </c>
      <c r="C91" s="43" t="inlineStr">
        <is>
          <t>16:30</t>
        </is>
      </c>
      <c r="D91" s="44" t="inlineStr">
        <is>
          <t>Solo JP</t>
        </is>
      </c>
      <c r="E91" s="45" t="inlineStr">
        <is>
          <t>★ THE FRICK COLLECTION — pay-what-you-wish los miércoles 13:30-17:30. Vermeer, Rembrandt y Bellini colgados como en una casa, porque era una casa. Online el mínimo es $5; para pagar menos hay que ir en persona y no hay garantía de lugar.</t>
        </is>
      </c>
      <c r="F91" s="43" t="inlineStr">
        <is>
          <t>The Frick Collection</t>
        </is>
      </c>
      <c r="G91" s="40" t="inlineStr">
        <is>
          <t>🚶 ~25 min a pie (1.6 km) o 🚇 ~15 min · estimado</t>
        </is>
      </c>
      <c r="H91" s="41" t="inlineStr"/>
      <c r="I91" s="41" t="inlineStr"/>
    </row>
    <row r="92" ht="30" customHeight="1">
      <c r="A92" s="35" t="n"/>
      <c r="B92" s="36" t="inlineStr">
        <is>
          <t>16:30</t>
        </is>
      </c>
      <c r="C92" s="37" t="inlineStr">
        <is>
          <t>17:45</t>
        </is>
      </c>
      <c r="D92" s="38" t="inlineStr">
        <is>
          <t>Solo JP</t>
        </is>
      </c>
      <c r="E92"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2" s="37" t="inlineStr">
        <is>
          <t>JGSTAY SoHo (JP: 31 ago-2 sep)</t>
        </is>
      </c>
      <c r="G92" s="40" t="inlineStr"/>
      <c r="H92" s="41" t="inlineStr"/>
      <c r="I92" s="41" t="inlineStr"/>
    </row>
    <row r="93" ht="30" customHeight="1">
      <c r="A93" s="35" t="n"/>
      <c r="B93" s="36" t="inlineStr">
        <is>
          <t>17:45</t>
        </is>
      </c>
      <c r="C93" s="37" t="inlineStr">
        <is>
          <t>18:45</t>
        </is>
      </c>
      <c r="D93" s="38" t="inlineStr">
        <is>
          <t>Solo JP</t>
        </is>
      </c>
      <c r="E93" s="39" t="inlineStr">
        <is>
          <t>Subte 6 al sur. Cena TEMPRANA cerca de Central Park: hoy no hay cena tardía posible, el tren manda.</t>
        </is>
      </c>
      <c r="F93" s="37" t="inlineStr"/>
      <c r="G93" s="40" t="inlineStr"/>
      <c r="H93" s="41" t="inlineStr"/>
      <c r="I93" s="41" t="inlineStr"/>
    </row>
    <row r="94" ht="16" customHeight="1">
      <c r="A94" s="35" t="n"/>
      <c r="B94" s="36" t="inlineStr">
        <is>
          <t>18:45</t>
        </is>
      </c>
      <c r="C94" s="37" t="inlineStr">
        <is>
          <t>19:00</t>
        </is>
      </c>
      <c r="D94" s="38" t="inlineStr">
        <is>
          <t>Solo JP</t>
        </is>
      </c>
      <c r="E94" s="39" t="inlineStr">
        <is>
          <t>Entrar a Rumsey Playfield. Puertas 18:00 y con este cartel se llena: cuanto antes, mejor lugar.</t>
        </is>
      </c>
      <c r="F94" s="37" t="inlineStr"/>
      <c r="G94" s="40" t="inlineStr"/>
      <c r="H94" s="41" t="inlineStr"/>
      <c r="I94" s="41" t="inlineStr"/>
    </row>
    <row r="95" ht="30" customHeight="1">
      <c r="A95" s="35" t="n"/>
      <c r="B95" s="42" t="inlineStr">
        <is>
          <t>19:00</t>
        </is>
      </c>
      <c r="C95" s="43" t="inlineStr">
        <is>
          <t>22:00</t>
        </is>
      </c>
      <c r="D95" s="44" t="inlineStr">
        <is>
          <t>Solo JP</t>
        </is>
      </c>
      <c r="E95" s="45" t="inlineStr">
        <is>
          <t>★★ SUMMERSTAGE: Christian McBride + SAMARA JOY + Mei Semones — Verve 70 aniversario y Getz/Gilberto. GRATIS, sin ticket, Rumsey Playfield, 19:00-22:00.</t>
        </is>
      </c>
      <c r="F95" s="43" t="inlineStr">
        <is>
          <t>SummerStage: Christian McBride (gratis)</t>
        </is>
      </c>
      <c r="G95" s="40" t="inlineStr"/>
      <c r="H95" s="41" t="inlineStr"/>
      <c r="I95" s="41" t="inlineStr"/>
    </row>
    <row r="96" ht="30" customHeight="1">
      <c r="A96" s="35" t="n"/>
      <c r="B96" s="36" t="inlineStr">
        <is>
          <t>22:00</t>
        </is>
      </c>
      <c r="C96" s="37" t="inlineStr">
        <is>
          <t>22:48</t>
        </is>
      </c>
      <c r="D96" s="38" t="inlineStr">
        <is>
          <t>Solo JP</t>
        </is>
      </c>
      <c r="E96" s="39" t="inlineStr">
        <is>
          <t>Salir del parque por la 72 y subte 1/2/3 hasta 34 St-Penn Station. Son 25-30 min puerta a puerta: llegás a Penn 22:25-22:30, con 18-23 min de colchón.</t>
        </is>
      </c>
      <c r="F96" s="37" t="inlineStr"/>
      <c r="G96" s="40" t="inlineStr"/>
      <c r="H96" s="41" t="inlineStr"/>
      <c r="I96" s="41" t="inlineStr"/>
    </row>
    <row r="97" ht="30" customHeight="1">
      <c r="A97" s="35" t="n"/>
      <c r="B97" s="36" t="inlineStr">
        <is>
          <t>22:48</t>
        </is>
      </c>
      <c r="C97" s="37" t="inlineStr">
        <is>
          <t>00:15</t>
        </is>
      </c>
      <c r="D97" s="38" t="inlineStr">
        <is>
          <t>Solo JP</t>
        </is>
      </c>
      <c r="E97" s="39" t="inlineStr">
        <is>
          <t>NJ Transit DIRECTO Penn → Raritan (tren 5197), llega 00:04. $18,50. ⚠️ ES EL TREN CRÍTICO: si lo perdés, la próxima llegada a Raritan es 01:31.</t>
        </is>
      </c>
      <c r="F97" s="37" t="inlineStr"/>
      <c r="G97" s="40" t="inlineStr"/>
      <c r="H97" s="41" t="inlineStr"/>
      <c r="I97" s="41" t="inlineStr"/>
    </row>
    <row r="98" ht="30" customHeight="1">
      <c r="A98" s="35" t="n"/>
      <c r="B98" s="36" t="inlineStr">
        <is>
          <t>00:15</t>
        </is>
      </c>
      <c r="C98" s="37" t="inlineStr"/>
      <c r="D98" s="38" t="inlineStr">
        <is>
          <t>Solo JP</t>
        </is>
      </c>
      <c r="E98" s="39" t="inlineStr">
        <is>
          <t>Uber Raritan → Residence Inn (pedirlo antes de subir al tren). Mañana: despertador 5:45 para el tren de las 6:55 con las maletas.</t>
        </is>
      </c>
      <c r="F98" s="37" t="inlineStr">
        <is>
          <t>Residence Inn Branchburg (Thais 31/8-3/9 · JP solo la noche del 2)</t>
        </is>
      </c>
      <c r="G98" s="40" t="inlineStr"/>
      <c r="H98" s="41" t="inlineStr"/>
      <c r="I98" s="41" t="inlineStr"/>
    </row>
    <row r="99" ht="32" customHeight="1">
      <c r="A99"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1" ht="22" customHeight="1">
      <c r="A101" s="33" t="inlineStr">
        <is>
          <t>DÍA 6 · Jueves 03/09 · Traslado + World Trade Center completo + ferry con Thais  —  base: New Jersey → The Beacon  ·  Solo JP</t>
        </is>
      </c>
    </row>
    <row r="102" ht="32" customHeight="1">
      <c r="A102"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t>
        </is>
      </c>
    </row>
    <row r="103" ht="30" customHeight="1">
      <c r="A103" s="35" t="n"/>
      <c r="B103" s="36" t="inlineStr">
        <is>
          <t>06:20</t>
        </is>
      </c>
      <c r="C103" s="37" t="inlineStr">
        <is>
          <t>06:55</t>
        </is>
      </c>
      <c r="D103" s="38" t="inlineStr">
        <is>
          <t>Solo JP</t>
        </is>
      </c>
      <c r="E103" s="39" t="inlineStr">
        <is>
          <t>Uber desde el Residence Inn a la estación Raritan (~20 min, $14-20). PEDIRLO LA NOCHE ANTERIOR: Branchburg es semi-rural y a esa hora puede no haber autos.</t>
        </is>
      </c>
      <c r="F103" s="37" t="inlineStr">
        <is>
          <t>Residence Inn Branchburg (Thais 31/8-3/9 · JP solo la noche del 2)</t>
        </is>
      </c>
      <c r="G103" s="40" t="inlineStr"/>
      <c r="H103" s="41" t="inlineStr"/>
      <c r="I103" s="41" t="inlineStr"/>
    </row>
    <row r="104" ht="30" customHeight="1">
      <c r="A104" s="35" t="n"/>
      <c r="B104" s="36" t="inlineStr">
        <is>
          <t>06:55</t>
        </is>
      </c>
      <c r="C104" s="37" t="inlineStr">
        <is>
          <t>08:30</t>
        </is>
      </c>
      <c r="D104" s="38" t="inlineStr">
        <is>
          <t>Solo JP</t>
        </is>
      </c>
      <c r="E104" s="39" t="inlineStr">
        <is>
          <t>NJ Transit Raritan → NY Penn Station. Llega 8:20. $18,50. Con maletas, ir al vagón con espacio de equipaje.</t>
        </is>
      </c>
      <c r="F104" s="37" t="inlineStr"/>
      <c r="G104" s="40" t="inlineStr"/>
      <c r="H104" s="41" t="inlineStr"/>
      <c r="I104" s="41" t="inlineStr"/>
    </row>
    <row r="105" ht="16" customHeight="1">
      <c r="A105" s="35" t="n"/>
      <c r="B105" s="36" t="inlineStr">
        <is>
          <t>08:30</t>
        </is>
      </c>
      <c r="C105" s="37" t="inlineStr">
        <is>
          <t>08:45</t>
        </is>
      </c>
      <c r="D105" s="38" t="inlineStr">
        <is>
          <t>Solo JP</t>
        </is>
      </c>
      <c r="E105" s="39" t="inlineStr">
        <is>
          <t>Subte 1/2/3 desde 34 St-Penn Station hasta 72 St. Diez minutos, directo.</t>
        </is>
      </c>
      <c r="F105" s="37" t="inlineStr"/>
      <c r="G105" s="40" t="inlineStr"/>
      <c r="H105" s="41" t="inlineStr"/>
      <c r="I105" s="41" t="inlineStr"/>
    </row>
    <row r="106" ht="30" customHeight="1">
      <c r="A106" s="35" t="n"/>
      <c r="B106" s="42" t="inlineStr">
        <is>
          <t>08:45</t>
        </is>
      </c>
      <c r="C106" s="43" t="inlineStr">
        <is>
          <t>09:15</t>
        </is>
      </c>
      <c r="D106" s="44" t="inlineStr">
        <is>
          <t>Solo JP</t>
        </is>
      </c>
      <c r="E106" s="45" t="inlineStr">
        <is>
          <t>★ THE BEACON — dejar las maletas en el bell desk. El check-in formal es a la tarde, con Thais, pero el equipaje se puede dejar desde temprano. Confirmalo por mail antes de viajar.</t>
        </is>
      </c>
      <c r="F106" s="43" t="inlineStr">
        <is>
          <t>Hotel The Beacon (3-6 sep)</t>
        </is>
      </c>
      <c r="G106" s="40" t="inlineStr"/>
      <c r="H106" s="41" t="inlineStr"/>
      <c r="I106" s="41" t="inlineStr"/>
    </row>
    <row r="107" ht="30" customHeight="1">
      <c r="A107" s="35" t="n"/>
      <c r="B107" s="36" t="inlineStr">
        <is>
          <t>09:15</t>
        </is>
      </c>
      <c r="C107" s="37" t="inlineStr">
        <is>
          <t>09:50</t>
        </is>
      </c>
      <c r="D107" s="38" t="inlineStr">
        <is>
          <t>Solo JP</t>
        </is>
      </c>
      <c r="E107" s="39" t="inlineStr">
        <is>
          <t>Subte 1 directo desde 72 St hasta WTC Cortlandt (~30 min). Alternativa: 2/3 express hasta Chambers St y 5 min a pie.</t>
        </is>
      </c>
      <c r="F107" s="37" t="inlineStr"/>
      <c r="G107" s="40" t="inlineStr"/>
      <c r="H107" s="41" t="inlineStr"/>
      <c r="I107" s="41" t="inlineStr"/>
    </row>
    <row r="108" ht="30" customHeight="1">
      <c r="A108" s="35" t="n"/>
      <c r="B108" s="42" t="inlineStr">
        <is>
          <t>09:50</t>
        </is>
      </c>
      <c r="C108" s="43" t="inlineStr">
        <is>
          <t>10:30</t>
        </is>
      </c>
      <c r="D108" s="44" t="inlineStr">
        <is>
          <t>Solo JP</t>
        </is>
      </c>
      <c r="E108" s="45" t="inlineStr">
        <is>
          <t>★ 9/11 MEMORIAL (la plaza) — las dos fuentes en las huellas de las torres y el Survivor Tree. Gratis, abierto desde las 8:00. Verlo ANTES del museo ordena la visita.</t>
        </is>
      </c>
      <c r="F108" s="43" t="inlineStr"/>
      <c r="G108" s="40" t="inlineStr"/>
      <c r="H108" s="41" t="inlineStr"/>
      <c r="I108" s="41" t="inlineStr"/>
    </row>
    <row r="109" ht="30" customHeight="1">
      <c r="A109" s="35" t="n"/>
      <c r="B109" s="42" t="inlineStr">
        <is>
          <t>10:30</t>
        </is>
      </c>
      <c r="C109" s="43" t="inlineStr">
        <is>
          <t>12:45</t>
        </is>
      </c>
      <c r="D109" s="44" t="inlineStr">
        <is>
          <t>Solo JP</t>
        </is>
      </c>
      <c r="E109" s="45" t="inlineStr">
        <is>
          <t>★★ 9/11 MEMORIAL MUSEUM — $36, TIMED TICKET OBLIGATORIO comprado online antes (el museo no vende en puerta sin reserva). 2 horas largas; es duro y muy bien hecho. Thais lo marcó 0: por eso va en la mañana de JP solo.</t>
        </is>
      </c>
      <c r="F109" s="43" t="inlineStr">
        <is>
          <t>9/11 Memorial Museum</t>
        </is>
      </c>
      <c r="G109" s="40" t="inlineStr"/>
      <c r="H109" s="41" t="inlineStr"/>
      <c r="I109" s="41" t="inlineStr"/>
    </row>
    <row r="110" ht="30" customHeight="1">
      <c r="A110" s="35" t="n"/>
      <c r="B110" s="36" t="inlineStr">
        <is>
          <t>12:45</t>
        </is>
      </c>
      <c r="C110" s="37" t="inlineStr">
        <is>
          <t>13:45</t>
        </is>
      </c>
      <c r="D110" s="38" t="inlineStr">
        <is>
          <t>Solo JP</t>
        </is>
      </c>
      <c r="E110" s="39" t="inlineStr">
        <is>
          <t>Almuerzo cruzando West St: Hudson Eats o Le District, en Brookfield Place, con el yate harbor de fondo.</t>
        </is>
      </c>
      <c r="F110" s="37" t="inlineStr"/>
      <c r="G110" s="40" t="inlineStr"/>
      <c r="H110" s="41" t="inlineStr"/>
      <c r="I110" s="41" t="inlineStr"/>
    </row>
    <row r="111" ht="30" customHeight="1">
      <c r="A111" s="35" t="n"/>
      <c r="B111" s="42" t="inlineStr">
        <is>
          <t>13:45</t>
        </is>
      </c>
      <c r="C111" s="43" t="inlineStr">
        <is>
          <t>15:15</t>
        </is>
      </c>
      <c r="D111" s="44" t="inlineStr">
        <is>
          <t>Solo JP</t>
        </is>
      </c>
      <c r="E111" s="45" t="inlineStr">
        <is>
          <t>★★ ONE WORLD OBSERVATORY — piso 102, el punto más alto del hemisferio occidental, con el puerto y Brooklyn dominando la vista. $44+fee, ventana de entrada de 15 min: sacar el timed ticket online. JP lo subió a 2 en la última pasada.</t>
        </is>
      </c>
      <c r="F111" s="43" t="inlineStr">
        <is>
          <t>One World Observatory</t>
        </is>
      </c>
      <c r="G111" s="40" t="inlineStr">
        <is>
          <t>🚶 ~4 min a pie · 0.2 km · estimado</t>
        </is>
      </c>
      <c r="H111" s="41" t="inlineStr"/>
      <c r="I111" s="41" t="inlineStr"/>
    </row>
    <row r="112" ht="30" customHeight="1">
      <c r="A112" s="35" t="n"/>
      <c r="B112" s="36" t="inlineStr">
        <is>
          <t>15:15</t>
        </is>
      </c>
      <c r="C112" s="37" t="inlineStr">
        <is>
          <t>16:00</t>
        </is>
      </c>
      <c r="D112" s="38" t="inlineStr">
        <is>
          <t>Solo JP</t>
        </is>
      </c>
      <c r="E112" s="39" t="inlineStr">
        <is>
          <t>El Oculus en un VISTAZO (5 min — ya estás ahí, y el tiempo no da para más) y R/W desde Cortlandt St hacia el norte.</t>
        </is>
      </c>
      <c r="F112" s="37" t="inlineStr">
        <is>
          <t>Oculus / WTC Transportation Hub</t>
        </is>
      </c>
      <c r="G112" s="40" t="inlineStr">
        <is>
          <t>🚶 ~4 min a pie · 0.3 km · estimado</t>
        </is>
      </c>
      <c r="H112" s="41" t="inlineStr"/>
      <c r="I112" s="41" t="inlineStr"/>
    </row>
    <row r="113" ht="30" customHeight="1">
      <c r="A113" s="35" t="n"/>
      <c r="B113" s="42" t="inlineStr">
        <is>
          <t>16:00</t>
        </is>
      </c>
      <c r="C113" s="43" t="inlineStr">
        <is>
          <t>16:30</t>
        </is>
      </c>
      <c r="D113" s="44" t="inlineStr">
        <is>
          <t>Ambos</t>
        </is>
      </c>
      <c r="E113"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3" s="43" t="inlineStr"/>
      <c r="G113" s="40" t="inlineStr"/>
      <c r="H113" s="41" t="inlineStr"/>
      <c r="I113" s="41" t="inlineStr"/>
    </row>
    <row r="114" ht="30" customHeight="1">
      <c r="A114" s="35" t="n"/>
      <c r="B114" s="42" t="inlineStr">
        <is>
          <t>16:30</t>
        </is>
      </c>
      <c r="C114" s="43" t="inlineStr">
        <is>
          <t>18:05</t>
        </is>
      </c>
      <c r="D114" s="44" t="inlineStr">
        <is>
          <t>Ambos</t>
        </is>
      </c>
      <c r="E114"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4" s="43" t="inlineStr">
        <is>
          <t>Museum of the Moving Image</t>
        </is>
      </c>
      <c r="G114" s="40" t="inlineStr">
        <is>
          <t>🚇 ~40 min en subte · 11.5 km (a pie 155 min) · estimado</t>
        </is>
      </c>
      <c r="H114" s="41" t="inlineStr"/>
      <c r="I114" s="41" t="inlineStr"/>
    </row>
    <row r="115" ht="16" customHeight="1">
      <c r="A115" s="35" t="n"/>
      <c r="B115" s="36" t="inlineStr">
        <is>
          <t>18:05</t>
        </is>
      </c>
      <c r="C115" s="37" t="inlineStr">
        <is>
          <t>18:55</t>
        </is>
      </c>
      <c r="D115" s="38" t="inlineStr">
        <is>
          <t>Ambos</t>
        </is>
      </c>
      <c r="E115" s="39" t="inlineStr">
        <is>
          <t>Subte N/W desde 36 Av hasta Times Sq y 1/2/3 hasta 72 St (~45 min).</t>
        </is>
      </c>
      <c r="F115" s="37" t="inlineStr"/>
      <c r="G115" s="40" t="inlineStr"/>
      <c r="H115" s="41" t="inlineStr"/>
      <c r="I115" s="41" t="inlineStr"/>
    </row>
    <row r="116" ht="16" customHeight="1">
      <c r="A116" s="35" t="n"/>
      <c r="B116" s="36" t="inlineStr">
        <is>
          <t>18:55</t>
        </is>
      </c>
      <c r="C116" s="37" t="inlineStr">
        <is>
          <t>19:15</t>
        </is>
      </c>
      <c r="D116" s="38" t="inlineStr">
        <is>
          <t>Ambos</t>
        </is>
      </c>
      <c r="E116" s="39" t="inlineStr">
        <is>
          <t>The Beacon: check-in formal y subir las maletas.</t>
        </is>
      </c>
      <c r="F116" s="37" t="inlineStr">
        <is>
          <t>Hotel The Beacon (3-6 sep)</t>
        </is>
      </c>
      <c r="G116" s="40" t="inlineStr"/>
      <c r="H116" s="41" t="inlineStr"/>
      <c r="I116" s="41" t="inlineStr"/>
    </row>
    <row r="117" ht="30" customHeight="1">
      <c r="A117" s="35" t="n"/>
      <c r="B117" s="36" t="inlineStr">
        <is>
          <t>19:15</t>
        </is>
      </c>
      <c r="C117" s="37" t="inlineStr">
        <is>
          <t>19:55</t>
        </is>
      </c>
      <c r="D117" s="38" t="inlineStr">
        <is>
          <t>Ambos</t>
        </is>
      </c>
      <c r="E117" s="39" t="inlineStr">
        <is>
          <t>Cena RÁPIDA en el Upper West Side, bajando por Broadway o Columbus. Hoy se come temprano y liviano: la noche tiene tres paradas y todas valen.</t>
        </is>
      </c>
      <c r="F117" s="37" t="inlineStr"/>
      <c r="G117" s="40" t="inlineStr"/>
      <c r="H117" s="41" t="inlineStr"/>
      <c r="I117" s="41" t="inlineStr"/>
    </row>
    <row r="118" ht="30" customHeight="1">
      <c r="A118" s="35" t="n"/>
      <c r="B118" s="42" t="inlineStr">
        <is>
          <t>19:55</t>
        </is>
      </c>
      <c r="C118" s="43" t="inlineStr">
        <is>
          <t>20:20</t>
        </is>
      </c>
      <c r="D118" s="44" t="inlineStr">
        <is>
          <t>Ambos</t>
        </is>
      </c>
      <c r="E118" s="45" t="inlineStr">
        <is>
          <t>★ LINCOLN CENTER DE NOCHE (gratis, 20 min) — la plaza de Revson con la fuente iluminada, los chandeliers del Met Opera a través del vidrio y el espejo de agua con el Henry Moore. Las salas grandes están entre temporadas (la Filarmónica de Dudamel abre el 10/9), así que ESTO es Lincoln Center esta semana.</t>
        </is>
      </c>
      <c r="F118" s="43" t="inlineStr">
        <is>
          <t>Lincoln Center (campus y plaza)</t>
        </is>
      </c>
      <c r="G118" s="40" t="inlineStr">
        <is>
          <t>🚶 ~20 min a pie (1.3 km) o 🚇 ~15 min · estimado</t>
        </is>
      </c>
      <c r="H118" s="41" t="inlineStr"/>
      <c r="I118" s="41" t="inlineStr"/>
    </row>
    <row r="119" ht="16" customHeight="1">
      <c r="A119" s="35" t="n"/>
      <c r="B119" s="36" t="inlineStr">
        <is>
          <t>20:20</t>
        </is>
      </c>
      <c r="C119" s="37" t="inlineStr">
        <is>
          <t>20:30</t>
        </is>
      </c>
      <c r="D119" s="38" t="inlineStr">
        <is>
          <t>Ambos</t>
        </is>
      </c>
      <c r="E119" s="39" t="inlineStr">
        <is>
          <t>Caminar seis cuadras por Broadway hasta Columbus Circle (~8 min).</t>
        </is>
      </c>
      <c r="F119" s="37" t="inlineStr"/>
      <c r="G119" s="40" t="inlineStr"/>
      <c r="H119" s="41" t="inlineStr"/>
      <c r="I119" s="41" t="inlineStr"/>
    </row>
    <row r="120" ht="30" customHeight="1">
      <c r="A120" s="35" t="n"/>
      <c r="B120" s="42" t="inlineStr">
        <is>
          <t>20:30</t>
        </is>
      </c>
      <c r="C120" s="43" t="inlineStr">
        <is>
          <t>20:55</t>
        </is>
      </c>
      <c r="D120" s="44" t="inlineStr">
        <is>
          <t>Ambos</t>
        </is>
      </c>
      <c r="E120"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0" s="43" t="inlineStr">
        <is>
          <t>MO Lounge — Mandarin Oriental (piso 35)</t>
        </is>
      </c>
      <c r="G120" s="40" t="inlineStr"/>
      <c r="H120" s="41" t="inlineStr"/>
      <c r="I120" s="41" t="inlineStr"/>
    </row>
    <row r="121" ht="30" customHeight="1">
      <c r="A121" s="35" t="n"/>
      <c r="B121" s="36" t="inlineStr">
        <is>
          <t>20:55</t>
        </is>
      </c>
      <c r="C121" s="37" t="inlineStr">
        <is>
          <t>21:00</t>
        </is>
      </c>
      <c r="D121" s="38" t="inlineStr">
        <is>
          <t>Ambos</t>
        </is>
      </c>
      <c r="E121" s="39" t="inlineStr">
        <is>
          <t>Bajar en ascensor: Dizzy's está EN EL MISMO EDIFICIO (10 Columbus Circle, piso 5). Cero calle, cero frío.</t>
        </is>
      </c>
      <c r="F121" s="37" t="inlineStr"/>
      <c r="G121" s="40" t="inlineStr"/>
      <c r="H121" s="41" t="inlineStr"/>
      <c r="I121" s="41" t="inlineStr"/>
    </row>
    <row r="122" ht="30" customHeight="1">
      <c r="A122" s="35" t="n"/>
      <c r="B122" s="36" t="inlineStr">
        <is>
          <t>21:00</t>
        </is>
      </c>
      <c r="C122" s="37" t="inlineStr"/>
      <c r="D122" s="38" t="inlineStr">
        <is>
          <t>Ambos</t>
        </is>
      </c>
      <c r="E122"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2" s="37" t="inlineStr">
        <is>
          <t>Dizzy's Club (Jazz at Lincoln Center)</t>
        </is>
      </c>
      <c r="G122" s="40" t="inlineStr"/>
      <c r="H122" s="41" t="inlineStr"/>
      <c r="I122" s="41" t="inlineStr"/>
    </row>
    <row r="123" ht="32" customHeight="1">
      <c r="A123"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5" ht="22" customHeight="1">
      <c r="A125" s="33" t="inlineStr">
        <is>
          <t>DÍA 7 · Viernes 04/09 · Vessel + High Line, SUMMIT al atardecer y el VANGUARD de a dos  —  base: The Beacon  ·  Ambos</t>
        </is>
      </c>
    </row>
    <row r="126" ht="32" customHeight="1">
      <c r="A126"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7" ht="16" customHeight="1">
      <c r="A127" s="35" t="n"/>
      <c r="B127" s="36" t="inlineStr">
        <is>
          <t>09:15</t>
        </is>
      </c>
      <c r="C127" s="37" t="inlineStr">
        <is>
          <t>09:40</t>
        </is>
      </c>
      <c r="D127" s="38" t="inlineStr">
        <is>
          <t>Ambos</t>
        </is>
      </c>
      <c r="E127" s="39" t="inlineStr">
        <is>
          <t>Subte a Hudson Yards.</t>
        </is>
      </c>
      <c r="F127" s="37" t="inlineStr"/>
      <c r="G127" s="40" t="inlineStr"/>
      <c r="H127" s="41" t="inlineStr"/>
      <c r="I127" s="41" t="inlineStr"/>
    </row>
    <row r="128" ht="30" customHeight="1">
      <c r="A128" s="35" t="n"/>
      <c r="B128" s="36" t="inlineStr">
        <is>
          <t>09:40</t>
        </is>
      </c>
      <c r="C128" s="37" t="inlineStr">
        <is>
          <t>10:00</t>
        </is>
      </c>
      <c r="D128" s="38" t="inlineStr">
        <is>
          <t>Ambos</t>
        </is>
      </c>
      <c r="E128" s="39" t="inlineStr">
        <is>
          <t>La plaza de Hudson Yards mientras abre el Vessel: The Shops y el Shed desde afuera. Sacar el timed ticket de las 10:00 online antes.</t>
        </is>
      </c>
      <c r="F128" s="37" t="inlineStr"/>
      <c r="G128" s="40" t="inlineStr"/>
      <c r="H128" s="41" t="inlineStr"/>
      <c r="I128" s="41" t="inlineStr"/>
    </row>
    <row r="129" ht="30" customHeight="1">
      <c r="A129" s="35" t="n"/>
      <c r="B129" s="42" t="inlineStr">
        <is>
          <t>10:00</t>
        </is>
      </c>
      <c r="C129" s="43" t="inlineStr">
        <is>
          <t>10:50</t>
        </is>
      </c>
      <c r="D129" s="44" t="inlineStr">
        <is>
          <t>Ambos</t>
        </is>
      </c>
      <c r="E129"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29" s="43" t="inlineStr">
        <is>
          <t>The Vessel</t>
        </is>
      </c>
      <c r="G129" s="40" t="inlineStr"/>
      <c r="H129" s="41" t="inlineStr"/>
      <c r="I129" s="41" t="inlineStr"/>
    </row>
    <row r="130" ht="30" customHeight="1">
      <c r="A130" s="35" t="n"/>
      <c r="B130" s="42" t="inlineStr">
        <is>
          <t>10:50</t>
        </is>
      </c>
      <c r="C130" s="43" t="inlineStr">
        <is>
          <t>12:20</t>
        </is>
      </c>
      <c r="D130" s="44" t="inlineStr">
        <is>
          <t>Ambos</t>
        </is>
      </c>
      <c r="E130" s="45" t="inlineStr">
        <is>
          <t>★ THE HIGH LINE completo, de norte a sur (2,3 km) — arranca ahí mismo, en 30th y 10ª. Vía ferroviaria elevada convertida en parque lineal. Incluye el Buda de arenisca de 9 metros de Tuan Andrew Nguyen.</t>
        </is>
      </c>
      <c r="F130" s="43" t="inlineStr">
        <is>
          <t>The High Line</t>
        </is>
      </c>
      <c r="G130" s="40" t="inlineStr">
        <is>
          <t>🚶 ~12 min a pie · 0.9 km · estimado</t>
        </is>
      </c>
      <c r="H130" s="41" t="inlineStr"/>
      <c r="I130" s="41" t="inlineStr"/>
    </row>
    <row r="131" ht="30" customHeight="1">
      <c r="A131" s="35" t="n"/>
      <c r="B131" s="36" t="inlineStr">
        <is>
          <t>12:20</t>
        </is>
      </c>
      <c r="C131" s="37" t="inlineStr">
        <is>
          <t>13:00</t>
        </is>
      </c>
      <c r="D131" s="38" t="inlineStr">
        <is>
          <t>Ambos</t>
        </is>
      </c>
      <c r="E131" s="39" t="inlineStr">
        <is>
          <t>Little Island — el parque flotante de Heatherwick sobre 132 macetas de hormigón, al final del High Line. Gratis.</t>
        </is>
      </c>
      <c r="F131" s="37" t="inlineStr">
        <is>
          <t>Little Island</t>
        </is>
      </c>
      <c r="G131" s="40" t="inlineStr">
        <is>
          <t>🚶 ~15 min a pie · 1.1 km · estimado</t>
        </is>
      </c>
      <c r="H131" s="41" t="inlineStr"/>
      <c r="I131" s="41" t="inlineStr"/>
    </row>
    <row r="132" ht="30" customHeight="1">
      <c r="A132" s="35" t="n"/>
      <c r="B132" s="42" t="inlineStr">
        <is>
          <t>13:00</t>
        </is>
      </c>
      <c r="C132" s="43" t="inlineStr">
        <is>
          <t>14:30</t>
        </is>
      </c>
      <c r="D132" s="44" t="inlineStr">
        <is>
          <t>Ambos</t>
        </is>
      </c>
      <c r="E132" s="45" t="inlineStr">
        <is>
          <t>Galerías de Chelsea COMPLETAS — W 19th a W 27th entre la 10ª y la 11ª, concentradas en W 24th y W 21st (Gagosian, Pace, Zwirner). Gratis, se entra y se sale. El recorte del Vessel se devolvió: SUMMIT pasó al atardecer y la tarde se estiró.</t>
        </is>
      </c>
      <c r="F132" s="43" t="inlineStr"/>
      <c r="G132" s="40" t="inlineStr"/>
      <c r="H132" s="41" t="inlineStr"/>
      <c r="I132" s="41" t="inlineStr"/>
    </row>
    <row r="133" ht="30" customHeight="1">
      <c r="A133" s="35" t="n"/>
      <c r="B133" s="36" t="inlineStr">
        <is>
          <t>14:30</t>
        </is>
      </c>
      <c r="C133" s="37" t="inlineStr">
        <is>
          <t>16:25</t>
        </is>
      </c>
      <c r="D133" s="38" t="inlineStr">
        <is>
          <t>Ambos</t>
        </is>
      </c>
      <c r="E133" s="39" t="inlineStr">
        <is>
          <t>Almuerzo en Chelsea Market — COMER FUERTE: es la comida grande del día, la cena de hoy es un bocado rápido entre el SUMMIT y el Vanguard. Los Tacos No.1 o Very Fresh Noodles. Ahora hay casi DOS HORAS: sin apuro, y si quedaron galerías de Chelsea sin ver, se vuelve.</t>
        </is>
      </c>
      <c r="F133" s="37" t="inlineStr">
        <is>
          <t>Chelsea Market</t>
        </is>
      </c>
      <c r="G133" s="40" t="inlineStr">
        <is>
          <t>🚶 ~7 min a pie · 0.5 km · estimado</t>
        </is>
      </c>
      <c r="H133" s="41" t="inlineStr"/>
      <c r="I133" s="41" t="inlineStr"/>
    </row>
    <row r="134" ht="30" customHeight="1">
      <c r="A134" s="35" t="n"/>
      <c r="B134" s="36" t="inlineStr">
        <is>
          <t>16:25</t>
        </is>
      </c>
      <c r="C134" s="37" t="inlineStr">
        <is>
          <t>17:00</t>
        </is>
      </c>
      <c r="D134" s="38" t="inlineStr">
        <is>
          <t>Ambos</t>
        </is>
      </c>
      <c r="E134" s="39" t="inlineStr">
        <is>
          <t>A la Morgan: L desde 14 St-8 Av hasta Union Sq y 6 hasta 33 St, o A/C/E hasta 34 St-Penn y siete cuadras a pie (~30 min). Salir 16:25 deja margen para entrar 17:00 EN PUNTO.</t>
        </is>
      </c>
      <c r="F134" s="37" t="inlineStr"/>
      <c r="G134" s="40" t="inlineStr"/>
      <c r="H134" s="41" t="inlineStr"/>
      <c r="I134" s="41" t="inlineStr"/>
    </row>
    <row r="135" ht="30" customHeight="1">
      <c r="A135" s="35" t="n"/>
      <c r="B135" s="42" t="inlineStr">
        <is>
          <t>17:00</t>
        </is>
      </c>
      <c r="C135" s="43" t="inlineStr">
        <is>
          <t>18:00</t>
        </is>
      </c>
      <c r="D135" s="44" t="inlineStr">
        <is>
          <t>Ambos</t>
        </is>
      </c>
      <c r="E135"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5" s="43" t="inlineStr">
        <is>
          <t>The Morgan Library &amp; Museum</t>
        </is>
      </c>
      <c r="G135" s="40" t="inlineStr"/>
      <c r="H135" s="41" t="inlineStr"/>
      <c r="I135" s="41" t="inlineStr"/>
    </row>
    <row r="136" ht="16" customHeight="1">
      <c r="A136" s="35" t="n"/>
      <c r="B136" s="36" t="inlineStr">
        <is>
          <t>18:00</t>
        </is>
      </c>
      <c r="C136" s="37" t="inlineStr">
        <is>
          <t>18:10</t>
        </is>
      </c>
      <c r="D136" s="38" t="inlineStr">
        <is>
          <t>Ambos</t>
        </is>
      </c>
      <c r="E136" s="39" t="inlineStr">
        <is>
          <t>Caminar las seis cuadras de la Morgan a One Vanderbilt (~8-10 min).</t>
        </is>
      </c>
      <c r="F136" s="37" t="inlineStr"/>
      <c r="G136" s="40" t="inlineStr"/>
      <c r="H136" s="41" t="inlineStr"/>
      <c r="I136" s="41" t="inlineStr"/>
    </row>
    <row r="137" ht="30" customHeight="1">
      <c r="A137" s="35" t="n"/>
      <c r="B137" s="42" t="inlineStr">
        <is>
          <t>18:10</t>
        </is>
      </c>
      <c r="C137" s="43" t="inlineStr">
        <is>
          <t>20:20</t>
        </is>
      </c>
      <c r="D137" s="44" t="inlineStr">
        <is>
          <t>Ambos</t>
        </is>
      </c>
      <c r="E137"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7" s="43" t="inlineStr">
        <is>
          <t>SUMMIT One Vanderbilt</t>
        </is>
      </c>
      <c r="G137" s="40" t="inlineStr"/>
      <c r="H137" s="41" t="inlineStr"/>
      <c r="I137" s="41" t="inlineStr"/>
    </row>
    <row r="138" ht="30" customHeight="1">
      <c r="A138" s="35" t="n"/>
      <c r="B138" s="36" t="inlineStr">
        <is>
          <t>20:20</t>
        </is>
      </c>
      <c r="C138" s="37" t="inlineStr">
        <is>
          <t>20:50</t>
        </is>
      </c>
      <c r="D138" s="38" t="inlineStr">
        <is>
          <t>Ambos</t>
        </is>
      </c>
      <c r="E138" s="39" t="inlineStr">
        <is>
          <t>Bajar AL VILLAGE PRIMERO y cenar allá: 4/5/6 o 7 hasta 14 St-Union Sq y 1 hasta Christopher St (~25 min). Cenar cerca de Grand Central y bajar después llega justo; hacerlo al revés deja margen.</t>
        </is>
      </c>
      <c r="F138" s="37" t="inlineStr"/>
      <c r="G138" s="40" t="inlineStr"/>
      <c r="H138" s="41" t="inlineStr"/>
      <c r="I138" s="41" t="inlineStr"/>
    </row>
    <row r="139" ht="30" customHeight="1">
      <c r="A139" s="35" t="n"/>
      <c r="B139" s="36" t="inlineStr">
        <is>
          <t>20:50</t>
        </is>
      </c>
      <c r="C139" s="37" t="inlineStr">
        <is>
          <t>21:30</t>
        </is>
      </c>
      <c r="D139" s="38" t="inlineStr">
        <is>
          <t>Ambos</t>
        </is>
      </c>
      <c r="E139" s="39" t="inlineStr">
        <is>
          <t>Cena en el West Village, a cinco minutos del club. El Vanguard NO sirve NADA de comida (lo dicen así: 'ni un maní') y no se permite entrar comida: lo que no cenen ahora, no se cena. 40 minutos alcanzan.</t>
        </is>
      </c>
      <c r="F139" s="37" t="inlineStr"/>
      <c r="G139" s="40" t="inlineStr"/>
      <c r="H139" s="41" t="inlineStr"/>
      <c r="I139" s="41" t="inlineStr"/>
    </row>
    <row r="140" ht="30" customHeight="1">
      <c r="A140" s="35" t="n"/>
      <c r="B140" s="36" t="inlineStr">
        <is>
          <t>21:30</t>
        </is>
      </c>
      <c r="C140" s="37" t="inlineStr">
        <is>
          <t>22:00</t>
        </is>
      </c>
      <c r="D140" s="38" t="inlineStr">
        <is>
          <t>Ambos</t>
        </is>
      </c>
      <c r="E140"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0" s="37" t="inlineStr"/>
      <c r="G140" s="40" t="inlineStr"/>
      <c r="H140" s="41" t="inlineStr"/>
      <c r="I140" s="41" t="inlineStr"/>
    </row>
    <row r="141" ht="30" customHeight="1">
      <c r="A141" s="35" t="n"/>
      <c r="B141" s="42" t="inlineStr">
        <is>
          <t>22:00</t>
        </is>
      </c>
      <c r="C141" s="43" t="inlineStr"/>
      <c r="D141" s="44" t="inlineStr">
        <is>
          <t>Ambos</t>
        </is>
      </c>
      <c r="E141"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1" s="43" t="inlineStr">
        <is>
          <t>Village Vanguard</t>
        </is>
      </c>
      <c r="G141" s="40" t="inlineStr"/>
      <c r="H141" s="41" t="inlineStr"/>
      <c r="I141" s="41" t="inlineStr"/>
    </row>
    <row r="142" ht="32" customHeight="1">
      <c r="A142"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es gratis hoy de 17 a 22h, pero choca con la Morgan y ustedes lo bajaron a 'quizás' mientras que la Morgan quedó en 2.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4" ht="22" customHeight="1">
      <c r="A144" s="33" t="inlineStr">
        <is>
          <t>DÍA 8 · Sábado 05/09 · Brooklyn, Peter Luger, un PLAY y Café Wha hasta la madrugada  —  base: The Beacon  ·  Ambos</t>
        </is>
      </c>
    </row>
    <row r="145" ht="32" customHeight="1">
      <c r="A145"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6" ht="30" customHeight="1">
      <c r="A146" s="35" t="n"/>
      <c r="B146" s="36" t="inlineStr">
        <is>
          <t>08:15</t>
        </is>
      </c>
      <c r="C146" s="37" t="inlineStr">
        <is>
          <t>09:00</t>
        </is>
      </c>
      <c r="D146" s="38" t="inlineStr">
        <is>
          <t>Ambos</t>
        </is>
      </c>
      <c r="E146" s="39" t="inlineStr">
        <is>
          <t>Salir 8:15: 1/2/3 desde 72 St + transbordo a A/C hasta High St son ~40-45 min REALES. Llegar temprano a DUMBO es la diferencia entre la foto y la cola de fotos.</t>
        </is>
      </c>
      <c r="F146" s="37" t="inlineStr"/>
      <c r="G146" s="40" t="inlineStr"/>
      <c r="H146" s="41" t="inlineStr"/>
      <c r="I146" s="41" t="inlineStr"/>
    </row>
    <row r="147" ht="30" customHeight="1">
      <c r="A147" s="35" t="n"/>
      <c r="B147" s="42" t="inlineStr">
        <is>
          <t>09:00</t>
        </is>
      </c>
      <c r="C147" s="43" t="inlineStr">
        <is>
          <t>10:30</t>
        </is>
      </c>
      <c r="D147" s="44" t="inlineStr">
        <is>
          <t>Ambos</t>
        </is>
      </c>
      <c r="E147" s="45" t="inlineStr">
        <is>
          <t>★ Brooklyn Bridge Park y DUMBO — muelles reconvertidos con el skyline de Lower Manhattan de frente, y la foto del Manhattan Bridge encuadrado en Washington y Water.</t>
        </is>
      </c>
      <c r="F147" s="43" t="inlineStr">
        <is>
          <t>Brooklyn Bridge Park</t>
        </is>
      </c>
      <c r="G147" s="40" t="inlineStr"/>
      <c r="H147" s="41" t="inlineStr"/>
      <c r="I147" s="41" t="inlineStr"/>
    </row>
    <row r="148" ht="16" customHeight="1">
      <c r="A148" s="35" t="n"/>
      <c r="B148" s="36" t="inlineStr">
        <is>
          <t>10:30</t>
        </is>
      </c>
      <c r="C148" s="37" t="inlineStr">
        <is>
          <t>11:15</t>
        </is>
      </c>
      <c r="D148" s="38" t="inlineStr">
        <is>
          <t>Ambos</t>
        </is>
      </c>
      <c r="E148" s="39" t="inlineStr">
        <is>
          <t>Brooklyn Heights Promenade — la postal clásica del skyline sobre el BQE.</t>
        </is>
      </c>
      <c r="F148" s="37" t="inlineStr">
        <is>
          <t>Brooklyn Heights Promenade</t>
        </is>
      </c>
      <c r="G148" s="40" t="inlineStr">
        <is>
          <t>🚶 ~8 min a pie · 0.6 km · estimado</t>
        </is>
      </c>
      <c r="H148" s="41" t="inlineStr"/>
      <c r="I148" s="41" t="inlineStr"/>
    </row>
    <row r="149" ht="30" customHeight="1">
      <c r="A149" s="35" t="n"/>
      <c r="B149" s="42" t="inlineStr">
        <is>
          <t>11:15</t>
        </is>
      </c>
      <c r="C149" s="43" t="inlineStr">
        <is>
          <t>12:45</t>
        </is>
      </c>
      <c r="D149" s="44" t="inlineStr">
        <is>
          <t>Ambos</t>
        </is>
      </c>
      <c r="E149" s="45" t="inlineStr">
        <is>
          <t>★ NEW YORK TRANSIT MUSEUM — una estación de subte clausurada de 1936 con 20 vagones históricos en las vías originales; se puede subir a todos. $10. Cierra lunes y martes, así que hoy es el día.</t>
        </is>
      </c>
      <c r="F149" s="43" t="inlineStr">
        <is>
          <t>New York Transit Museum</t>
        </is>
      </c>
      <c r="G149" s="40" t="inlineStr"/>
      <c r="H149" s="41" t="inlineStr"/>
      <c r="I149" s="41" t="inlineStr"/>
    </row>
    <row r="150" ht="16" customHeight="1">
      <c r="A150" s="35" t="n"/>
      <c r="B150" s="36" t="inlineStr">
        <is>
          <t>12:45</t>
        </is>
      </c>
      <c r="C150" s="37" t="inlineStr">
        <is>
          <t>13:45</t>
        </is>
      </c>
      <c r="D150" s="38" t="inlineStr">
        <is>
          <t>Ambos</t>
        </is>
      </c>
      <c r="E150" s="39" t="inlineStr">
        <is>
          <t>Almuerzo en Downtown Brooklyn.</t>
        </is>
      </c>
      <c r="F150" s="37" t="inlineStr"/>
      <c r="G150" s="40" t="inlineStr"/>
      <c r="H150" s="41" t="inlineStr"/>
      <c r="I150" s="41" t="inlineStr"/>
    </row>
    <row r="151" ht="16" customHeight="1">
      <c r="A151" s="35" t="n"/>
      <c r="B151" s="36" t="inlineStr">
        <is>
          <t>13:45</t>
        </is>
      </c>
      <c r="C151" s="37" t="inlineStr">
        <is>
          <t>14:15</t>
        </is>
      </c>
      <c r="D151" s="38" t="inlineStr">
        <is>
          <t>Ambos</t>
        </is>
      </c>
      <c r="E151" s="39" t="inlineStr">
        <is>
          <t>Subte a Williamsburg.</t>
        </is>
      </c>
      <c r="F151" s="37" t="inlineStr"/>
      <c r="G151" s="40" t="inlineStr"/>
      <c r="H151" s="41" t="inlineStr"/>
      <c r="I151" s="41" t="inlineStr"/>
    </row>
    <row r="152" ht="30" customHeight="1">
      <c r="A152" s="35" t="n"/>
      <c r="B152" s="42" t="inlineStr">
        <is>
          <t>14:15</t>
        </is>
      </c>
      <c r="C152" s="43" t="inlineStr">
        <is>
          <t>15:15</t>
        </is>
      </c>
      <c r="D152" s="44" t="inlineStr">
        <is>
          <t>Ambos</t>
        </is>
      </c>
      <c r="E152" s="45" t="inlineStr">
        <is>
          <t>★ Domino Park — ex refinería de azúcar; el paseo elevado pasa entre la maquinaria industrial conservada, con el Williamsburg Bridge y Midtown enfrente.</t>
        </is>
      </c>
      <c r="F152" s="43" t="inlineStr">
        <is>
          <t>Domino Park</t>
        </is>
      </c>
      <c r="G152" s="40" t="inlineStr"/>
      <c r="H152" s="41" t="inlineStr"/>
      <c r="I152" s="41" t="inlineStr"/>
    </row>
    <row r="153" ht="30" customHeight="1">
      <c r="A153" s="35" t="n"/>
      <c r="B153" s="36" t="inlineStr">
        <is>
          <t>15:15</t>
        </is>
      </c>
      <c r="C153" s="37" t="inlineStr">
        <is>
          <t>16:45</t>
        </is>
      </c>
      <c r="D153" s="38" t="inlineStr">
        <is>
          <t>Ambos</t>
        </is>
      </c>
      <c r="E153" s="39" t="inlineStr">
        <is>
          <t>Paseo por Williamsburg: Bedford Ave, disquerías y vintage. OPCIONAL si quieren la panorámica: Westlight (piso 22, sin cover, un trago) — lo bajaron a 'quizás', así que es prescindible. NO comer nada: lo que viene lo merece.</t>
        </is>
      </c>
      <c r="F153" s="37" t="inlineStr"/>
      <c r="G153" s="40" t="inlineStr"/>
      <c r="H153" s="41" t="inlineStr"/>
      <c r="I153" s="41" t="inlineStr"/>
    </row>
    <row r="154" ht="16" customHeight="1">
      <c r="A154" s="35" t="n"/>
      <c r="B154" s="36" t="inlineStr">
        <is>
          <t>16:45</t>
        </is>
      </c>
      <c r="C154" s="37" t="inlineStr">
        <is>
          <t>17:00</t>
        </is>
      </c>
      <c r="D154" s="38" t="inlineStr">
        <is>
          <t>Ambos</t>
        </is>
      </c>
      <c r="E154" s="39" t="inlineStr">
        <is>
          <t>Caminar por Bedford/Driggs hasta el pie del Williamsburg Bridge (~15 min).</t>
        </is>
      </c>
      <c r="F154" s="37" t="inlineStr"/>
      <c r="G154" s="40" t="inlineStr"/>
      <c r="H154" s="41" t="inlineStr"/>
      <c r="I154" s="41" t="inlineStr"/>
    </row>
    <row r="155" ht="30" customHeight="1">
      <c r="A155" s="35" t="n"/>
      <c r="B155" s="42" t="inlineStr">
        <is>
          <t>17:00</t>
        </is>
      </c>
      <c r="C155" s="43" t="inlineStr">
        <is>
          <t>18:45</t>
        </is>
      </c>
      <c r="D155" s="44" t="inlineStr">
        <is>
          <t>Ambos</t>
        </is>
      </c>
      <c r="E155"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5" s="43" t="inlineStr">
        <is>
          <t>Peter Luger Steak House</t>
        </is>
      </c>
      <c r="G155" s="40" t="inlineStr"/>
      <c r="H155" s="41" t="inlineStr"/>
      <c r="I155" s="41" t="inlineStr"/>
    </row>
    <row r="156" ht="30" customHeight="1">
      <c r="A156" s="35" t="n"/>
      <c r="B156" s="36" t="inlineStr">
        <is>
          <t>18:45</t>
        </is>
      </c>
      <c r="C156" s="37" t="inlineStr">
        <is>
          <t>19:30</t>
        </is>
      </c>
      <c r="D156" s="38" t="inlineStr">
        <is>
          <t>Ambos</t>
        </is>
      </c>
      <c r="E156" s="39" t="inlineStr">
        <is>
          <t>A la zona de teatros: subte J desde Marcy Av hasta Essex St y F hasta 42 St-Bryant Park (~35 min con transbordo), o directamente Uber al teatro (~20-25 min, $25-35 — un sábado a la noche el puente puede estar cargado).</t>
        </is>
      </c>
      <c r="F156" s="37" t="inlineStr"/>
      <c r="G156" s="40" t="inlineStr"/>
      <c r="H156" s="41" t="inlineStr"/>
      <c r="I156" s="41" t="inlineStr"/>
    </row>
    <row r="157" ht="30" customHeight="1">
      <c r="A157" s="35" t="n"/>
      <c r="B157" s="42" t="inlineStr">
        <is>
          <t>19:30</t>
        </is>
      </c>
      <c r="C157" s="43" t="inlineStr">
        <is>
          <t>22:00</t>
        </is>
      </c>
      <c r="D157" s="44" t="inlineStr">
        <is>
          <t>Ambos</t>
        </is>
      </c>
      <c r="E157"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7" s="43" t="inlineStr">
        <is>
          <t>Stranger Things: The First Shadow (play)</t>
        </is>
      </c>
      <c r="G157" s="40" t="inlineStr"/>
      <c r="H157" s="41" t="inlineStr"/>
      <c r="I157" s="41" t="inlineStr"/>
    </row>
    <row r="158" ht="16" customHeight="1">
      <c r="A158" s="35" t="n"/>
      <c r="B158" s="36" t="inlineStr">
        <is>
          <t>22:00</t>
        </is>
      </c>
      <c r="C158" s="37" t="inlineStr">
        <is>
          <t>22:30</t>
        </is>
      </c>
      <c r="D158" s="38" t="inlineStr">
        <is>
          <t>Ambos</t>
        </is>
      </c>
      <c r="E158" s="39" t="inlineStr">
        <is>
          <t>Subte 1 desde Times Sq hasta Christopher St (~15 min) y caminar al corazón del Village.</t>
        </is>
      </c>
      <c r="F158" s="37" t="inlineStr"/>
      <c r="G158" s="40" t="inlineStr"/>
      <c r="H158" s="41" t="inlineStr"/>
      <c r="I158" s="41" t="inlineStr"/>
    </row>
    <row r="159" ht="30" customHeight="1">
      <c r="A159" s="35" t="n"/>
      <c r="B159" s="36" t="inlineStr">
        <is>
          <t>22:30</t>
        </is>
      </c>
      <c r="C159" s="37" t="inlineStr">
        <is>
          <t>23:15</t>
        </is>
      </c>
      <c r="D159" s="38" t="inlineStr">
        <is>
          <t>Ambos</t>
        </is>
      </c>
      <c r="E159" s="39" t="inlineStr">
        <is>
          <t>Paseo sin apuro por Bleecker y MacDougal — la esquina folk de los 60s de noche, un café o un trago corto. El único objetivo real: estar en la puerta del Wha a las 23:10.</t>
        </is>
      </c>
      <c r="F159" s="37" t="inlineStr"/>
      <c r="G159" s="40" t="inlineStr"/>
      <c r="H159" s="41" t="inlineStr"/>
      <c r="I159" s="41" t="inlineStr"/>
    </row>
    <row r="160" ht="30" customHeight="1">
      <c r="A160" s="35" t="n"/>
      <c r="B160" s="42" t="inlineStr">
        <is>
          <t>23:15</t>
        </is>
      </c>
      <c r="C160" s="43" t="inlineStr"/>
      <c r="D160" s="44" t="inlineStr">
        <is>
          <t>Ambos</t>
        </is>
      </c>
      <c r="E160"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0" s="43" t="inlineStr">
        <is>
          <t>Cafe Wha?</t>
        </is>
      </c>
      <c r="G160" s="40" t="inlineStr"/>
      <c r="H160" s="41" t="inlineStr"/>
      <c r="I160" s="41" t="inlineStr"/>
    </row>
    <row r="161" ht="32" customHeight="1">
      <c r="A161"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3" ht="22" customHeight="1">
      <c r="A163" s="33" t="inlineStr">
        <is>
          <t>DÍA 9 · Domingo 06/09 · Checkout, Central Park, Roosevelt Island y vuelo  —  base: The Beacon (checkout) → EWR  ·  Ambos</t>
        </is>
      </c>
    </row>
    <row r="164" ht="32" customHeight="1">
      <c r="A164"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dentro del eje Central Park - Upper East Side, a diez minutos de subte del hotel, y se sale con 2h45 de anticipación.</t>
        </is>
      </c>
    </row>
    <row r="165" ht="30" customHeight="1">
      <c r="A165" s="35" t="n"/>
      <c r="B165" s="36" t="inlineStr">
        <is>
          <t>09:00</t>
        </is>
      </c>
      <c r="C165" s="37" t="inlineStr">
        <is>
          <t>09:45</t>
        </is>
      </c>
      <c r="D165" s="38" t="inlineStr">
        <is>
          <t>Ambos</t>
        </is>
      </c>
      <c r="E165" s="39" t="inlineStr">
        <is>
          <t>Desayuno SIN despertador temprano: anoche terminó ~1:30 en el Village y lo único con hora fija hoy es el Guggenheim a las 16:00. Dormir un poco más está permitido.</t>
        </is>
      </c>
      <c r="F165" s="37" t="inlineStr"/>
      <c r="G165" s="40" t="inlineStr"/>
      <c r="H165" s="41" t="inlineStr"/>
      <c r="I165" s="41" t="inlineStr"/>
    </row>
    <row r="166" ht="30" customHeight="1">
      <c r="A166" s="35" t="n"/>
      <c r="B166" s="42" t="inlineStr">
        <is>
          <t>09:45</t>
        </is>
      </c>
      <c r="C166" s="43" t="inlineStr">
        <is>
          <t>10:15</t>
        </is>
      </c>
      <c r="D166" s="44" t="inlineStr">
        <is>
          <t>Ambos</t>
        </is>
      </c>
      <c r="E166" s="45" t="inlineStr">
        <is>
          <t>★ CHECKOUT de The Beacon y dejar las valijas en el bell desk. El checkout formal suele ser 11:00-12:00, pero hacerlo antes libera el día.</t>
        </is>
      </c>
      <c r="F166" s="43" t="inlineStr">
        <is>
          <t>Hotel The Beacon (3-6 sep)</t>
        </is>
      </c>
      <c r="G166" s="40" t="inlineStr"/>
      <c r="H166" s="41" t="inlineStr"/>
      <c r="I166" s="41" t="inlineStr"/>
    </row>
    <row r="167" ht="30" customHeight="1">
      <c r="A167" s="35" t="n"/>
      <c r="B167" s="42" t="inlineStr">
        <is>
          <t>10:15</t>
        </is>
      </c>
      <c r="C167" s="43" t="inlineStr">
        <is>
          <t>12:30</t>
        </is>
      </c>
      <c r="D167" s="44" t="inlineStr">
        <is>
          <t>Ambos</t>
        </is>
      </c>
      <c r="E167" s="45" t="inlineStr">
        <is>
          <t>★ CENTRAL PARK cruzando de oeste a este: Bethesda Terrace, el Ramble, Bow Bridge. Se entra por la 72 desde Broadway, a tres cuadras del hotel.</t>
        </is>
      </c>
      <c r="F167" s="43" t="inlineStr">
        <is>
          <t>Central Park</t>
        </is>
      </c>
      <c r="G167" s="40" t="inlineStr">
        <is>
          <t>🚶 ~20 min a pie (1.5 km) o 🚇 ~15 min · estimado</t>
        </is>
      </c>
      <c r="H167" s="41" t="inlineStr"/>
      <c r="I167" s="41" t="inlineStr"/>
    </row>
    <row r="168" ht="16" customHeight="1">
      <c r="A168" s="35" t="n"/>
      <c r="B168" s="36" t="inlineStr">
        <is>
          <t>12:30</t>
        </is>
      </c>
      <c r="C168" s="37" t="inlineStr">
        <is>
          <t>13:30</t>
        </is>
      </c>
      <c r="D168" s="38" t="inlineStr">
        <is>
          <t>Ambos</t>
        </is>
      </c>
      <c r="E168" s="39" t="inlineStr">
        <is>
          <t>Almuerzo en el Upper East Side, saliendo del parque por la Quinta.</t>
        </is>
      </c>
      <c r="F168" s="37" t="inlineStr"/>
      <c r="G168" s="40" t="inlineStr"/>
      <c r="H168" s="41" t="inlineStr"/>
      <c r="I168" s="41" t="inlineStr"/>
    </row>
    <row r="169" ht="30" customHeight="1">
      <c r="A169" s="35" t="n"/>
      <c r="B169" s="36" t="inlineStr">
        <is>
          <t>13:30</t>
        </is>
      </c>
      <c r="C169" s="37" t="inlineStr">
        <is>
          <t>13:50</t>
        </is>
      </c>
      <c r="D169" s="38" t="inlineStr">
        <is>
          <t>Ambos</t>
        </is>
      </c>
      <c r="E169" s="39" t="inlineStr">
        <is>
          <t>Bajar a 59 St y 2ª Av: subte 6 desde 68 St-Hunter College (el 4/5 exprés NO para ahí), o caminando por la Quinta si el día está lindo.</t>
        </is>
      </c>
      <c r="F169" s="37" t="inlineStr"/>
      <c r="G169" s="40" t="inlineStr"/>
      <c r="H169" s="41" t="inlineStr"/>
      <c r="I169" s="41" t="inlineStr"/>
    </row>
    <row r="170" ht="30" customHeight="1">
      <c r="A170" s="35" t="n"/>
      <c r="B170" s="42" t="inlineStr">
        <is>
          <t>13:50</t>
        </is>
      </c>
      <c r="C170" s="43" t="inlineStr">
        <is>
          <t>14:25</t>
        </is>
      </c>
      <c r="D170" s="44" t="inlineStr">
        <is>
          <t>Ambos</t>
        </is>
      </c>
      <c r="E170" s="45" t="inlineStr">
        <is>
          <t>★ ROOSEVELT ISLAND TRAMWAY ($3, OMNY) — cruza el East River a 76 metros de altura con el Queensboro Bridge al lado. Es la vista de $50 por el precio de un viaje de subte.</t>
        </is>
      </c>
      <c r="F170" s="43" t="inlineStr">
        <is>
          <t>Roosevelt Island Tramway</t>
        </is>
      </c>
      <c r="G170" s="40" t="inlineStr"/>
      <c r="H170" s="41" t="inlineStr"/>
      <c r="I170" s="41" t="inlineStr"/>
    </row>
    <row r="171" ht="30" customHeight="1">
      <c r="A171" s="35" t="n"/>
      <c r="B171" s="36" t="inlineStr">
        <is>
          <t>14:25</t>
        </is>
      </c>
      <c r="C171" s="37" t="inlineStr">
        <is>
          <t>15:05</t>
        </is>
      </c>
      <c r="D171" s="38" t="inlineStr">
        <is>
          <t>Ambos</t>
        </is>
      </c>
      <c r="E171" s="39" t="inlineStr">
        <is>
          <t>FDR Four Freedoms Park — del teleférico son ~20 min a pie por el borde del río. La última obra de Louis Kahn: granito, plátanos y una sala abierta al río apuntando a Manhattan. Gratis y vacía. Se pasa por las ruinas del Smallpox Hospital.</t>
        </is>
      </c>
      <c r="F171" s="37" t="inlineStr">
        <is>
          <t>FDR Four Freedoms Park</t>
        </is>
      </c>
      <c r="G171" s="40" t="inlineStr"/>
      <c r="H171" s="41" t="inlineStr"/>
      <c r="I171" s="41" t="inlineStr"/>
    </row>
    <row r="172" ht="30" customHeight="1">
      <c r="A172" s="35" t="n"/>
      <c r="B172" s="36" t="inlineStr">
        <is>
          <t>15:05</t>
        </is>
      </c>
      <c r="C172" s="37" t="inlineStr">
        <is>
          <t>16:00</t>
        </is>
      </c>
      <c r="D172" s="38" t="inlineStr">
        <is>
          <t>Ambos</t>
        </is>
      </c>
      <c r="E172" s="39" t="inlineStr">
        <is>
          <t>SALIR 15:05 (no más tarde): caminata al teleférico + cruce + subte 4/5/6 de 59 St a 86 St suman ~50 min, y la ventana pay-what-you-wish del Guggenheim arranca 16:00 y el museo cierra 17:30 — llegar puntuales ES la visita.</t>
        </is>
      </c>
      <c r="F172" s="37" t="inlineStr"/>
      <c r="G172" s="40" t="inlineStr"/>
      <c r="H172" s="41" t="inlineStr"/>
      <c r="I172" s="41" t="inlineStr"/>
    </row>
    <row r="173" ht="30" customHeight="1">
      <c r="A173" s="35" t="n"/>
      <c r="B173" s="42" t="inlineStr">
        <is>
          <t>16:00</t>
        </is>
      </c>
      <c r="C173" s="43" t="inlineStr">
        <is>
          <t>17:45</t>
        </is>
      </c>
      <c r="D173" s="44" t="inlineStr">
        <is>
          <t>Ambos</t>
        </is>
      </c>
      <c r="E173" s="45" t="inlineStr">
        <is>
          <t>★ GUGGENHEIM — pay-what-you-wish domingos 16:00-17:30 (sugerido $10, mínimo $1). El edificio de Frank Lloyd Wright vale la visita solo: se sube en ascensor y se baja caminando la rampa. ⚠️ LLAMAR ANTES: la rotonda estaría en montaje hasta el 18 de septiembre y el pay-what-you-wish no está confirmado en fuente oficial.</t>
        </is>
      </c>
      <c r="F173" s="43" t="inlineStr">
        <is>
          <t>Guggenheim</t>
        </is>
      </c>
      <c r="G173" s="40" t="inlineStr"/>
      <c r="H173" s="41" t="inlineStr"/>
      <c r="I173" s="41" t="inlineStr"/>
    </row>
    <row r="174" ht="16" customHeight="1">
      <c r="A174" s="35" t="n"/>
      <c r="B174" s="36" t="inlineStr">
        <is>
          <t>17:45</t>
        </is>
      </c>
      <c r="C174" s="37" t="inlineStr">
        <is>
          <t>18:30</t>
        </is>
      </c>
      <c r="D174" s="38" t="inlineStr">
        <is>
          <t>Ambos</t>
        </is>
      </c>
      <c r="E174" s="39" t="inlineStr">
        <is>
          <t>Volver caminando por Central Park hasta el hotel (~25 min) o subte 86 St → 1 a 79 St.</t>
        </is>
      </c>
      <c r="F174" s="37" t="inlineStr">
        <is>
          <t>Hotel The Beacon (3-6 sep)</t>
        </is>
      </c>
      <c r="G174" s="40" t="inlineStr"/>
      <c r="H174" s="41" t="inlineStr"/>
      <c r="I174" s="41" t="inlineStr"/>
    </row>
    <row r="175" ht="16" customHeight="1">
      <c r="A175" s="35" t="n"/>
      <c r="B175" s="36" t="inlineStr">
        <is>
          <t>18:30</t>
        </is>
      </c>
      <c r="C175" s="37" t="inlineStr">
        <is>
          <t>19:40</t>
        </is>
      </c>
      <c r="D175" s="38" t="inlineStr">
        <is>
          <t>Ambos</t>
        </is>
      </c>
      <c r="E175" s="39" t="inlineStr">
        <is>
          <t>Retirar las valijas del bell desk. Cena tranquila cerca del hotel: es la última.</t>
        </is>
      </c>
      <c r="F175" s="37" t="inlineStr"/>
      <c r="G175" s="40" t="inlineStr"/>
      <c r="H175" s="41" t="inlineStr"/>
      <c r="I175" s="41" t="inlineStr"/>
    </row>
    <row r="176" ht="16" customHeight="1">
      <c r="A176" s="35" t="n"/>
      <c r="B176" s="36" t="inlineStr">
        <is>
          <t>19:40</t>
        </is>
      </c>
      <c r="C176" s="37" t="inlineStr">
        <is>
          <t>20:14</t>
        </is>
      </c>
      <c r="D176" s="38" t="inlineStr">
        <is>
          <t>Ambos</t>
        </is>
      </c>
      <c r="E176" s="39" t="inlineStr">
        <is>
          <t>Salir de The Beacon. Subte 1/2/3 desde 72 St hasta 34 St-Penn Station: ~10 min, $3.</t>
        </is>
      </c>
      <c r="F176" s="37" t="inlineStr"/>
      <c r="G176" s="40" t="inlineStr"/>
      <c r="H176" s="41" t="inlineStr"/>
      <c r="I176" s="41" t="inlineStr"/>
    </row>
    <row r="177" ht="30" customHeight="1">
      <c r="A177" s="35" t="n"/>
      <c r="B177" s="36" t="inlineStr">
        <is>
          <t>20:14</t>
        </is>
      </c>
      <c r="C177" s="37" t="inlineStr">
        <is>
          <t>20:45</t>
        </is>
      </c>
      <c r="D177" s="38" t="inlineStr">
        <is>
          <t>Ambos</t>
        </is>
      </c>
      <c r="E177" s="39" t="inlineStr">
        <is>
          <t>NJ Transit Penn Station → EWR, llega 20:38. $17,25 (incluye el AirTrain). VERIFICAR el horario dominical en njtransit.com unos días antes.</t>
        </is>
      </c>
      <c r="F177" s="37" t="inlineStr"/>
      <c r="G177" s="40" t="inlineStr"/>
      <c r="H177" s="41" t="inlineStr"/>
      <c r="I177" s="41" t="inlineStr"/>
    </row>
    <row r="178" ht="16" customHeight="1">
      <c r="A178" s="35" t="n"/>
      <c r="B178" s="36" t="inlineStr">
        <is>
          <t>20:45</t>
        </is>
      </c>
      <c r="C178" s="37" t="inlineStr">
        <is>
          <t>20:55</t>
        </is>
      </c>
      <c r="D178" s="38" t="inlineStr">
        <is>
          <t>Ambos</t>
        </is>
      </c>
      <c r="E178" s="39" t="inlineStr">
        <is>
          <t>AirTrain hasta la terminal: 10-15 min.</t>
        </is>
      </c>
      <c r="F178" s="37" t="inlineStr"/>
      <c r="G178" s="40" t="inlineStr"/>
      <c r="H178" s="41" t="inlineStr"/>
      <c r="I178" s="41" t="inlineStr"/>
    </row>
    <row r="179" ht="30" customHeight="1">
      <c r="A179" s="35" t="n"/>
      <c r="B179" s="36" t="inlineStr">
        <is>
          <t>20:55</t>
        </is>
      </c>
      <c r="C179" s="37" t="inlineStr"/>
      <c r="D179" s="38" t="inlineStr">
        <is>
          <t>Ambos</t>
        </is>
      </c>
      <c r="E179" s="39" t="inlineStr">
        <is>
          <t>En terminal. Faltan 2h45 para el vuelo de las 23:40 — correcto para un internacional en el domingo de Labor Day, que es la noche de más tráfico del año en EWR.</t>
        </is>
      </c>
      <c r="F179" s="37" t="inlineStr"/>
      <c r="G179" s="40" t="inlineStr"/>
      <c r="H179" s="41" t="inlineStr"/>
      <c r="I179" s="41" t="inlineStr"/>
    </row>
    <row r="180" ht="32" customHeight="1">
      <c r="A180"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Y si el Guggenheim tiene la rotonda cerrada, el Whitney abre los domingos. Lo que NO conviene hoy es meter algo nuevo y grande.</t>
        </is>
      </c>
    </row>
  </sheetData>
  <mergeCells count="29">
    <mergeCell ref="A25:I25"/>
    <mergeCell ref="A65:I65"/>
    <mergeCell ref="A99:I99"/>
    <mergeCell ref="A164:I164"/>
    <mergeCell ref="A46:I46"/>
    <mergeCell ref="A27:I27"/>
    <mergeCell ref="A145:I145"/>
    <mergeCell ref="A163:I163"/>
    <mergeCell ref="A101:I101"/>
    <mergeCell ref="A86:I86"/>
    <mergeCell ref="A47:I47"/>
    <mergeCell ref="A5:I5"/>
    <mergeCell ref="A85:I85"/>
    <mergeCell ref="A126:I126"/>
    <mergeCell ref="A144:I144"/>
    <mergeCell ref="A125:I125"/>
    <mergeCell ref="A180:I180"/>
    <mergeCell ref="A1:G1"/>
    <mergeCell ref="A68:I68"/>
    <mergeCell ref="A28:I28"/>
    <mergeCell ref="A161:I161"/>
    <mergeCell ref="A44:I44"/>
    <mergeCell ref="A102:I102"/>
    <mergeCell ref="A67:I67"/>
    <mergeCell ref="A83:I83"/>
    <mergeCell ref="A142:I142"/>
    <mergeCell ref="A123:I123"/>
    <mergeCell ref="A2:G2"/>
    <mergeCell ref="A6:I6"/>
  </mergeCells>
  <dataValidations count="1">
    <dataValidation sqref="H5:H182"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SUMIF(Lugares!$F$5:$F$214,2,Lugares!$I$5:$I$214)-SUMIFS(Lugares!$I$5:$I$214,Lugares!$F$5:$F$214,2,Lugares!$C$5:$C$214,"Comida")-SUMIFS(Lugares!$I$5:$I$214,Lugares!$F$5:$F$214,2,Lugares!$C$5:$C$214,"Música")</f>
        <v/>
      </c>
      <c r="C5" s="48">
        <f>SUMIF(Lugares!$G$5:$G$214,2,Lugares!$I$5:$I$214)-SUMIFS(Lugares!$I$5:$I$214,Lugares!$G$5:$G$214,2,Lugares!$C$5:$C$214,"Comida")-SUMIFS(Lugares!$I$5:$I$214,Lugares!$G$5:$G$214,2,Lugares!$C$5:$C$214,"Música")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AirTrain + NJ Transit</t>
        </is>
      </c>
    </row>
    <row r="6" ht="26" customHeight="1">
      <c r="A6" s="57" t="inlineStr">
        <is>
          <t>Opción</t>
        </is>
      </c>
      <c r="B6" s="57" t="inlineStr">
        <is>
          <t>Costo</t>
        </is>
      </c>
      <c r="C6" s="57" t="inlineStr">
        <is>
          <t>Tiempo</t>
        </is>
      </c>
      <c r="D6" s="57" t="inlineStr">
        <is>
          <t>Detalle</t>
        </is>
      </c>
    </row>
    <row r="7" ht="40" customHeight="1">
      <c r="A7" s="39" t="inlineStr">
        <is>
          <t>AirTrain + NJ Transit ✅</t>
        </is>
      </c>
      <c r="B7" s="39" t="inlineStr">
        <is>
          <t>$17,25</t>
        </is>
      </c>
      <c r="C7" s="39" t="inlineStr">
        <is>
          <t>~55-70 min desde terminal</t>
        </is>
      </c>
      <c r="D7" s="39" t="inlineStr">
        <is>
          <t>Precio ÚNICO: ya incluye el fee de AirTrain de $8,75, no se compra aparte. Trenes sábado desde EWR: 6:00, 6:07, 6:43, 7:04, 7:15, 7:25, 7:39. Viaje 26-31 min. Comprar en la app MyTix o en máquina — a bordo cobran $5 de recargo.  ▸ ~$30-35 p/p con el taxi de Penn Station al hotel</t>
        </is>
      </c>
    </row>
    <row r="8" ht="40" customHeight="1">
      <c r="A8" s="39" t="inlineStr">
        <is>
          <t>Taxi oficial de EWR</t>
        </is>
      </c>
      <c r="B8" s="39" t="inlineStr">
        <is>
          <t>~$78-90</t>
        </is>
      </c>
      <c r="C8" s="39" t="inlineStr">
        <is>
          <t>45-60 min</t>
        </is>
      </c>
      <c r="D8" s="39" t="inlineStr">
        <is>
          <t>Tarifa fija por zona: Ink48 está en la calle 48 = Zona 2 = $65 fijo, + $2 de airport fee + $6,75-15,75 de peajes + $1 por valija. El recargo de hora pico ($10) rige sáb-dom 12-21h, así que a las 6-7 AM NO aplica.</t>
        </is>
      </c>
    </row>
    <row r="9" ht="40" customHeight="1">
      <c r="A9" s="39" t="inlineStr">
        <is>
          <t>Uber / Lyft</t>
        </is>
      </c>
      <c r="B9" s="39" t="inlineStr">
        <is>
          <t>$70-110 (estimado)</t>
        </is>
      </c>
      <c r="C9" s="39" t="inlineStr">
        <is>
          <t>45-60 min</t>
        </is>
      </c>
      <c r="D9" s="39" t="inlineStr">
        <is>
          <t>A las 7 AM de un sábado el tráfico es liviano. Ink48 está dentro de la zona de congestion pricing (sur de la calle 60): hay recargo adicional.</t>
        </is>
      </c>
    </row>
    <row r="10" ht="40" customHeight="1">
      <c r="A10" s="39" t="inlineStr">
        <is>
          <t>Newark Airport Express ❌</t>
        </is>
      </c>
      <c r="B10" s="39" t="inlineStr">
        <is>
          <t>$18-19 (NO CONFIRMADO)</t>
        </is>
      </c>
      <c r="C10" s="39" t="inlineStr">
        <is>
          <t>60-80 min</t>
        </is>
      </c>
      <c r="D10" s="39" t="inlineStr">
        <is>
          <t>No aporta nada frente al tren: más caro, más lento, sujeto al tráfico del Lincoln Tunnel, y deja en Port Authority a 15 min caminando del hotel. Las fuentes se contradicen sobre el precio.</t>
        </is>
      </c>
    </row>
    <row r="11" ht="40" customHeight="1">
      <c r="A11" s="58" t="inlineStr">
        <is>
          <t>Secuencia realista</t>
        </is>
      </c>
      <c r="B11" s="58" t="inlineStr"/>
      <c r="C11" s="58" t="inlineStr"/>
      <c r="D11" s="58" t="inlineStr">
        <is>
          <t>Aterrizan 6:00 → migraciones y equipaje 45-75 min → AirTrain ~10-12 min → tren de 7:25 o 7:39 → Penn Station 7:51/8:07 → hotel 8:15-8:30. Total ≈ 2h15-2h30 desde que tocan pista.</t>
        </is>
      </c>
    </row>
    <row r="12" ht="40" customHeight="1">
      <c r="A12" s="59" t="inlineStr">
        <is>
          <t>⚠ Alerta</t>
        </is>
      </c>
      <c r="B12" s="59" t="inlineStr"/>
      <c r="C12" s="59" t="inlineStr"/>
      <c r="D12" s="59" t="inlineStr">
        <is>
          <t>El AirTrain de Newark está en obra de reemplazo hasta 2030. El servicio por bus solo aplica días de semana de 5:00 a 15:00 — sus dos vuelos caen en fin de semana, así que están cubiertos. Igual reverifiquen 2-3 días antes en njtransit.com.</t>
        </is>
      </c>
    </row>
    <row r="14" ht="22" customHeight="1">
      <c r="A14" s="33" t="inlineStr">
        <is>
          <t>The Beacon → EWR · domingo 6 de septiembre, vuelo 23:40</t>
        </is>
      </c>
    </row>
    <row r="15" ht="30" customHeight="1">
      <c r="A15" s="2" t="inlineStr">
        <is>
          <t>RECOMENDADO: Subte 1/2/3 + NJ Transit — $20,25 total</t>
        </is>
      </c>
    </row>
    <row r="16" ht="26" customHeight="1">
      <c r="A16" s="57" t="inlineStr">
        <is>
          <t>Opción</t>
        </is>
      </c>
      <c r="B16" s="57" t="inlineStr">
        <is>
          <t>Costo</t>
        </is>
      </c>
      <c r="C16" s="57" t="inlineStr">
        <is>
          <t>Tiempo</t>
        </is>
      </c>
      <c r="D16" s="57" t="inlineStr">
        <is>
          <t>Detalle</t>
        </is>
      </c>
    </row>
    <row r="17" ht="40" customHeight="1">
      <c r="A17" s="39" t="inlineStr">
        <is>
          <t>Subte + NJ Transit ✅</t>
        </is>
      </c>
      <c r="B17" s="39" t="inlineStr">
        <is>
          <t>$20,25</t>
        </is>
      </c>
      <c r="C17" s="39" t="inlineStr">
        <is>
          <t>~55 min + AirTrain</t>
        </is>
      </c>
      <c r="D17"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8" ht="40" customHeight="1">
      <c r="A18" s="39" t="inlineStr">
        <is>
          <t>Taxi amarillo desde Manhattan</t>
        </is>
      </c>
      <c r="B18" s="39" t="inlineStr">
        <is>
          <t>$95-120</t>
        </is>
      </c>
      <c r="C18" s="39" t="inlineStr">
        <is>
          <t>50-75 min</t>
        </is>
      </c>
      <c r="D18" s="39" t="inlineStr">
        <is>
          <t>OJO: saliendo de Manhattan NO rige la tarifa fija por zonas (esa es solo para taxis que salen de EWR). Se cobra medidor + recargo Newark de $20 + peajes + congestion charge.</t>
        </is>
      </c>
    </row>
    <row r="19" ht="40" customHeight="1">
      <c r="A19" s="39" t="inlineStr">
        <is>
          <t>Uber / Lyft</t>
        </is>
      </c>
      <c r="B19" s="39" t="inlineStr">
        <is>
          <t>$70-110 + riesgo alto de surge</t>
        </is>
      </c>
      <c r="C19" s="39" t="inlineStr">
        <is>
          <t>50-75 min</t>
        </is>
      </c>
      <c r="D19" s="39" t="inlineStr">
        <is>
          <t>El domingo 6/9 es el domingo del fin de semana largo de Labor Day: el día de mayor tráfico de retorno del año. Riesgo real de surge y de demora.</t>
        </is>
      </c>
    </row>
    <row r="20" ht="40" customHeight="1">
      <c r="A20" s="59" t="inlineStr">
        <is>
          <t>⚠ Alerta</t>
        </is>
      </c>
      <c r="B20" s="59" t="inlineStr"/>
      <c r="C20" s="59" t="inlineStr"/>
      <c r="D20"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2" ht="22" customHeight="1">
      <c r="A22" s="33" t="inlineStr">
        <is>
          <t>Bridgewater/Branchburg NJ ↔ Manhattan · 31 ago al 3 sep</t>
        </is>
      </c>
    </row>
    <row r="23" ht="30" customHeight="1">
      <c r="A23" s="2" t="inlineStr">
        <is>
          <t>RECOMENDADO: Estación RARITAN + pasajes sueltos + Uber al tren</t>
        </is>
      </c>
    </row>
    <row r="24" ht="40" customHeight="1">
      <c r="A24" s="59" t="inlineStr">
        <is>
          <t>Hotel</t>
        </is>
      </c>
      <c r="B24" s="59" t="inlineStr"/>
      <c r="C24" s="59" t="inlineStr"/>
      <c r="D24" s="59" t="inlineStr">
        <is>
          <t>Residence Inn Bridgewater Branchburg, 3241 US-22 East. NO TIENE SHUTTLE (confirmado por Marriott). Estacionamiento propio gratis.</t>
        </is>
      </c>
    </row>
    <row r="25" ht="26" customHeight="1">
      <c r="A25" s="57" t="inlineStr">
        <is>
          <t>Estación</t>
        </is>
      </c>
      <c r="B25" s="57" t="inlineStr">
        <is>
          <t>Distancia del hotel</t>
        </is>
      </c>
      <c r="C25" s="57" t="inlineStr">
        <is>
          <t>Estacionamiento</t>
        </is>
      </c>
      <c r="D25" s="57" t="inlineStr">
        <is>
          <t>Servicio</t>
        </is>
      </c>
    </row>
    <row r="26" ht="26" customHeight="1">
      <c r="A26" s="58" t="inlineStr">
        <is>
          <t>Raritan ✅</t>
        </is>
      </c>
      <c r="B26" s="58" t="inlineStr">
        <is>
          <t>6,4 km / 4,0 mi</t>
        </is>
      </c>
      <c r="C26" s="58" t="inlineStr">
        <is>
          <t>$4/día</t>
        </is>
      </c>
      <c r="D26" s="58" t="inlineStr">
        <is>
          <t>Completo. Es cabecera: siempre hay asiento.</t>
        </is>
      </c>
    </row>
    <row r="27" ht="26" customHeight="1">
      <c r="A27" s="39" t="inlineStr">
        <is>
          <t>Somerville</t>
        </is>
      </c>
      <c r="B27" s="39" t="inlineStr">
        <is>
          <t>8,1 km / 5,0 mi</t>
        </is>
      </c>
      <c r="C27" s="39" t="inlineStr">
        <is>
          <t>$5/día (garage Robeson St)</t>
        </is>
      </c>
      <c r="D27" s="39" t="inlineStr">
        <is>
          <t>Completo. Resta 3 min de viaje pero está 1 milla más lejos.</t>
        </is>
      </c>
    </row>
    <row r="28" ht="26" customHeight="1">
      <c r="A28" s="39" t="inlineStr">
        <is>
          <t>North Branch ❌</t>
        </is>
      </c>
      <c r="B28" s="39" t="inlineStr">
        <is>
          <t>1,7 km / 1,0 mi</t>
        </is>
      </c>
      <c r="C28" s="39" t="inlineStr">
        <is>
          <t>GRATIS, 40 lugares</t>
        </is>
      </c>
      <c r="D28" s="39" t="inlineStr">
        <is>
          <t>SOLO horas pico. Es la más cercana pero no sirve.</t>
        </is>
      </c>
    </row>
    <row r="29" ht="26" customHeight="1">
      <c r="A29" s="39" t="inlineStr">
        <is>
          <t>Bridgewater</t>
        </is>
      </c>
      <c r="B29" s="39" t="inlineStr">
        <is>
          <t>13,2 km / 8,2 mi</t>
        </is>
      </c>
      <c r="C29" s="39" t="inlineStr">
        <is>
          <t>$4/día</t>
        </is>
      </c>
      <c r="D29" s="39" t="inlineStr">
        <is>
          <t>Completo, pero es la más lejana del hotel.</t>
        </is>
      </c>
    </row>
    <row r="31" ht="26" customHeight="1">
      <c r="A31" s="57" t="inlineStr">
        <is>
          <t>Tipo de pasaje</t>
        </is>
      </c>
      <c r="B31" s="57" t="inlineStr">
        <is>
          <t>Precio</t>
        </is>
      </c>
      <c r="C31" s="57" t="inlineStr"/>
      <c r="D31" s="57" t="inlineStr">
        <is>
          <t>Nota</t>
        </is>
      </c>
    </row>
    <row r="32" ht="40" customHeight="1">
      <c r="A32" s="58" t="inlineStr">
        <is>
          <t>Pasaje suelto Raritan → NY Penn</t>
        </is>
      </c>
      <c r="B32" s="58" t="inlineStr">
        <is>
          <t>$18,50</t>
        </is>
      </c>
      <c r="C32" s="58" t="inlineStr"/>
      <c r="D32" s="58" t="inlineStr">
        <is>
          <t>PLAN CONFIRMADO: JP hace 4 tramos = $74 (ida el 1, vuelta el 2, ida el 3, más la vuelta del 31). Thais hace 2 = $37. Total $111 ← LA OPCIÓN MÁS BARATA</t>
        </is>
      </c>
    </row>
    <row r="33" ht="26" customHeight="1">
      <c r="A33" s="39" t="inlineStr">
        <is>
          <t>Round-trip</t>
        </is>
      </c>
      <c r="B33" s="39" t="inlineStr">
        <is>
          <t>$37,00</t>
        </is>
      </c>
      <c r="C33" s="39" t="inlineStr"/>
      <c r="D33" s="39" t="inlineStr">
        <is>
          <t>Exactamente 2 × $18,50. NO hay descuento.</t>
        </is>
      </c>
    </row>
    <row r="34" ht="26" customHeight="1">
      <c r="A34" s="39" t="inlineStr">
        <is>
          <t>10-trip</t>
        </is>
      </c>
      <c r="B34" s="39" t="inlineStr">
        <is>
          <t>$185,00</t>
        </is>
      </c>
      <c r="C34" s="39" t="inlineStr"/>
      <c r="D34" s="39" t="inlineStr">
        <is>
          <t>Exactamente 10 × $18,50. Más caro y sobran 2 viajes.</t>
        </is>
      </c>
    </row>
    <row r="35" ht="26" customHeight="1">
      <c r="A35" s="39" t="inlineStr">
        <is>
          <t>Pase semanal</t>
        </is>
      </c>
      <c r="B35" s="39" t="inlineStr">
        <is>
          <t>$164,00</t>
        </is>
      </c>
      <c r="C35" s="39" t="inlineStr"/>
      <c r="D35" s="39" t="inlineStr">
        <is>
          <t>Más caro que 8 pasajes sueltos.</t>
        </is>
      </c>
    </row>
    <row r="36" ht="40" customHeight="1">
      <c r="A36" s="39" t="inlineStr">
        <is>
          <t>FlexPass (20 viajes one-way)</t>
        </is>
      </c>
      <c r="B36" s="39" t="inlineStr">
        <is>
          <t>$314,50</t>
        </is>
      </c>
      <c r="C36" s="39" t="inlineStr"/>
      <c r="D36" s="39" t="inlineStr">
        <is>
          <t>El ÚNICO producto con descuento real: 15% off, válido 30 días. Pero son 20 viajes y ustedes hacen 8 — no sirve para este viaje.</t>
        </is>
      </c>
    </row>
    <row r="37" ht="26" customHeight="1">
      <c r="A37" s="39" t="inlineStr">
        <is>
          <t>Bus 114/117 a Port Authority</t>
        </is>
      </c>
      <c r="B37" s="39" t="inlineStr">
        <is>
          <t>$15,80</t>
        </is>
      </c>
      <c r="C37" s="39" t="inlineStr"/>
      <c r="D37" s="39" t="inlineStr">
        <is>
          <t>$22 más barato en total, pero 45 min más por tramo. No compensa.</t>
        </is>
      </c>
    </row>
    <row r="39" ht="40" customHeight="1">
      <c r="A39" s="39" t="inlineStr">
        <is>
          <t>Horarios</t>
        </is>
      </c>
      <c r="B39" s="39" t="inlineStr"/>
      <c r="C39" s="39" t="inlineStr"/>
      <c r="D39"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0" ht="40" customHeight="1">
      <c r="A40" s="39" t="inlineStr">
        <is>
          <t>Trenes directos</t>
        </is>
      </c>
      <c r="B40" s="39" t="inlineStr"/>
      <c r="C40" s="39" t="inlineStr"/>
      <c r="D40"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2" ht="26" customHeight="1">
      <c r="A42" s="57" t="inlineStr">
        <is>
          <t>Escenario</t>
        </is>
      </c>
      <c r="B42" s="57" t="inlineStr">
        <is>
          <t>Cálculo</t>
        </is>
      </c>
      <c r="C42" s="57" t="inlineStr"/>
      <c r="D42" s="57" t="inlineStr">
        <is>
          <t>Total 4 días</t>
        </is>
      </c>
    </row>
    <row r="43" ht="26" customHeight="1">
      <c r="A43" s="58" t="inlineStr">
        <is>
          <t>① Uber ↔ Raritan + tren ✅ (PLAN REAL)</t>
        </is>
      </c>
      <c r="B43" s="58" t="inlineStr">
        <is>
          <t>$111 tren (6 tramos entre los dos) + $108 Uber (6 tramos)</t>
        </is>
      </c>
      <c r="C43" s="58" t="inlineStr"/>
      <c r="D43" s="58" t="inlineStr">
        <is>
          <t>~$219 los dos</t>
        </is>
      </c>
    </row>
    <row r="44" ht="26" customHeight="1">
      <c r="A44" s="39" t="inlineStr">
        <is>
          <t>② Bus 114/117 + Uber</t>
        </is>
      </c>
      <c r="B44" s="39" t="inlineStr">
        <is>
          <t>$126,40 bus + $128-176 Uber</t>
        </is>
      </c>
      <c r="C44" s="39" t="inlineStr"/>
      <c r="D44" s="39" t="inlineStr">
        <is>
          <t>$254-302 (pero +45 min por tramo)</t>
        </is>
      </c>
    </row>
    <row r="45" ht="26" customHeight="1">
      <c r="A45" s="39" t="inlineStr">
        <is>
          <t>③ Auto de alquiler + park&amp;ride</t>
        </is>
      </c>
      <c r="B45" s="39" t="inlineStr">
        <is>
          <t>$160-300 alquiler + $16 parking + nafta + $148 tren</t>
        </is>
      </c>
      <c r="C45" s="39" t="inlineStr"/>
      <c r="D45" s="39" t="inlineStr">
        <is>
          <t>$329-469 ❌</t>
        </is>
      </c>
    </row>
    <row r="46" ht="26" customHeight="1">
      <c r="A46" s="39" t="inlineStr">
        <is>
          <t>④ Auto hasta Newark Penn + PATH</t>
        </is>
      </c>
      <c r="B46" s="39" t="inlineStr">
        <is>
          <t>$160-300 alquiler + $80-120 parking + $26 PATH</t>
        </is>
      </c>
      <c r="C46" s="39" t="inlineStr"/>
      <c r="D46" s="39" t="inlineStr">
        <is>
          <t>$266-446 ❌</t>
        </is>
      </c>
    </row>
    <row r="47" ht="40" customHeight="1">
      <c r="A47" s="59" t="inlineStr">
        <is>
          <t>¿Conviene alquilar auto?</t>
        </is>
      </c>
      <c r="B47" s="59" t="inlineStr">
        <is>
          <t>NO</t>
        </is>
      </c>
      <c r="C47" s="59" t="inlineStr"/>
      <c r="D47"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8" ht="40" customHeight="1">
      <c r="A48" s="59" t="inlineStr">
        <is>
          <t>⚠ Riesgo</t>
        </is>
      </c>
      <c r="B48" s="59" t="inlineStr"/>
      <c r="C48" s="59" t="inlineStr"/>
      <c r="D48"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0" ht="22" customHeight="1">
      <c r="A50" s="33" t="inlineStr">
        <is>
          <t>Moverse dentro de NYC</t>
        </is>
      </c>
    </row>
    <row r="51" ht="40" customHeight="1">
      <c r="A51" s="60" t="inlineStr">
        <is>
          <t>🔴 CAMBIO CLAVE 2026</t>
        </is>
      </c>
      <c r="B51" s="60" t="inlineStr"/>
      <c r="C51" s="60" t="inlineStr"/>
      <c r="D51" s="60" t="inlineStr">
        <is>
          <t>EL METROCARD SE ELIMINÓ. Desde el 1 de enero de 2026 no se puede comprar ni recargar, y los pases de 7 y 30 días ilimitados ya no existen. No hay decisión que tomar: se usa OMNY.</t>
        </is>
      </c>
    </row>
    <row r="52" ht="26" customHeight="1">
      <c r="A52" s="39" t="inlineStr">
        <is>
          <t>Tarifa</t>
        </is>
      </c>
      <c r="B52" s="39" t="inlineStr">
        <is>
          <t>$3,00</t>
        </is>
      </c>
      <c r="C52" s="39" t="inlineStr"/>
      <c r="D52" s="39" t="inlineStr">
        <is>
          <t>$3,00 por viaje de subte o bus local (subió de $2,90 en enero 2026). Bus express $7,25.</t>
        </is>
      </c>
    </row>
    <row r="53" ht="40" customHeight="1">
      <c r="A53" s="58" t="inlineStr">
        <is>
          <t>Fare capping OMNY</t>
        </is>
      </c>
      <c r="B53" s="58" t="inlineStr">
        <is>
          <t>tope $35 / 7 días</t>
        </is>
      </c>
      <c r="C53" s="58" t="inlineStr"/>
      <c r="D53"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4" ht="40" customHeight="1">
      <c r="A54" s="59" t="inlineStr">
        <is>
          <t>⚠ CRÍTICO</t>
        </is>
      </c>
      <c r="B54" s="59" t="inlineStr"/>
      <c r="C54" s="59" t="inlineStr"/>
      <c r="D54"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5" ht="40" customHeight="1">
      <c r="A55" s="39" t="inlineStr">
        <is>
          <t>Cuenta del viaje</t>
        </is>
      </c>
      <c r="B55" s="39" t="inlineStr"/>
      <c r="C55" s="39" t="inlineStr"/>
      <c r="D55" s="39" t="inlineStr">
        <is>
          <t>9 días en NYC = dos períodos de 7 días. Con uso intensivo, el techo es $35 + $35 = $70 por persona en todo el viaje. Con uso liviano pagan solo lo que usan: OMNY nunca cobra de más.</t>
        </is>
      </c>
    </row>
    <row r="56" ht="26" customHeight="1">
      <c r="A56" s="39" t="inlineStr">
        <is>
          <t>Ink48 (48th &amp; 11th Ave)</t>
        </is>
      </c>
      <c r="B56" s="39" t="inlineStr"/>
      <c r="C56" s="39" t="inlineStr"/>
      <c r="D56" s="39" t="inlineStr">
        <is>
          <t>50 St (C,E) a ~12 min caminando hacia el este. Es un hotel notoriamente lejos del subte.</t>
        </is>
      </c>
    </row>
    <row r="57" ht="26" customHeight="1">
      <c r="A57" s="39" t="inlineStr">
        <is>
          <t>The Beacon (Broadway &amp; 75th)</t>
        </is>
      </c>
      <c r="B57" s="39" t="inlineStr"/>
      <c r="C57" s="39" t="inlineStr"/>
      <c r="D57" s="39" t="inlineStr">
        <is>
          <t>72 St (1,2,3) a 3 cuadras, 79 St (1) a 4. Directo a Penn Station en 10 min.</t>
        </is>
      </c>
    </row>
  </sheetData>
  <mergeCells count="9">
    <mergeCell ref="A5:D5"/>
    <mergeCell ref="A23:D23"/>
    <mergeCell ref="A2:E2"/>
    <mergeCell ref="A22:D22"/>
    <mergeCell ref="A50:D50"/>
    <mergeCell ref="A4:D4"/>
    <mergeCell ref="A15:D15"/>
    <mergeCell ref="A1:E1"/>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para confirmar precio y estado de la rotonda</t>
        </is>
      </c>
      <c r="C16" s="59" t="inlineStr">
        <is>
          <t>Antes de meterlo en el plan</t>
        </is>
      </c>
      <c r="D16" s="59" t="inlineStr">
        <is>
          <t>guggenheim.org / teléfono</t>
        </is>
      </c>
      <c r="E16" s="59" t="inlineStr">
        <is>
          <t>La rotonda estaría en montaje hasta el 18 de septiembre, con entrada rebajada a ~$16. El pay-what-you-wish de martes y domingos 16-17:30 no lo pude confirmar en fuente oficial (el sitio bloquea la lectura). Si la rotonda está cerrada, el edificio —que es la razón para ir— se ve a medias.</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2026-08-27T03:07:47Z</dcterms:created>
  <dcterms:modified xsi:type="dcterms:W3CDTF">2026-08-27T03:07:47Z</dcterms:modified>
</cp:coreProperties>
</file>