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I87" authorId="0" shapeId="0">
      <text>
        <t>estimado, sin verificar contra la fuente</t>
      </text>
    </comment>
    <comment ref="U96" authorId="0" shapeId="0">
      <text>
        <t>En la lista de Google figura como: Casa Della Mozzarella
(coincide con lo que habíamos propuesto nosotros)</t>
      </text>
    </comment>
    <comment ref="I98" authorId="0" shapeId="0">
      <text>
        <t>estimado, sin verificar contra la fuente</t>
      </text>
    </comment>
    <comment ref="I99"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estimado, sin verificar contra la fuente</t>
      </text>
    </comment>
    <comment ref="I105" authorId="0" shapeId="0">
      <text>
        <t>estimado, sin verificar contra la fuente</t>
      </text>
    </comment>
    <comment ref="I106" authorId="0" shapeId="0">
      <text>
        <t>$15-25</t>
      </text>
    </comment>
    <comment ref="U106" authorId="0" shapeId="0">
      <text>
        <t>En la lista de Google figura como: Frankel's Delicatessen &amp; Appetizing
(coincide con lo que habíamos propuesto nosotros)</t>
      </text>
    </comment>
    <comment ref="I107" authorId="0" shapeId="0">
      <text>
        <t>~$29 el sandwich de pastrami</t>
      </text>
    </comment>
    <comment ref="U107" authorId="0" shapeId="0">
      <text>
        <t>En la lista de Google figura como: Katz's Delicatessen
(coincide con lo que habíamos propuesto nosotros)</t>
      </text>
    </comment>
    <comment ref="U108" authorId="0" shapeId="0">
      <text>
        <t>En la lista de Google figura como: Russ &amp; Daughters
(coincide con lo que habíamos propuesto nosotros)</t>
      </text>
    </comment>
    <comment ref="I110" authorId="0" shapeId="0">
      <text>
        <t>$18-26</t>
      </text>
    </comment>
    <comment ref="U110" authorId="0" shapeId="0">
      <text>
        <t>En la lista de Google figura como: S&amp;P Lunch
(coincide con lo que habíamos propuesto nosotros)</t>
      </text>
    </comment>
    <comment ref="I114" authorId="0" shapeId="0">
      <text>
        <t>estimado, sin verificar contra la fuente</t>
      </text>
    </comment>
    <comment ref="I116" authorId="0" shapeId="0">
      <text>
        <t>estimado, sin verificar contra la fuente</t>
      </text>
    </comment>
    <comment ref="I117" authorId="0" shapeId="0">
      <text>
        <t>~$15-20 con papas y bebida. SIN reservas: counter por orden de llegada.</t>
      </text>
    </comment>
    <comment ref="U117" authorId="0" shapeId="0">
      <text>
        <t>En la lista de Google figura como: Hamburger America
(coincide con lo que habíamos propuesto nosotros)</t>
      </text>
    </comment>
    <comment ref="I122" authorId="0" shapeId="0">
      <text>
        <t>estimado, sin verificar contra la fuente</t>
      </text>
    </comment>
    <comment ref="I123" authorId="0" shapeId="0">
      <text>
        <t>estimado, sin verificar contra la fuente</t>
      </text>
    </comment>
    <comment ref="U124" authorId="0" shapeId="0">
      <text>
        <t>En la lista de Google figura como: Arthur Avenue Retail Market
(coincide con lo que habíamos propuesto nosotros)</t>
      </text>
    </comment>
    <comment ref="U125" authorId="0" shapeId="0">
      <text>
        <t>En la lista de Google figura como: Chelsea Market
(coincide con lo que habíamos propuesto nosotros)</t>
      </text>
    </comment>
    <comment ref="U126" authorId="0" shapeId="0">
      <text>
        <t>En la lista de Google figura como: Dekalb Market Hall
(coincide con lo que habíamos propuesto nosotros)</t>
      </text>
    </comment>
    <comment ref="U128" authorId="0" shapeId="0">
      <text>
        <t>En la lista de Google figura como: Essex Market
(coincide con lo que habíamos propuesto nosotros)</t>
      </text>
    </comment>
    <comment ref="I129" authorId="0" shapeId="0">
      <text>
        <t>estimado, sin verificar contra la fuente</t>
      </text>
    </comment>
    <comment ref="I132" authorId="0" shapeId="0">
      <text>
        <t>estimado, sin verificar contra la fuente</t>
      </text>
    </comment>
    <comment ref="U133" authorId="0" shapeId="0">
      <text>
        <t>En la lista de Google figura como: Time Out Market New York
(coincide con lo que habíamos propuesto nosotros)</t>
      </text>
    </comment>
    <comment ref="I135" authorId="0" shapeId="0">
      <text>
        <t>estimado, sin verificar contra la fuente</t>
      </text>
    </comment>
    <comment ref="U136" authorId="0" shapeId="0">
      <text>
        <t>En la lista de Google figura como: BO's Bagels
(coincide con lo que habíamos propuesto nosotros)</t>
      </text>
    </comment>
    <comment ref="I141" authorId="0" shapeId="0">
      <text>
        <t>estimado, sin verificar contra la fuente</t>
      </text>
    </comment>
    <comment ref="I143" authorId="0" shapeId="0">
      <text>
        <t>estimado, sin verificar contra la fuente</t>
      </text>
    </comment>
    <comment ref="I144" authorId="0" shapeId="0">
      <text>
        <t>estimado, sin verificar contra la fuente</t>
      </text>
    </comment>
    <comment ref="I146" authorId="0" shapeId="0">
      <text>
        <t>estimado, sin verificar contra la fuente</t>
      </text>
    </comment>
    <comment ref="U147" authorId="0" shapeId="0">
      <text>
        <t>En la lista de Google figura como: L&amp;B Spumoni Gardens
(coincide con lo que habíamos propuesto nosotros)</t>
      </text>
    </comment>
    <comment ref="I148" authorId="0" shapeId="0">
      <text>
        <t>solo efectivo, BYOB</t>
      </text>
    </comment>
    <comment ref="I149" authorId="0" shapeId="0">
      <text>
        <t>porcion $3.75-4</t>
      </text>
    </comment>
    <comment ref="I152" authorId="0" shapeId="0">
      <text>
        <t>estimado, sin verificar contra la fuente</t>
      </text>
    </comment>
    <comment ref="I153" authorId="0" shapeId="0">
      <text>
        <t>estimado, sin verificar contra la fuente</t>
      </text>
    </comment>
    <comment ref="I156" authorId="0" shapeId="0">
      <text>
        <t>estimado, sin verificar contra la fuente</t>
      </text>
    </comment>
    <comment ref="I159" authorId="0" shapeId="0">
      <text>
        <t>~$20 para dos con bebida</t>
      </text>
    </comment>
    <comment ref="I162" authorId="0" shapeId="0">
      <text>
        <t>estimado, sin verificar contra la fuente</t>
      </text>
    </comment>
    <comment ref="I165" authorId="0" shapeId="0">
      <text>
        <t>estimado, sin verificar contra la fuente</t>
      </text>
    </comment>
    <comment ref="I169" authorId="0" shapeId="0">
      <text>
        <t>estimado, sin verificar contra la fuente</t>
      </text>
    </comment>
    <comment ref="U174" authorId="0" shapeId="0">
      <text>
        <t>En la lista de Google figura como: Tanoreen
(coincide con lo que habíamos propuesto nosotros)</t>
      </text>
    </comment>
    <comment ref="I176" authorId="0" shapeId="0">
      <text>
        <t>estimado, sin verificar contra la fuente</t>
      </text>
    </comment>
    <comment ref="I177" authorId="0" shapeId="0">
      <text>
        <t>estimado, sin verificar contra la fuente</t>
      </text>
    </comment>
    <comment ref="I178" authorId="0" shapeId="0">
      <text>
        <t>Porterhouse p/2 ~$140 + sides + propina: ~$110-130 por cabeza. SIN TARJETAS DE CREDITO: efectivo, debito US o cheque.</t>
      </text>
    </comment>
    <comment ref="U178" authorId="0" shapeId="0">
      <text>
        <t>En la lista de Google figura como: Peter Luger Steak House
(coincide con lo que habíamos propuesto nosotros)</t>
      </text>
    </comment>
    <comment ref="I179" authorId="0" shapeId="0">
      <text>
        <t>Frecuentemente sin cover (minimo de consumo)</t>
      </text>
    </comment>
    <comment ref="U179" authorId="0" shapeId="0">
      <text>
        <t>En la lista de Google figura como: Bar Bayeux
(coincide con lo que habíamos propuesto nosotros)</t>
      </text>
    </comment>
    <comment ref="I180" authorId="0" shapeId="0">
      <text>
        <t>$10 sugerido EN EFECTIVO - los musicos cobran de las donaciones</t>
      </text>
    </comment>
    <comment ref="U180" authorId="0" shapeId="0">
      <text>
        <t>En la lista de Google figura como: LunÀtico
(coincide con lo que habíamos propuesto nosotros)</t>
      </text>
    </comment>
    <comment ref="I181" authorId="0" shapeId="0">
      <text>
        <t>Reserva GRATIS por Eventbrite (es solo reserva, no entrada). $20 de music charge por cabeza se suma a la cuenta + consumo.</t>
      </text>
    </comment>
    <comment ref="U181" authorId="0" shapeId="0">
      <text>
        <t>En la lista de Google figura como: Cafe Wha?
(coincide con lo que habíamos propuesto nosotros)</t>
      </text>
    </comment>
    <comment ref="I183" authorId="0" shapeId="0">
      <text>
        <t>~$30-40 el set, entrada por la web. BYOB: se lleva la bebida propia.</t>
      </text>
    </comment>
    <comment ref="I184" authorId="0" shapeId="0">
      <text>
        <t>$20-45 cover + $20 minimo por persona por set. Solo TicketWeb.</t>
      </text>
    </comment>
    <comment ref="U184" authorId="0" shapeId="0">
      <text>
        <t>En la lista de Google figura como: Birdland Jazz Club
(coincide con lo que habíamos propuesto nosotros)</t>
      </text>
    </comment>
    <comment ref="I185" authorId="0" shapeId="0">
      <text>
        <t>$20-45 + $5 minimo de mesa</t>
      </text>
    </comment>
    <comment ref="U185" authorId="0" shapeId="0">
      <text>
        <t>En la lista de Google figura como: Blue Note
(coincide con lo que habíamos propuesto nosotros)</t>
      </text>
    </comment>
    <comment ref="I186" authorId="0" shapeId="0">
      <text>
        <t>$20-45 + $21-25 minimo. LATE NIGHT jue-sab ~22:45 desde $10-20.</t>
      </text>
    </comment>
    <comment ref="U186" authorId="0" shapeId="0">
      <text>
        <t>En la lista de Google figura como: Dizzy's Club
(coincide con lo que habíamos propuesto nosotros)</t>
      </text>
    </comment>
    <comment ref="I187" authorId="0" shapeId="0">
      <text>
        <t>$25 incluye una bebida</t>
      </text>
    </comment>
    <comment ref="U187" authorId="0" shapeId="0">
      <text>
        <t>En la lista de Google figura como: Mezzrow
(coincide con lo que habíamos propuesto nosotros)</t>
      </text>
    </comment>
    <comment ref="I188" authorId="0" shapeId="0">
      <text>
        <t>$15-25</t>
      </text>
    </comment>
    <comment ref="U188" authorId="0" shapeId="0">
      <text>
        <t>En la lista de Google figura como: Ornithology Jazz Club
(coincide con lo que habíamos propuesto nosotros)</t>
      </text>
    </comment>
    <comment ref="I189" authorId="0" shapeId="0">
      <text>
        <t>$25 incluye una bebida</t>
      </text>
    </comment>
    <comment ref="U189" authorId="0" shapeId="0">
      <text>
        <t>En la lista de Google figura como: Smalls Jazz Club
(coincide con lo que habíamos propuesto nosotros)</t>
      </text>
    </comment>
    <comment ref="I190" authorId="0" shapeId="0">
      <text>
        <t>$45 la entrada GA (YA COMPRADA, 26/8) + minimo de UNA consumicion por persona - vale gaseosa, jugo o agua. No sirven comida. Aceptan tarjeta.</t>
      </text>
    </comment>
    <comment ref="U190" authorId="0" shapeId="0">
      <text>
        <t>En la lista de Google figura como: Village Vanguard
(coincide con lo que habíamos propuesto nosotros)</t>
      </text>
    </comment>
    <comment ref="I191" authorId="0" shapeId="0">
      <text>
        <t>Donacion sugerida ~$10-20, efectivo</t>
      </text>
    </comment>
    <comment ref="U191" authorId="0" shapeId="0">
      <text>
        <t>En la lista de Google figura como: Barbès
(coincide con lo que habíamos propuesto nosotros)</t>
      </text>
    </comment>
    <comment ref="U192" authorId="0" shapeId="0">
      <text>
        <t>En la lista de Google figura como: Nublu
(coincide con lo que habíamos propuesto nosotros)</t>
      </text>
    </comment>
    <comment ref="I197" authorId="0" shapeId="0">
      <text>
        <t>La plaza es GRATIS siempre. Temporadas: la Filarmonica (Dudamel) abre el 10/9, Met Opera y City Ballet mas tarde — durante el viaje las salas grandes estan oscuras.</t>
      </text>
    </comment>
    <comment ref="U197" authorId="0" shapeId="0">
      <text>
        <t>En la lista de Google figura como: Lincoln Center for the Performing Arts
(coincide con lo que habíamos propuesto nosotros)</t>
      </text>
    </comment>
    <comment ref="U199" authorId="0" shapeId="0">
      <text>
        <t>En la lista de Google figura como: Oculus Center
(coincide con lo que habíamos propuesto nosotros)</t>
      </text>
    </comment>
    <comment ref="I202" authorId="0" shapeId="0">
      <text>
        <t>Gratis entrar; ~$8.50 el AirTrain de JFK</t>
      </text>
    </comment>
    <comment ref="I203" authorId="0" shapeId="0">
      <text>
        <t>$10 (flex online $15). Reabierto con redes de seguridad; algunos tramos altos hacia el Hudson siguen cerrados.</t>
      </text>
    </comment>
    <comment ref="U203" authorId="0" shapeId="0">
      <text>
        <t>En la lista de Google figura como: Vessel
(coincide con lo que habíamos propuesto nosotros)</t>
      </text>
    </comment>
    <comment ref="I217" authorId="0" shapeId="0">
      <text>
        <t>estimado, sin verificar contra la fuente</t>
      </text>
    </comment>
    <comment ref="I229" authorId="0" shapeId="0">
      <text>
        <t>a voluntad</t>
      </text>
    </comment>
    <comment ref="I234" authorId="0" shapeId="0">
      <text>
        <t>GRATIS pero requiere preinscripcion online antes de las 17h del dia anterior</t>
      </text>
    </comment>
    <comment ref="U234" authorId="0" shapeId="0">
      <text>
        <t>En la lista de Google figura como: Ford Foundation Public Atrium Garden
(coincide con lo que habíamos propuesto nosotros)</t>
      </text>
    </comment>
    <comment ref="U236" authorId="0" shapeId="0">
      <text>
        <t>En la lista de Google figura como: Grand Central Terminal
(coincide con lo que habíamos propuesto nosotros)</t>
      </text>
    </comment>
    <comment ref="I239" authorId="0" shapeId="0">
      <text>
        <t>GRATIS, lun-vie 8-18h. Fotos si, video no.</t>
      </text>
    </comment>
    <comment ref="I240" authorId="0" shapeId="0">
      <text>
        <t>GRATIS. Tours gratuitos lun-sab 11:00 y 14:00 (edificio); 11:20, 13:30 y 15:00 (Rose Room).</t>
      </text>
    </comment>
    <comment ref="U240" authorId="0" shapeId="0">
      <text>
        <t>En la lista de Google figura como: Biblioteca Pública de Nueva York
(coincide con lo que habíamos propuesto nosotros)</t>
      </text>
    </comment>
    <comment ref="I246" authorId="0" shapeId="0">
      <text>
        <t>estimado, sin verificar contra la fuente</t>
      </text>
    </comment>
    <comment ref="I248" authorId="0" shapeId="0">
      <text>
        <t>$15. Lunes y viernes pay-what-you-wish.</t>
      </text>
    </comment>
    <comment ref="U248" authorId="0" shapeId="0">
      <text>
        <t>En la lista de Google figura como: Museum at Eldridge Street
(coincide con lo que habíamos propuesto nosotros)</t>
      </text>
    </comment>
    <comment ref="I259" authorId="0" shapeId="0">
      <text>
        <t>una botella ronda $12-20; probar es gratis</t>
      </text>
    </comment>
    <comment ref="I260" authorId="0" shapeId="0">
      <text>
        <t>una botella ronda $12-20; probar es gratis</t>
      </text>
    </comment>
    <comment ref="I267" authorId="0" shapeId="0">
      <text>
        <t>Entrada libre 7-19h. Trolley tours con costo: sab 29/8 y sab 5/9, 13-15h.</t>
      </text>
    </comment>
    <comment ref="I269" authorId="0" shapeId="0">
      <text>
        <t>estimado, sin verificar contra la fuente</t>
      </text>
    </comment>
    <comment ref="I270" authorId="0" shapeId="0">
      <text>
        <t>$10. GRATIS todos los jueves.</t>
      </text>
    </comment>
    <comment ref="U270" authorId="0" shapeId="0">
      <text>
        <t>En la lista de Google figura como: Wave Hill Public Garden &amp; Cultural Center
(coincide con lo que habíamos propuesto nosotros)</t>
      </text>
    </comment>
    <comment ref="U287" authorId="0" shapeId="0">
      <text>
        <t>En la lista de Google figura como: Washington Square Park
(coincide con lo que habíamos propuesto nosotros)</t>
      </text>
    </comment>
    <comment ref="U288" authorId="0" shapeId="0">
      <text>
        <t>En la lista de Google figura como: High Line
(coincide con lo que habíamos propuesto nosotros)</t>
      </text>
    </comment>
    <comment ref="I289" authorId="0" shapeId="0">
      <text>
        <t>Grounds pass desde ~$80 segun sesion</t>
      </text>
    </comment>
    <comment ref="I290" authorId="0" shapeId="0">
      <text>
        <t>GRATIS, sin reserva</t>
      </text>
    </comment>
    <comment ref="I291" authorId="0" shapeId="0">
      <text>
        <t>GRATIS, sin reserva</t>
      </text>
    </comment>
    <comment ref="I292" authorId="0" shapeId="0">
      <text>
        <t>GRATIS</t>
      </text>
    </comment>
    <comment ref="I293" authorId="0" shapeId="0">
      <text>
        <t>precios no publicados aun - VERIFICAR en wiadcacarnival.org</t>
      </text>
    </comment>
    <comment ref="I296" authorId="0" shapeId="0">
      <text>
        <t>precio no publicado - consultar green-wood.com</t>
      </text>
    </comment>
    <comment ref="I297" authorId="0" shapeId="0">
      <text>
        <t>Promedio real pagado $112. LOTERIA $10 (HamiltonMusical.com, cierra jueves 12h de la semana previa).</t>
      </text>
    </comment>
    <comment ref="I298" authorId="0" shapeId="0">
      <text>
        <t>Promedio real pagado $59. LOTERIA $20.64 (Telecharge, cierra 15h del dia previo). Rush $49.</t>
      </text>
    </comment>
    <comment ref="I299" authorId="0" shapeId="0">
      <text>
        <t>Loteria LuckySeat $49. Funciones de cierre suelen encarecerse.</t>
      </text>
    </comment>
    <comment ref="I300" authorId="0" shapeId="0">
      <text>
        <t>Promedio real $63. Rush $49 en boleteria a las 10h. TKTS ~40% off.</t>
      </text>
    </comment>
    <comment ref="I301" authorId="0" shapeId="0">
      <text>
        <t>Loteria digital $40 (Telecharge, sorteos 10h y 15h)</t>
      </text>
    </comment>
    <comment ref="I302" authorId="0" shapeId="0">
      <text>
        <t>Desde ~$76-100 segun funcion. Alternativas de play esa semana: Harry Potter and the Cursed Child (Lyric), Paranormal Activity (August Wilson), The Imaginary Invalid (Roundabout).</t>
      </text>
    </comment>
    <comment ref="I303" authorId="0" shapeId="0">
      <text>
        <t>Hasta 50% off (tipico 40%) + $8 de fee por ticket. Max 6 por persona.</t>
      </text>
    </comment>
    <comment ref="U303" authorId="0" shapeId="0">
      <text>
        <t>En la lista de Google figura como: TKTS Lincoln Center
(coincide con lo que habíamos propuesto nosotros)</t>
      </text>
    </comment>
    <comment ref="U305" authorId="0" shapeId="0">
      <text>
        <t>En la lista de Google figura como: Ink 48 Hotel
(coincide con lo que habíamos propuesto nosotros)</t>
      </text>
    </comment>
    <comment ref="U306" authorId="0" shapeId="0">
      <text>
        <t>En la lista de Google figura como: Hotel Beacon
(coincide con lo que habíamos propuesto nosotros)</t>
      </text>
    </comment>
    <comment ref="U308"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Bubby%27s%20Tribeca%2C%20120%20Hudson%20St%2C%20New%20York" TargetMode="External" Id="rId83" /><Relationship Type="http://schemas.openxmlformats.org/officeDocument/2006/relationships/hyperlink" Target="https://www.google.com/maps/search/?api=1&amp;query=Culture%20Espresso%2C%2072%20W%2038th%20St%2C%20New%20York" TargetMode="External" Id="rId84" /><Relationship Type="http://schemas.openxmlformats.org/officeDocument/2006/relationships/hyperlink" Target="https://www.google.com/maps/search/?api=1&amp;query=Jack%27s%20Wife%20Freda%2C%20224%20Lafayette%20St%2C%20New%20York" TargetMode="External" Id="rId85" /><Relationship Type="http://schemas.openxmlformats.org/officeDocument/2006/relationships/hyperlink" Target="https://www.google.com/maps/search/?api=1&amp;query=Sarabeth%27s%20Central%20Park%20South%2C%2040%20Central%20Park%20S%2C%20New%20York" TargetMode="External" Id="rId86" /><Relationship Type="http://schemas.openxmlformats.org/officeDocument/2006/relationships/hyperlink" Target="https://www.google.com/maps/search/?api=1&amp;query=Starbucks%20Reserve%20Roastery%2C%2061%209th%20Ave%2C%20New%20York" TargetMode="External" Id="rId87" /><Relationship Type="http://schemas.openxmlformats.org/officeDocument/2006/relationships/hyperlink" Target="https://www.google.com/maps/search/?api=1&amp;query=The%20Grey%20Dog%20-%20Union%20Square%2C%2090%20University%20Pl%2C%20New%20York" TargetMode="External" Id="rId88" /><Relationship Type="http://schemas.openxmlformats.org/officeDocument/2006/relationships/hyperlink" Target="https://www.google.com/maps/search/?api=1&amp;query=Double%20Chicken%20Please%2C%20115%20Allen%20St%2C%20New%20York" TargetMode="External" Id="rId89" /><Relationship Type="http://schemas.openxmlformats.org/officeDocument/2006/relationships/hyperlink" Target="https://www.google.com/maps/search/?api=1&amp;query=Adel%27s%20Famous%20Halal%20Food%2C%20New%20York" TargetMode="External" Id="rId90" /><Relationship Type="http://schemas.openxmlformats.org/officeDocument/2006/relationships/hyperlink" Target="https://www.google.com/maps/search/?api=1&amp;query=Bark%20Barbecue%2C%20New%20York" TargetMode="External" Id="rId91" /><Relationship Type="http://schemas.openxmlformats.org/officeDocument/2006/relationships/hyperlink" Target="https://www.google.com/maps/search/?api=1&amp;query=Casa%20Della%20Mozzarella%2C%20604%20E%20187th%20St%2C%20Bronx%2C%20New%20York" TargetMode="External" Id="rId92" /><Relationship Type="http://schemas.openxmlformats.org/officeDocument/2006/relationships/hyperlink" Target="https://www.google.com/maps/search/?api=1&amp;query=Cosenza%27s%20Fish%20Market%2C%202354%20Arthur%20Ave%2C%20Bronx%2C%20New%20York" TargetMode="External" Id="rId93" /><Relationship Type="http://schemas.openxmlformats.org/officeDocument/2006/relationships/hyperlink" Target="https://www.google.com/maps/search/?api=1&amp;query=Di%20Palo%27s%20Fine%20Foods%2C%20200%20Grand%20St%2C%20New%20York" TargetMode="External" Id="rId94" /><Relationship Type="http://schemas.openxmlformats.org/officeDocument/2006/relationships/hyperlink" Target="https://www.google.com/maps/search/?api=1&amp;query=Gray%27s%20Papaya%2C%202090%20Broadway%2C%20New%20York" TargetMode="External" Id="rId95" /><Relationship Type="http://schemas.openxmlformats.org/officeDocument/2006/relationships/hyperlink" Target="https://www.google.com/maps/search/?api=1&amp;query=Los%20Tacos%20No.%201%2C%2075%209th%20Ave%20%28Chelsea%20Market%29%2C%20New%20York" TargetMode="External" Id="rId96" /><Relationship Type="http://schemas.openxmlformats.org/officeDocument/2006/relationships/hyperlink" Target="https://www.google.com/maps/search/?api=1&amp;query=Murray%27s%20Cheese%2C%20254%20Bleecker%20St%2C%20New%20York" TargetMode="External" Id="rId97" /><Relationship Type="http://schemas.openxmlformats.org/officeDocument/2006/relationships/hyperlink" Target="https://www.google.com/maps/search/?api=1&amp;query=Papaya%20King%2C%20206%20E%2086th%20St%2C%20New%20York" TargetMode="External" Id="rId98" /><Relationship Type="http://schemas.openxmlformats.org/officeDocument/2006/relationships/hyperlink" Target="https://www.google.com/maps/search/?api=1&amp;query=Pommes%20Frites%2C%20128%20MacDougal%20St%2C%20New%20York" TargetMode="External" Id="rId99" /><Relationship Type="http://schemas.openxmlformats.org/officeDocument/2006/relationships/hyperlink" Target="https://www.google.com/maps/search/?api=1&amp;query=Xi%27an%20Famous%20Foods%20%28W%2045th%29%2C%2060%20W%2045th%20St%2C%20New%20York" TargetMode="External" Id="rId100" /><Relationship Type="http://schemas.openxmlformats.org/officeDocument/2006/relationships/hyperlink" Target="https://www.google.com/maps/search/?api=1&amp;query=Barney%20Greengrass%2C%20541%20Amsterdam%20Ave%2C%20New%20York" TargetMode="External" Id="rId101" /><Relationship Type="http://schemas.openxmlformats.org/officeDocument/2006/relationships/hyperlink" Target="https://www.google.com/maps/search/?api=1&amp;query=Frankel%27s%20Delicatessen%2C%20631%20Manhattan%20Ave%2C%20Brooklyn%2C%20New%20York" TargetMode="External" Id="rId102" /><Relationship Type="http://schemas.openxmlformats.org/officeDocument/2006/relationships/hyperlink" Target="https://www.google.com/maps/search/?api=1&amp;query=Katz%27s%20Delicatessen%2C%20205%20E%20Houston%20St%2C%20New%20York" TargetMode="External" Id="rId103" /><Relationship Type="http://schemas.openxmlformats.org/officeDocument/2006/relationships/hyperlink" Target="https://www.google.com/maps/search/?api=1&amp;query=Russ%20%26%20Daughters%2C%20179%20E%20Houston%20St%2C%20New%20York" TargetMode="External" Id="rId104" /><Relationship Type="http://schemas.openxmlformats.org/officeDocument/2006/relationships/hyperlink" Target="https://www.google.com/maps/search/?api=1&amp;query=Russ%20%26%20Daughters%20Cafe%2C%20127%20Orchard%20St%2C%20New%20York" TargetMode="External" Id="rId105" /><Relationship Type="http://schemas.openxmlformats.org/officeDocument/2006/relationships/hyperlink" Target="https://www.google.com/maps/search/?api=1&amp;query=S%26P%20Lunch%2C%20174%205th%20Ave%2C%20New%20York" TargetMode="External" Id="rId106" /><Relationship Type="http://schemas.openxmlformats.org/officeDocument/2006/relationships/hyperlink" Target="https://www.google.com/maps/search/?api=1&amp;query=Sarge%27s%20Delicatessen%20%26%20Diner%2C%20548%203rd%20Ave%2C%20New%20York" TargetMode="External" Id="rId107" /><Relationship Type="http://schemas.openxmlformats.org/officeDocument/2006/relationships/hyperlink" Target="https://www.google.com/maps/search/?api=1&amp;query=Golden%20Diner%2C%20123%20Madison%20St%2C%20New%20York" TargetMode="External" Id="rId108" /><Relationship Type="http://schemas.openxmlformats.org/officeDocument/2006/relationships/hyperlink" Target="https://www.google.com/maps/search/?api=1&amp;query=Junior%27s%20Restaurant%20and%20Bakery%2C%201626%20Broadway%2C%20New%20York" TargetMode="External" Id="rId109" /><Relationship Type="http://schemas.openxmlformats.org/officeDocument/2006/relationships/hyperlink" Target="https://www.google.com/maps/search/?api=1&amp;query=Lexington%20Candy%20Shop%2C%201226%20Lexington%20Ave%2C%20New%20York" TargetMode="External" Id="rId110" /><Relationship Type="http://schemas.openxmlformats.org/officeDocument/2006/relationships/hyperlink" Target="https://www.google.com/maps/search/?api=1&amp;query=Tick%20Tock%20Diner%20NY%2C%20481%208th%20Ave%2C%20New%20York" TargetMode="External" Id="rId111" /><Relationship Type="http://schemas.openxmlformats.org/officeDocument/2006/relationships/hyperlink" Target="https://www.google.com/maps/search/?api=1&amp;query=Corner%20Bistro%2C%20331%20W%204th%20St%2C%20New%20York" TargetMode="External" Id="rId112" /><Relationship Type="http://schemas.openxmlformats.org/officeDocument/2006/relationships/hyperlink" Target="https://www.google.com/maps/search/?api=1&amp;query=Hamburger%20America%2C%20155%20W%20Houston%20St%2C%20New%20York" TargetMode="External" Id="rId113" /><Relationship Type="http://schemas.openxmlformats.org/officeDocument/2006/relationships/hyperlink" Target="https://www.google.com/maps/search/?api=1&amp;query=Shake%20Shack%20%28Columbus%20Circle%20/%20Theater%20District%29%2C%20New%20York" TargetMode="External" Id="rId114" /><Relationship Type="http://schemas.openxmlformats.org/officeDocument/2006/relationships/hyperlink" Target="https://www.google.com/maps/search/?api=1&amp;query=Amorino%2C%20New%20York" TargetMode="External" Id="rId115" /><Relationship Type="http://schemas.openxmlformats.org/officeDocument/2006/relationships/hyperlink" Target="https://www.google.com/maps/search/?api=1&amp;query=Dough%20Doughnuts%2C%20New%20York" TargetMode="External" Id="rId116" /><Relationship Type="http://schemas.openxmlformats.org/officeDocument/2006/relationships/hyperlink" Target="https://www.google.com/maps/search/?api=1&amp;query=Krispy%20Kreme%20Times%20Square%2C%201601%20Broadway%2C%20New%20York" TargetMode="External" Id="rId117" /><Relationship Type="http://schemas.openxmlformats.org/officeDocument/2006/relationships/hyperlink" Target="https://www.google.com/maps/search/?api=1&amp;query=Levain%20Bakery%2C%20351%20Amsterdam%20Ave%2C%20New%20York" TargetMode="External" Id="rId118" /><Relationship Type="http://schemas.openxmlformats.org/officeDocument/2006/relationships/hyperlink" Target="https://www.google.com/maps/search/?api=1&amp;query=OddFellows%20Ice%20Cream%20%28Domino%20Park%29%2C%2040%20River%20St%2C%20Brooklyn%2C%20New%20York" TargetMode="External" Id="rId119" /><Relationship Type="http://schemas.openxmlformats.org/officeDocument/2006/relationships/hyperlink" Target="https://www.google.com/maps/search/?api=1&amp;query=Arthur%20Avenue%20Retail%20Market%2C%202344%20Arthur%20Ave%2C%20Bronx%2C%20New%20York" TargetMode="External" Id="rId120" /><Relationship Type="http://schemas.openxmlformats.org/officeDocument/2006/relationships/hyperlink" Target="https://www.google.com/maps/search/?api=1&amp;query=Chelsea%20Market%2C%2075%209th%20Ave%2C%20New%20York" TargetMode="External" Id="rId121" /><Relationship Type="http://schemas.openxmlformats.org/officeDocument/2006/relationships/hyperlink" Target="https://www.google.com/maps/search/?api=1&amp;query=DeKalb%20Market%20Hall%2C%20445%20Albee%20Square%20W%2C%20Brooklyn%2C%20New%20York" TargetMode="External" Id="rId122" /><Relationship Type="http://schemas.openxmlformats.org/officeDocument/2006/relationships/hyperlink" Target="https://www.google.com/maps/search/?api=1&amp;query=Eataly%20Flatiron%2C%20200%205th%20Ave%2C%20New%20York" TargetMode="External" Id="rId123" /><Relationship Type="http://schemas.openxmlformats.org/officeDocument/2006/relationships/hyperlink" Target="https://www.google.com/maps/search/?api=1&amp;query=Essex%20Market%2C%2088%20Essex%20St%2C%20New%20York" TargetMode="External" Id="rId124" /><Relationship Type="http://schemas.openxmlformats.org/officeDocument/2006/relationships/hyperlink" Target="https://www.google.com/maps/search/?api=1&amp;query=Gansevoort%20Market%2C%20353%20W%2014th%20St%2C%20New%20York" TargetMode="External" Id="rId125" /><Relationship Type="http://schemas.openxmlformats.org/officeDocument/2006/relationships/hyperlink" Target="https://www.google.com/maps/search/?api=1&amp;query=Morningside%20Park%20Farmers%20Market%2C%20New%20York" TargetMode="External" Id="rId126" /><Relationship Type="http://schemas.openxmlformats.org/officeDocument/2006/relationships/hyperlink" Target="https://www.google.com/maps/search/?api=1&amp;query=New%20World%20Mall%20Food%20Court%2C%20136-20%20Roosevelt%20Ave%2C%20Flushing%2C%20New%20York" TargetMode="External" Id="rId127" /><Relationship Type="http://schemas.openxmlformats.org/officeDocument/2006/relationships/hyperlink" Target="https://www.google.com/maps/search/?api=1&amp;query=Smorgasburg%20Williamsburg%2C%20Marsha%20P.%20Johnson%20State%20Park%2C%20Kent%20Ave%2C%20Brooklyn%2C%20New%20York" TargetMode="External" Id="rId128" /><Relationship Type="http://schemas.openxmlformats.org/officeDocument/2006/relationships/hyperlink" Target="https://www.google.com/maps/search/?api=1&amp;query=Time%20Out%20Market%2C%2055%20Water%20St%2C%20Brooklyn%2C%20New%20York" TargetMode="External" Id="rId129" /><Relationship Type="http://schemas.openxmlformats.org/officeDocument/2006/relationships/hyperlink" Target="https://www.google.com/maps/search/?api=1&amp;query=Zabar%27s%2C%202245%20Broadway%2C%20New%20York" TargetMode="External" Id="rId130" /><Relationship Type="http://schemas.openxmlformats.org/officeDocument/2006/relationships/hyperlink" Target="https://www.google.com/maps/search/?api=1&amp;query=Amy%27s%20Bread%2C%20672%209th%20Ave%2C%20New%20York" TargetMode="External" Id="rId131" /><Relationship Type="http://schemas.openxmlformats.org/officeDocument/2006/relationships/hyperlink" Target="https://www.google.com/maps/search/?api=1&amp;query=Bo%27s%20Bagels%2C%20235%20W%20116th%20St%2C%20New%20York" TargetMode="External" Id="rId132" /><Relationship Type="http://schemas.openxmlformats.org/officeDocument/2006/relationships/hyperlink" Target="https://www.google.com/maps/search/?api=1&amp;query=Dominique%20Ansel%20Bakery%2C%20189%20Spring%20St%2C%20New%20York" TargetMode="External" Id="rId133" /><Relationship Type="http://schemas.openxmlformats.org/officeDocument/2006/relationships/hyperlink" Target="https://www.google.com/maps/search/?api=1&amp;query=La%20Cabra%20Bakery%2C%20152%202nd%20Ave%2C%20New%20York" TargetMode="External" Id="rId134" /><Relationship Type="http://schemas.openxmlformats.org/officeDocument/2006/relationships/hyperlink" Target="https://www.google.com/maps/search/?api=1&amp;query=Pop%27s%20Bagels%20Nolita%2C%20New%20York" TargetMode="External" Id="rId135" /><Relationship Type="http://schemas.openxmlformats.org/officeDocument/2006/relationships/hyperlink" Target="https://www.google.com/maps/search/?api=1&amp;query=Rudy%27s%20Pastry%20Shop%2C%20905%20Seneca%20Ave%2C%20Ridgewood%2C%20New%20York" TargetMode="External" Id="rId136" /><Relationship Type="http://schemas.openxmlformats.org/officeDocument/2006/relationships/hyperlink" Target="https://www.google.com/maps/search/?api=1&amp;query=Vesuvio%20Bakery%2C%20160%20Prince%20St%2C%20New%20York" TargetMode="External" Id="rId137" /><Relationship Type="http://schemas.openxmlformats.org/officeDocument/2006/relationships/hyperlink" Target="https://www.google.com/maps/search/?api=1&amp;query=Bleecker%20Street%20Pizza%2C%2069%207th%20Ave%20S%2C%20New%20York" TargetMode="External" Id="rId138" /><Relationship Type="http://schemas.openxmlformats.org/officeDocument/2006/relationships/hyperlink" Target="https://www.google.com/maps/search/?api=1&amp;query=Emily%20%28West%20Village%29%2C%2035%20Downing%20St%2C%20New%20York" TargetMode="External" Id="rId139" /><Relationship Type="http://schemas.openxmlformats.org/officeDocument/2006/relationships/hyperlink" Target="https://www.google.com/maps/search/?api=1&amp;query=Joe%27s%20Pizza%20%28Carmine%20St%29%2C%207%20Carmine%20St%2C%20New%20York" TargetMode="External" Id="rId140" /><Relationship Type="http://schemas.openxmlformats.org/officeDocument/2006/relationships/hyperlink" Target="https://www.google.com/maps/search/?api=1&amp;query=John%27s%20of%20Times%20Square%2C%20260%20W%2044th%20St%2C%20New%20York" TargetMode="External" Id="rId141" /><Relationship Type="http://schemas.openxmlformats.org/officeDocument/2006/relationships/hyperlink" Target="https://www.google.com/maps/search/?api=1&amp;query=Juliana%27s%20Pizza%2C%2019%20Old%20Fulton%20St%2C%20Brooklyn%2C%20New%20York" TargetMode="External" Id="rId142" /><Relationship Type="http://schemas.openxmlformats.org/officeDocument/2006/relationships/hyperlink" Target="https://www.google.com/maps/search/?api=1&amp;query=L%26B%20Spumoni%20Gardens%2C%202725%2086th%20St%2C%20Brooklyn%2C%20New%20York" TargetMode="External" Id="rId143" /><Relationship Type="http://schemas.openxmlformats.org/officeDocument/2006/relationships/hyperlink" Target="https://www.google.com/maps/search/?api=1&amp;query=Lucali%2C%20575%20Henry%20St%2C%20Brooklyn%2C%20New%20York" TargetMode="External" Id="rId144" /><Relationship Type="http://schemas.openxmlformats.org/officeDocument/2006/relationships/hyperlink" Target="https://www.google.com/maps/search/?api=1&amp;query=Mano%27s%20Pizzeria%2C%206202%20Forest%20Ave%2C%20Ridgewood%2C%20New%20York" TargetMode="External" Id="rId145" /><Relationship Type="http://schemas.openxmlformats.org/officeDocument/2006/relationships/hyperlink" Target="https://www.google.com/maps/search/?api=1&amp;query=Totonno%27s%2C%201524%20Neptune%20Ave%2C%20Brooklyn%2C%20New%20York" TargetMode="External" Id="rId146" /><Relationship Type="http://schemas.openxmlformats.org/officeDocument/2006/relationships/hyperlink" Target="https://www.google.com/maps/search/?api=1&amp;query=Beast%20%26%20Butterflies%20Times%20Square%2C%20New%20York" TargetMode="External" Id="rId147" /><Relationship Type="http://schemas.openxmlformats.org/officeDocument/2006/relationships/hyperlink" Target="https://www.google.com/maps/search/?api=1&amp;query=Grand%20Brasserie%2C%2089%20E%2042nd%20St%2C%20New%20York" TargetMode="External" Id="rId148" /><Relationship Type="http://schemas.openxmlformats.org/officeDocument/2006/relationships/hyperlink" Target="https://www.google.com/maps/search/?api=1&amp;query=Sylvia%27s%2C%20328%20Malcolm%20X%20Blvd%2C%20New%20York" TargetMode="External" Id="rId149" /><Relationship Type="http://schemas.openxmlformats.org/officeDocument/2006/relationships/hyperlink" Target="https://www.google.com/maps/search/?api=1&amp;query=Central%20Park%20Boathouse%2C%20E%2072nd%20St%20%26%20Park%20Dr%20N%2C%20New%20York" TargetMode="External" Id="rId150" /><Relationship Type="http://schemas.openxmlformats.org/officeDocument/2006/relationships/hyperlink" Target="https://www.google.com/maps/search/?api=1&amp;query=Manhatta%2C%2028%20Liberty%20St%2C%20piso%2060%2C%20New%20York" TargetMode="External" Id="rId151" /><Relationship Type="http://schemas.openxmlformats.org/officeDocument/2006/relationships/hyperlink" Target="https://www.google.com/maps/search/?api=1&amp;query=Africa%20Kine%2C%202267%20Adam%20Clayton%20Powell%20Jr%20Blvd%2C%20New%20York" TargetMode="External" Id="rId152" /><Relationship Type="http://schemas.openxmlformats.org/officeDocument/2006/relationships/hyperlink" Target="https://www.google.com/maps/search/?api=1&amp;query=Carmine%27s%2044th%20Street%2C%20200%20W%2044th%20St%2C%20New%20York" TargetMode="External" Id="rId153" /><Relationship Type="http://schemas.openxmlformats.org/officeDocument/2006/relationships/hyperlink" Target="https://www.google.com/maps/search/?api=1&amp;query=Deluxe%20Green%20Bo%2C%2066%20Bayard%20St%2C%20New%20York" TargetMode="External" Id="rId154" /><Relationship Type="http://schemas.openxmlformats.org/officeDocument/2006/relationships/hyperlink" Target="https://www.google.com/maps/search/?api=1&amp;query=He%20Nan%20Mian%20Guan%2C%20136-31%2041st%20Ave%2C%20Flushing%2C%20New%20York" TargetMode="External" Id="rId155" /><Relationship Type="http://schemas.openxmlformats.org/officeDocument/2006/relationships/hyperlink" Target="https://www.google.com/maps/search/?api=1&amp;query=Hue%20House%2C%20New%20York" TargetMode="External" Id="rId156" /><Relationship Type="http://schemas.openxmlformats.org/officeDocument/2006/relationships/hyperlink" Target="https://www.google.com/maps/search/?api=1&amp;query=Jalapeno%20King%2C%205th%20Ave%20entre%2022nd%20y%2023rd%20St%2C%20Brooklyn%2C%20New%20York" TargetMode="External" Id="rId157" /><Relationship Type="http://schemas.openxmlformats.org/officeDocument/2006/relationships/hyperlink" Target="https://www.google.com/maps/search/?api=1&amp;query=Joe%27s%20Shanghai%20%28Chinatown%29%2C%2046%20Bowery%2C%20New%20York" TargetMode="External" Id="rId158" /><Relationship Type="http://schemas.openxmlformats.org/officeDocument/2006/relationships/hyperlink" Target="https://www.google.com/maps/search/?api=1&amp;query=Karczma%2C%20136%20Greenpoint%20Ave%2C%20Brooklyn%2C%20New%20York" TargetMode="External" Id="rId159" /><Relationship Type="http://schemas.openxmlformats.org/officeDocument/2006/relationships/hyperlink" Target="https://www.google.com/maps/search/?api=1&amp;query=Lhasa%20Fast%20Food%2C%2037-50%2074th%20St%2C%20Jackson%20Heights%2C%20New%20York" TargetMode="External" Id="rId160" /><Relationship Type="http://schemas.openxmlformats.org/officeDocument/2006/relationships/hyperlink" Target="https://www.google.com/maps/search/?api=1&amp;query=Lil%27%20Frankie%27s%2C%2019%20First%20Ave%2C%20New%20York" TargetMode="External" Id="rId161" /><Relationship Type="http://schemas.openxmlformats.org/officeDocument/2006/relationships/hyperlink" Target="https://www.google.com/maps/search/?api=1&amp;query=Malecon%2C%204141%20Broadway%2C%20New%20York" TargetMode="External" Id="rId162" /><Relationship Type="http://schemas.openxmlformats.org/officeDocument/2006/relationships/hyperlink" Target="https://www.google.com/maps/search/?api=1&amp;query=Nepali%20Bhanchha%20Ghar%2C%2074-06%2037th%20Rd%2C%20Jackson%20Heights%2C%20New%20York" TargetMode="External" Id="rId163" /><Relationship Type="http://schemas.openxmlformats.org/officeDocument/2006/relationships/hyperlink" Target="https://www.google.com/maps/search/?api=1&amp;query=New%20Nurlan%20Uyghur%2C%20135-51%2039th%20Ave%2C%20Flushing%20%28subsuelo%29%2C%20New%20York" TargetMode="External" Id="rId164" /><Relationship Type="http://schemas.openxmlformats.org/officeDocument/2006/relationships/hyperlink" Target="https://www.google.com/maps/search/?api=1&amp;query=Nom%20Wah%20Tea%20Parlor%2C%2013%20Doyers%20St%2C%20New%20York" TargetMode="External" Id="rId165" /><Relationship Type="http://schemas.openxmlformats.org/officeDocument/2006/relationships/hyperlink" Target="https://www.google.com/maps/search/?api=1&amp;query=Pierozek%2C%20833%20Manhattan%20Ave%2C%20Brooklyn%2C%20New%20York" TargetMode="External" Id="rId166" /><Relationship Type="http://schemas.openxmlformats.org/officeDocument/2006/relationships/hyperlink" Target="https://www.google.com/maps/search/?api=1&amp;query=Pies%20%27n%27%20Thighs%2C%20166%20S%204th%20St%2C%20New%20York" TargetMode="External" Id="rId167" /><Relationship Type="http://schemas.openxmlformats.org/officeDocument/2006/relationships/hyperlink" Target="https://www.google.com/maps/search/?api=1&amp;query=Sakagura%2C%20211%20E%2043rd%20St%20%28s%C3%B3tano%29%2C%20New%20York" TargetMode="External" Id="rId168" /><Relationship Type="http://schemas.openxmlformats.org/officeDocument/2006/relationships/hyperlink" Target="https://www.google.com/maps/search/?api=1&amp;query=Tacos%20El%20Bronco%2C%204324%204th%20Ave%2C%20Brooklyn%2C%20New%20York" TargetMode="External" Id="rId169" /><Relationship Type="http://schemas.openxmlformats.org/officeDocument/2006/relationships/hyperlink" Target="https://www.google.com/maps/search/?api=1&amp;query=Tanoreen%2C%207523%203rd%20Ave%2C%20Brooklyn%2C%20New%20York" TargetMode="External" Id="rId170" /><Relationship Type="http://schemas.openxmlformats.org/officeDocument/2006/relationships/hyperlink" Target="https://www.google.com/maps/search/?api=1&amp;query=Taverna%20Kyclades%2C%2033-07%20Ditmars%20Blvd%2C%20Astoria%2C%20New%20York" TargetMode="External" Id="rId171" /><Relationship Type="http://schemas.openxmlformats.org/officeDocument/2006/relationships/hyperlink" Target="https://www.google.com/maps/search/?api=1&amp;query=Trattoria%20Tra%20Di%20Noi%2C%20622%20E%20187th%20St%2C%20Bronx%2C%20New%20York" TargetMode="External" Id="rId172" /><Relationship Type="http://schemas.openxmlformats.org/officeDocument/2006/relationships/hyperlink" Target="https://www.google.com/maps/search/?api=1&amp;query=Uncle%20Lou%2C%2073%20Mulberry%20St%2C%20New%20York" TargetMode="External" Id="rId173" /><Relationship Type="http://schemas.openxmlformats.org/officeDocument/2006/relationships/hyperlink" Target="https://www.google.com/maps/search/?api=1&amp;query=Peter%20Luger%20Steak%20House%2C%20178%20Broadway%2C%20Brooklyn%2C%20New%20York" TargetMode="External" Id="rId174" /><Relationship Type="http://schemas.openxmlformats.org/officeDocument/2006/relationships/hyperlink" Target="https://www.google.com/maps/search/?api=1&amp;query=Bar%20Bayeux%2C%201066%20Nostrand%20Ave%2C%20Brooklyn%2C%20New%20York" TargetMode="External" Id="rId175" /><Relationship Type="http://schemas.openxmlformats.org/officeDocument/2006/relationships/hyperlink" Target="https://www.google.com/maps/search/?api=1&amp;query=Bar%20LunAtico%2C%20486%20Halsey%20St%2C%20Brooklyn%2C%20New%20York" TargetMode="External" Id="rId176" /><Relationship Type="http://schemas.openxmlformats.org/officeDocument/2006/relationships/hyperlink" Target="https://www.google.com/maps/search/?api=1&amp;query=Cafe%20Wha%3F%2C%20115%20MacDougal%20St%2C%20New%20York" TargetMode="External" Id="rId177" /><Relationship Type="http://schemas.openxmlformats.org/officeDocument/2006/relationships/hyperlink" Target="https://www.google.com/maps/search/?api=1&amp;query=Rudy%27s%20Bar%20%26%20Grill%2C%20627%209th%20Ave%2C%20New%20York" TargetMode="External" Id="rId178" /><Relationship Type="http://schemas.openxmlformats.org/officeDocument/2006/relationships/hyperlink" Target="https://www.google.com/maps/search/?api=1&amp;query=Bill%27s%20Place%2C%20148%20W%20133rd%20St%2C%20New%20York" TargetMode="External" Id="rId179" /><Relationship Type="http://schemas.openxmlformats.org/officeDocument/2006/relationships/hyperlink" Target="https://www.google.com/maps/search/?api=1&amp;query=Birdland%2C%20315%20W%2044th%20St%2C%20New%20York" TargetMode="External" Id="rId180" /><Relationship Type="http://schemas.openxmlformats.org/officeDocument/2006/relationships/hyperlink" Target="https://www.google.com/maps/search/?api=1&amp;query=Blue%20Note%2C%20131%20W%203rd%20St%2C%20New%20York" TargetMode="External" Id="rId181" /><Relationship Type="http://schemas.openxmlformats.org/officeDocument/2006/relationships/hyperlink" Target="https://www.google.com/maps/search/?api=1&amp;query=Dizzy%27s%20Club%20%28Jazz%20at%20Lincoln%20Center%29%2C%2010%20Columbus%20Circle%2C%20piso%205%2C%20New%20York" TargetMode="External" Id="rId182" /><Relationship Type="http://schemas.openxmlformats.org/officeDocument/2006/relationships/hyperlink" Target="https://www.google.com/maps/search/?api=1&amp;query=Mezzrow%2C%20163%20W%2010th%20St%2C%20New%20York" TargetMode="External" Id="rId183" /><Relationship Type="http://schemas.openxmlformats.org/officeDocument/2006/relationships/hyperlink" Target="https://www.google.com/maps/search/?api=1&amp;query=Ornithology%20Jazz%20Club%2C%206%20Suydam%20St%2C%20Brooklyn%2C%20New%20York" TargetMode="External" Id="rId184" /><Relationship Type="http://schemas.openxmlformats.org/officeDocument/2006/relationships/hyperlink" Target="https://www.google.com/maps/search/?api=1&amp;query=Smalls%20Jazz%20Club%2C%20183%20W%2010th%20St%2C%20New%20York" TargetMode="External" Id="rId185" /><Relationship Type="http://schemas.openxmlformats.org/officeDocument/2006/relationships/hyperlink" Target="https://www.google.com/maps/search/?api=1&amp;query=Village%20Vanguard%2C%20178%207th%20Ave%20South%2C%20New%20York" TargetMode="External" Id="rId186" /><Relationship Type="http://schemas.openxmlformats.org/officeDocument/2006/relationships/hyperlink" Target="https://www.google.com/maps/search/?api=1&amp;query=Barbes%2C%20376%209th%20St%2C%20Brooklyn%2C%20New%20York" TargetMode="External" Id="rId187" /><Relationship Type="http://schemas.openxmlformats.org/officeDocument/2006/relationships/hyperlink" Target="https://www.google.com/maps/search/?api=1&amp;query=Nublu%2C%20151%20Avenue%20C%2C%20piso%202%2C%20New%20York" TargetMode="External" Id="rId188" /><Relationship Type="http://schemas.openxmlformats.org/officeDocument/2006/relationships/hyperlink" Target="https://www.google.com/maps/search/?api=1&amp;query=FDR%20Four%20Freedoms%20Park%2C%201%20FDR%20Four%20Freedoms%20Park%2C%20Roosevelt%20Island%2C%20New%20York" TargetMode="External" Id="rId189" /><Relationship Type="http://schemas.openxmlformats.org/officeDocument/2006/relationships/hyperlink" Target="https://www.google.com/maps/search/?api=1&amp;query=Haughwout%20Building%2C%20488%20Broadway%2C%20New%20York" TargetMode="External" Id="rId190" /><Relationship Type="http://schemas.openxmlformats.org/officeDocument/2006/relationships/hyperlink" Target="https://www.google.com/maps/search/?api=1&amp;query=Hudson%20Yards%2C%2020%20Hudson%20Yards%2C%20New%20York" TargetMode="External" Id="rId191" /><Relationship Type="http://schemas.openxmlformats.org/officeDocument/2006/relationships/hyperlink" Target="https://www.google.com/maps/search/?api=1&amp;query=Lever%20House%2C%20390%20Park%20Ave%2C%20New%20York" TargetMode="External" Id="rId192" /><Relationship Type="http://schemas.openxmlformats.org/officeDocument/2006/relationships/hyperlink" Target="https://www.google.com/maps/search/?api=1&amp;query=Lincoln%20Center%20%28campus%20y%20plaza%29%2C%20Columbus%20Ave%20entre%2062%20y%2066%2C%20New%20York" TargetMode="External" Id="rId193" /><Relationship Type="http://schemas.openxmlformats.org/officeDocument/2006/relationships/hyperlink" Target="https://www.google.com/maps/search/?api=1&amp;query=Little%20Island%2C%20Pier%2055%2C%20Hudson%20River%20Park%2C%20W%2013th%20St%2C%20New%20York" TargetMode="External" Id="rId194" /><Relationship Type="http://schemas.openxmlformats.org/officeDocument/2006/relationships/hyperlink" Target="https://www.google.com/maps/search/?api=1&amp;query=Oculus%20/%20WTC%20Transportation%20Hub%2C%20Church%20St%20%26%20Fulton%20St%2C%20New%20York" TargetMode="External" Id="rId195" /><Relationship Type="http://schemas.openxmlformats.org/officeDocument/2006/relationships/hyperlink" Target="https://www.google.com/maps/search/?api=1&amp;query=Rockefeller%20Center%2C%2045%20Rockefeller%20Plaza%2C%20New%20York" TargetMode="External" Id="rId196" /><Relationship Type="http://schemas.openxmlformats.org/officeDocument/2006/relationships/hyperlink" Target="https://www.google.com/maps/search/?api=1&amp;query=Seagram%20Building%2C%20375%20Park%20Ave%2C%20New%20York" TargetMode="External" Id="rId197" /><Relationship Type="http://schemas.openxmlformats.org/officeDocument/2006/relationships/hyperlink" Target="https://www.google.com/maps/search/?api=1&amp;query=TWA%20Hotel%20%28terminal%20de%20Saarinen%29%2C%20One%20Idlewild%20Dr%2C%20JFK%2C%20New%20York" TargetMode="External" Id="rId198" /><Relationship Type="http://schemas.openxmlformats.org/officeDocument/2006/relationships/hyperlink" Target="https://www.google.com/maps/search/?api=1&amp;query=The%20Vessel%2C%2020%20Hudson%20Yards%2C%20New%20York" TargetMode="External" Id="rId199" /><Relationship Type="http://schemas.openxmlformats.org/officeDocument/2006/relationships/hyperlink" Target="https://www.google.com/maps/search/?api=1&amp;query=6%C2%BD%20Avenue%2C%206%201/2%20Ave%20%26%20W%2053rd%20St%2C%20New%20York" TargetMode="External" Id="rId200" /><Relationship Type="http://schemas.openxmlformats.org/officeDocument/2006/relationships/hyperlink" Target="https://www.google.com/maps/search/?api=1&amp;query=75%C2%BD%20Bedford%20Street%2C%2075%20Bedford%20St%2C%20New%20York" TargetMode="External" Id="rId201" /><Relationship Type="http://schemas.openxmlformats.org/officeDocument/2006/relationships/hyperlink" Target="https://www.google.com/maps/search/?api=1&amp;query=Amster%20Yard%20%28Instituto%20Cervantes%29%2C%20211%20E%2049th%20St%2C%20New%20York" TargetMode="External" Id="rId202" /><Relationship Type="http://schemas.openxmlformats.org/officeDocument/2006/relationships/hyperlink" Target="https://www.google.com/maps/search/?api=1&amp;query=Apollo%20Theater%2C%20253%20W%20125th%20St%2C%20New%20York" TargetMode="External" Id="rId203" /><Relationship Type="http://schemas.openxmlformats.org/officeDocument/2006/relationships/hyperlink" Target="https://www.google.com/maps/search/?api=1&amp;query=Cannon%27s%20Walk%2C%20New%20York" TargetMode="External" Id="rId204" /><Relationship Type="http://schemas.openxmlformats.org/officeDocument/2006/relationships/hyperlink" Target="https://www.google.com/maps/search/?api=1&amp;query=Charging%20Bull%2C%20Broadway%20y%20Morris%20St%2C%20New%20York" TargetMode="External" Id="rId205" /><Relationship Type="http://schemas.openxmlformats.org/officeDocument/2006/relationships/hyperlink" Target="https://www.google.com/maps/search/?api=1&amp;query=Cushman%20Row%2C%20406%20W%2020th%20St%2C%20New%20York" TargetMode="External" Id="rId206" /><Relationship Type="http://schemas.openxmlformats.org/officeDocument/2006/relationships/hyperlink" Target="https://www.google.com/maps/search/?api=1&amp;query=Doyers%20St%2C%20New%20York" TargetMode="External" Id="rId207" /><Relationship Type="http://schemas.openxmlformats.org/officeDocument/2006/relationships/hyperlink" Target="https://www.google.com/maps/search/?api=1&amp;query=Fraunces%20Tavern%2C%2054%20Pearl%20St%2C%20New%20York" TargetMode="External" Id="rId208" /><Relationship Type="http://schemas.openxmlformats.org/officeDocument/2006/relationships/hyperlink" Target="https://www.google.com/maps/search/?api=1&amp;query=Grove%20Court%2C%2010-12%20Grove%20St%2C%20New%20York" TargetMode="External" Id="rId209" /><Relationship Type="http://schemas.openxmlformats.org/officeDocument/2006/relationships/hyperlink" Target="https://www.google.com/maps/search/?api=1&amp;query=Henderson%20Place%2C%20Henderson%20Pl%2C%20E%2086th%20St%2C%20New%20York" TargetMode="External" Id="rId210" /><Relationship Type="http://schemas.openxmlformats.org/officeDocument/2006/relationships/hyperlink" Target="https://www.google.com/maps/search/?api=1&amp;query=Hotel%20Chelsea%2C%20222%20W%2023rd%20St%2C%20New%20York" TargetMode="External" Id="rId211" /><Relationship Type="http://schemas.openxmlformats.org/officeDocument/2006/relationships/hyperlink" Target="https://www.google.com/maps/search/?api=1&amp;query=Irish%20Hunger%20Memorial%2C%20Vesey%20St%20%26%20North%20End%20Ave%2C%20New%20York" TargetMode="External" Id="rId212" /><Relationship Type="http://schemas.openxmlformats.org/officeDocument/2006/relationships/hyperlink" Target="https://www.google.com/maps/search/?api=1&amp;query=Jane%27s%20Carousel%2C%20Brooklyn%20Bridge%20Park%2C%20Old%20Dock%20St%2C%20New%20York" TargetMode="External" Id="rId213" /><Relationship Type="http://schemas.openxmlformats.org/officeDocument/2006/relationships/hyperlink" Target="https://www.google.com/maps/search/?api=1&amp;query=Patchin%20Place%2C%20Patchin%20Place%2C%20W%2010th%20St%2C%20New%20York" TargetMode="External" Id="rId214" /><Relationship Type="http://schemas.openxmlformats.org/officeDocument/2006/relationships/hyperlink" Target="https://www.google.com/maps/search/?api=1&amp;query=Pomander%20Walk%2C%20261%20W%2094th%20St%2C%20New%20York" TargetMode="External" Id="rId215" /><Relationship Type="http://schemas.openxmlformats.org/officeDocument/2006/relationships/hyperlink" Target="https://www.google.com/maps/search/?api=1&amp;query=Prince%20St%2C%20New%20York" TargetMode="External" Id="rId216" /><Relationship Type="http://schemas.openxmlformats.org/officeDocument/2006/relationships/hyperlink" Target="https://www.google.com/maps/search/?api=1&amp;query=Roosevelt%20Island%20Lighthouse%2C%20New%20York" TargetMode="External" Id="rId217" /><Relationship Type="http://schemas.openxmlformats.org/officeDocument/2006/relationships/hyperlink" Target="https://www.google.com/maps/search/?api=1&amp;query=Smallpox%20Memorial%20Hospital%2C%20New%20York" TargetMode="External" Id="rId218" /><Relationship Type="http://schemas.openxmlformats.org/officeDocument/2006/relationships/hyperlink" Target="https://www.google.com/maps/search/?api=1&amp;query=Sniffen%20Court%2C%20150%20E%2036th%20St%2C%20New%20York" TargetMode="External" Id="rId219" /><Relationship Type="http://schemas.openxmlformats.org/officeDocument/2006/relationships/hyperlink" Target="https://www.google.com/maps/search/?api=1&amp;query=Stone%20St%2C%20New%20York" TargetMode="External" Id="rId220" /><Relationship Type="http://schemas.openxmlformats.org/officeDocument/2006/relationships/hyperlink" Target="https://www.google.com/maps/search/?api=1&amp;query=Stonewall%20National%20Monument%2C%2053%20Christopher%20St%2C%20New%20York" TargetMode="External" Id="rId221" /><Relationship Type="http://schemas.openxmlformats.org/officeDocument/2006/relationships/hyperlink" Target="https://www.google.com/maps/search/?api=1&amp;query=Strivers%27%20Row%2C%20W%20138th-139th%20St%20entre%20Adam%20Clayton%20Powell%20y%20Frederick%20Douglass%2C%20New%20York" TargetMode="External" Id="rId222" /><Relationship Type="http://schemas.openxmlformats.org/officeDocument/2006/relationships/hyperlink" Target="https://www.google.com/maps/search/?api=1&amp;query=The%20Girl%20Puzzle%20%28Nellie%20Bly%29%2C%20Lighthouse%20Park%2C%20Roosevelt%20Island%2C%20New%20York" TargetMode="External" Id="rId223" /><Relationship Type="http://schemas.openxmlformats.org/officeDocument/2006/relationships/hyperlink" Target="https://www.google.com/maps/search/?api=1&amp;query=The%20Octagon%2C%20888%20Main%20St%2C%20Roosevelt%20Island%2C%20New%20York" TargetMode="External" Id="rId224" /><Relationship Type="http://schemas.openxmlformats.org/officeDocument/2006/relationships/hyperlink" Target="https://www.google.com/maps/search/?api=1&amp;query=Vander%20Ende-Onderdonk%20House%2C%201820%20Flushing%20Ave%2C%20Ridgewood%2C%20New%20York" TargetMode="External" Id="rId225" /><Relationship Type="http://schemas.openxmlformats.org/officeDocument/2006/relationships/hyperlink" Target="https://www.google.com/maps/search/?api=1&amp;query=Wall%20St%2C%20New%20York" TargetMode="External" Id="rId226" /><Relationship Type="http://schemas.openxmlformats.org/officeDocument/2006/relationships/hyperlink" Target="https://www.google.com/maps/search/?api=1&amp;query=Washington%20Mews%2C%20Washington%20Mews%2C%20entre%205th%20Ave%20y%20University%20Pl%2C%20New%20York" TargetMode="External" Id="rId227" /><Relationship Type="http://schemas.openxmlformats.org/officeDocument/2006/relationships/hyperlink" Target="https://www.google.com/maps/search/?api=1&amp;query=Washington%20St%20%28la%20foto%20de%20DUMBO%29%2C%20Washington%20St%20%26%20Water%20St%2C%20New%20York" TargetMode="External" Id="rId228" /><Relationship Type="http://schemas.openxmlformats.org/officeDocument/2006/relationships/hyperlink" Target="https://www.google.com/maps/search/?api=1&amp;query=Westbeth%20Artists%20Housing%2C%2055%20Bethune%20St%2C%20New%20York" TargetMode="External" Id="rId229" /><Relationship Type="http://schemas.openxmlformats.org/officeDocument/2006/relationships/hyperlink" Target="https://www.google.com/maps/search/?api=1&amp;query=Ford%20Foundation%20Atrium%2C%20320%20E%2043rd%20St%2C%20New%20York" TargetMode="External" Id="rId230" /><Relationship Type="http://schemas.openxmlformats.org/officeDocument/2006/relationships/hyperlink" Target="https://www.google.com/maps/search/?api=1&amp;query=Globo%20del%20Daily%20News%20Building%2C%20220%20E%2042nd%20St%2C%20New%20York" TargetMode="External" Id="rId231" /><Relationship Type="http://schemas.openxmlformats.org/officeDocument/2006/relationships/hyperlink" Target="https://www.google.com/maps/search/?api=1&amp;query=Grand%20Central%20Terminal%2C%2089%20E%2042nd%20St%2C%20New%20York" TargetMode="External" Id="rId232" /><Relationship Type="http://schemas.openxmlformats.org/officeDocument/2006/relationships/hyperlink" Target="https://www.google.com/maps/search/?api=1&amp;query=Lobby%20de%2070%20Pine%20Street%2C%2070%20Pine%20St%2C%20New%20York" TargetMode="External" Id="rId233" /><Relationship Type="http://schemas.openxmlformats.org/officeDocument/2006/relationships/hyperlink" Target="https://www.google.com/maps/search/?api=1&amp;query=Lobby%20del%20Chanin%20Building%2C%20122%20E%2042nd%20St%2C%20New%20York" TargetMode="External" Id="rId234" /><Relationship Type="http://schemas.openxmlformats.org/officeDocument/2006/relationships/hyperlink" Target="https://www.google.com/maps/search/?api=1&amp;query=Lobby%20del%20Chrysler%20Building%2C%20405%20Lexington%20Ave%2C%20New%20York" TargetMode="External" Id="rId235" /><Relationship Type="http://schemas.openxmlformats.org/officeDocument/2006/relationships/hyperlink" Target="https://www.google.com/maps/search/?api=1&amp;query=New%20York%20Public%20Library%20%28Schwarzman%29%2C%20476%205th%20Ave%2C%20New%20York" TargetMode="External" Id="rId236" /><Relationship Type="http://schemas.openxmlformats.org/officeDocument/2006/relationships/hyperlink" Target="https://www.google.com/maps/search/?api=1&amp;query=Park%20Avenue%20Armory%2C%20643%20Park%20Ave%2C%20New%20York" TargetMode="External" Id="rId237" /><Relationship Type="http://schemas.openxmlformats.org/officeDocument/2006/relationships/hyperlink" Target="https://www.google.com/maps/search/?api=1&amp;query=Wild%20Table%20of%20Love%2C%20New%20York" TargetMode="External" Id="rId238" /><Relationship Type="http://schemas.openxmlformats.org/officeDocument/2006/relationships/hyperlink" Target="https://www.google.com/maps/search/?api=1&amp;query=Puente%20de%20Brooklyn%2C%20New%20York" TargetMode="External" Id="rId239" /><Relationship Type="http://schemas.openxmlformats.org/officeDocument/2006/relationships/hyperlink" Target="https://www.google.com/maps/search/?api=1&amp;query=Basilica%20of%20St.%20Patrick%27s%20Old%20Cathedral%2C%20263%20Mulberry%20St%2C%20New%20York" TargetMode="External" Id="rId240" /><Relationship Type="http://schemas.openxmlformats.org/officeDocument/2006/relationships/hyperlink" Target="https://www.google.com/maps/search/?api=1&amp;query=Catedral%20de%20la%20Transfiguraci%C3%B3n%2C%20228%20N%2012th%20St%2C%20Brooklyn%2C%20New%20York" TargetMode="External" Id="rId241" /><Relationship Type="http://schemas.openxmlformats.org/officeDocument/2006/relationships/hyperlink" Target="https://www.google.com/maps/search/?api=1&amp;query=Cathedral%20of%20St.%20John%20the%20Divine%2C%201047%20Amsterdam%20Ave%2C%20New%20York" TargetMode="External" Id="rId242" /><Relationship Type="http://schemas.openxmlformats.org/officeDocument/2006/relationships/hyperlink" Target="https://www.google.com/maps/search/?api=1&amp;query=Mahayana%20Buddhist%20Temple%2C%20133%20Canal%20St%2C%20New%20York" TargetMode="External" Id="rId243" /><Relationship Type="http://schemas.openxmlformats.org/officeDocument/2006/relationships/hyperlink" Target="https://www.google.com/maps/search/?api=1&amp;query=Museum%20at%20Eldridge%20Street%2C%2012%20Eldridge%20St%2C%20New%20York" TargetMode="External" Id="rId244" /><Relationship Type="http://schemas.openxmlformats.org/officeDocument/2006/relationships/hyperlink" Target="https://www.google.com/maps/search/?api=1&amp;query=Plymouth%20Church%2C%2057%20Orange%20St%2C%20Brooklyn%2C%20New%20York" TargetMode="External" Id="rId245" /><Relationship Type="http://schemas.openxmlformats.org/officeDocument/2006/relationships/hyperlink" Target="https://www.google.com/maps/search/?api=1&amp;query=St.%20Bartholomew%27s%20Church%2C%20325%20Park%20Ave%2C%20New%20York" TargetMode="External" Id="rId246" /><Relationship Type="http://schemas.openxmlformats.org/officeDocument/2006/relationships/hyperlink" Target="https://www.google.com/maps/search/?api=1&amp;query=St.%20Patrick%27s%20Cathedral%2C%205th%20Ave%20y%20E%2050th%20St%2C%20New%20York" TargetMode="External" Id="rId247" /><Relationship Type="http://schemas.openxmlformats.org/officeDocument/2006/relationships/hyperlink" Target="https://www.google.com/maps/search/?api=1&amp;query=St.%20Paul%27s%20Chapel%2C%20209%20Broadway%2C%20New%20York" TargetMode="External" Id="rId248" /><Relationship Type="http://schemas.openxmlformats.org/officeDocument/2006/relationships/hyperlink" Target="https://www.google.com/maps/search/?api=1&amp;query=Trinity%20Church%2C%2089%20Broadway%2C%20New%20York" TargetMode="External" Id="rId249" /><Relationship Type="http://schemas.openxmlformats.org/officeDocument/2006/relationships/hyperlink" Target="https://www.google.com/maps/search/?api=1&amp;query=Artists%20%26%20Fleas%20Williamsburg%2C%2070%20N%207th%20St%2C%20New%20York" TargetMode="External" Id="rId250" /><Relationship Type="http://schemas.openxmlformats.org/officeDocument/2006/relationships/hyperlink" Target="https://www.google.com/maps/search/?api=1&amp;query=B%26H%20Photo%20Video%2C%20420%209th%20Ave%2C%20New%20York" TargetMode="External" Id="rId251" /><Relationship Type="http://schemas.openxmlformats.org/officeDocument/2006/relationships/hyperlink" Target="https://www.google.com/maps/search/?api=1&amp;query=Books%20Are%20Magic%2C%20122%20Montague%20St%2C%20Brooklyn%2C%20New%20York" TargetMode="External" Id="rId252" /><Relationship Type="http://schemas.openxmlformats.org/officeDocument/2006/relationships/hyperlink" Target="https://www.google.com/maps/search/?api=1&amp;query=C.O.%20Bigelow%20Chemists%2C%20414%206th%20Ave%2C%20New%20York" TargetMode="External" Id="rId253" /><Relationship Type="http://schemas.openxmlformats.org/officeDocument/2006/relationships/hyperlink" Target="https://www.google.com/maps/search/?api=1&amp;query=Economy%20Candy%2C%20108%20Rivington%20St%2C%20New%20York" TargetMode="External" Id="rId254" /><Relationship Type="http://schemas.openxmlformats.org/officeDocument/2006/relationships/hyperlink" Target="https://www.google.com/maps/search/?api=1&amp;query=HEATONIST%20Chelsea%20Market%2C%2075%209th%20Ave%20%28dentro%20del%20Chelsea%20Market%29%2C%20New%20York" TargetMode="External" Id="rId255" /><Relationship Type="http://schemas.openxmlformats.org/officeDocument/2006/relationships/hyperlink" Target="https://www.google.com/maps/search/?api=1&amp;query=HEATONIST%20Williamsburg%2C%20121%20Wythe%20Ave%2C%20Brooklyn%2C%20New%20York" TargetMode="External" Id="rId256" /><Relationship Type="http://schemas.openxmlformats.org/officeDocument/2006/relationships/hyperlink" Target="https://www.google.com/maps/search/?api=1&amp;query=Hell%27s%20Kitchen%20Flea%20Market%2C%20W%2039th%20St%20entre%209th%20y%2010th%20Ave%2C%20New%20York" TargetMode="External" Id="rId257" /><Relationship Type="http://schemas.openxmlformats.org/officeDocument/2006/relationships/hyperlink" Target="https://www.google.com/maps/search/?api=1&amp;query=Housing%20Works%20Bookstore%2C%20126%20Crosby%20St%2C%20New%20York" TargetMode="External" Id="rId258" /><Relationship Type="http://schemas.openxmlformats.org/officeDocument/2006/relationships/hyperlink" Target="https://www.google.com/maps/search/?api=1&amp;query=Louis%20Vuitton%2C%201%20E%2057th%20St%2C%20New%20York" TargetMode="External" Id="rId259" /><Relationship Type="http://schemas.openxmlformats.org/officeDocument/2006/relationships/hyperlink" Target="https://www.google.com/maps/search/?api=1&amp;query=M%26M%27S%20World%20New%20York%2C%201600%20Broadway%2C%20New%20York" TargetMode="External" Id="rId260" /><Relationship Type="http://schemas.openxmlformats.org/officeDocument/2006/relationships/hyperlink" Target="https://www.google.com/maps/search/?api=1&amp;query=McNally%20Jackson%20Books%2C%20134%20Prince%20St%2C%20New%20York" TargetMode="External" Id="rId261" /><Relationship Type="http://schemas.openxmlformats.org/officeDocument/2006/relationships/hyperlink" Target="https://www.google.com/maps/search/?api=1&amp;query=The%20Mills%20at%20Jersey%20Gardens%2C%20651%20Kapkowski%20Rd%2C%20Elizabeth%2C%20NJ%2C%20New%20York" TargetMode="External" Id="rId262" /><Relationship Type="http://schemas.openxmlformats.org/officeDocument/2006/relationships/hyperlink" Target="https://www.google.com/maps/search/?api=1&amp;query=Green-Wood%20Cemetery%2C%20500%2025th%20St%2C%20Brooklyn%2C%20New%20York" TargetMode="External" Id="rId263" /><Relationship Type="http://schemas.openxmlformats.org/officeDocument/2006/relationships/hyperlink" Target="https://www.google.com/maps/search/?api=1&amp;query=Inwood%20Hill%20Park%2C%20Inwood%20Hill%20Park%2C%20Manhattan%2C%20New%20York" TargetMode="External" Id="rId264" /><Relationship Type="http://schemas.openxmlformats.org/officeDocument/2006/relationships/hyperlink" Target="https://www.google.com/maps/search/?api=1&amp;query=New%20York%20Botanical%20Garden%2C%202900%20Southern%20Blvd%2C%20Bronx%2C%20New%20York" TargetMode="External" Id="rId265" /><Relationship Type="http://schemas.openxmlformats.org/officeDocument/2006/relationships/hyperlink" Target="https://www.google.com/maps/search/?api=1&amp;query=Wave%20Hill%2C%204900%20Independence%20Ave%2C%20Bronx%2C%20New%20York" TargetMode="External" Id="rId266" /><Relationship Type="http://schemas.openxmlformats.org/officeDocument/2006/relationships/hyperlink" Target="https://www.google.com/maps/search/?api=1&amp;query=Elizabeth%20Street%20Garden%2C%20Elizabeth%20St%20entre%20Prince%20y%20Spring%2C%20New%20York" TargetMode="External" Id="rId267" /><Relationship Type="http://schemas.openxmlformats.org/officeDocument/2006/relationships/hyperlink" Target="https://www.google.com/maps/search/?api=1&amp;query=Socrates%20Sculpture%20Park%2C%2032-01%20Vernon%20Blvd%2C%20LIC%2C%20New%20York" TargetMode="External" Id="rId268" /><Relationship Type="http://schemas.openxmlformats.org/officeDocument/2006/relationships/hyperlink" Target="https://www.google.com/maps/search/?api=1&amp;query=Astoria%20Park%2C%2019th%20St%20%26%2023rd%20Ave%2C%20Astoria%2C%20New%20York" TargetMode="External" Id="rId269" /><Relationship Type="http://schemas.openxmlformats.org/officeDocument/2006/relationships/hyperlink" Target="https://www.google.com/maps/search/?api=1&amp;query=Battery%20Park%2C%20New%20York" TargetMode="External" Id="rId270" /><Relationship Type="http://schemas.openxmlformats.org/officeDocument/2006/relationships/hyperlink" Target="https://www.google.com/maps/search/?api=1&amp;query=Brooklyn%20Bridge%20Park%2C%20334%20Furman%20St%2C%20Brooklyn%2C%20New%20York" TargetMode="External" Id="rId271" /><Relationship Type="http://schemas.openxmlformats.org/officeDocument/2006/relationships/hyperlink" Target="https://www.google.com/maps/search/?api=1&amp;query=Bryant%20Park%2C%20Bryant%20Park%2C%20New%20York%2C%20New%20York" TargetMode="External" Id="rId272" /><Relationship Type="http://schemas.openxmlformats.org/officeDocument/2006/relationships/hyperlink" Target="https://www.google.com/maps/search/?api=1&amp;query=Carl%20Schurz%20Park%2C%20East%20End%20Ave%20y%20E%2086th%20St%2C%20New%20York" TargetMode="External" Id="rId273" /><Relationship Type="http://schemas.openxmlformats.org/officeDocument/2006/relationships/hyperlink" Target="https://www.google.com/maps/search/?api=1&amp;query=Central%20Park%2C%20Central%20Park%2C%20New%20York%2C%20New%20York" TargetMode="External" Id="rId274" /><Relationship Type="http://schemas.openxmlformats.org/officeDocument/2006/relationships/hyperlink" Target="https://www.google.com/maps/search/?api=1&amp;query=Clinton%20Community%20Garden%2C%20434%20W%2048th%20St%2C%20New%20York" TargetMode="External" Id="rId275" /><Relationship Type="http://schemas.openxmlformats.org/officeDocument/2006/relationships/hyperlink" Target="https://www.google.com/maps/search/?api=1&amp;query=Columbus%20Park%2C%20Columbus%20Park%2C%20Baxter%20St%2C%20New%20York" TargetMode="External" Id="rId276" /><Relationship Type="http://schemas.openxmlformats.org/officeDocument/2006/relationships/hyperlink" Target="https://www.google.com/maps/search/?api=1&amp;query=Greenacre%20Park%2C%20217%20E%2051st%20St%2C%20New%20York" TargetMode="External" Id="rId277" /><Relationship Type="http://schemas.openxmlformats.org/officeDocument/2006/relationships/hyperlink" Target="https://www.google.com/maps/search/?api=1&amp;query=Hudson%20River%20Park%20Pier%2084%2C%20W%2044th%20St%20y%2012th%20Ave%2C%20New%20York" TargetMode="External" Id="rId278" /><Relationship Type="http://schemas.openxmlformats.org/officeDocument/2006/relationships/hyperlink" Target="https://www.google.com/maps/search/?api=1&amp;query=Paley%20Park%2C%203%20E%2053rd%20St%2C%20New%20York" TargetMode="External" Id="rId279" /><Relationship Type="http://schemas.openxmlformats.org/officeDocument/2006/relationships/hyperlink" Target="https://www.google.com/maps/search/?api=1&amp;query=Prospect%20Park%2C%20New%20York" TargetMode="External" Id="rId280" /><Relationship Type="http://schemas.openxmlformats.org/officeDocument/2006/relationships/hyperlink" Target="https://www.google.com/maps/search/?api=1&amp;query=Straus%20Park%2C%20Broadway%20%26%20W%20106th%20St%2C%20New%20York" TargetMode="External" Id="rId281" /><Relationship Type="http://schemas.openxmlformats.org/officeDocument/2006/relationships/hyperlink" Target="https://www.google.com/maps/search/?api=1&amp;query=Tudor%20City%20Greens%2C%20Tudor%20City%20Pl%2C%20New%20York" TargetMode="External" Id="rId282" /><Relationship Type="http://schemas.openxmlformats.org/officeDocument/2006/relationships/hyperlink" Target="https://www.google.com/maps/search/?api=1&amp;query=Washington%20Square%20Park%2C%20Washington%20Square%20Park%2C%20New%20York" TargetMode="External" Id="rId283" /><Relationship Type="http://schemas.openxmlformats.org/officeDocument/2006/relationships/hyperlink" Target="https://www.google.com/maps/search/?api=1&amp;query=The%20High%20Line%2C%20High%20Line%2C%20Gansevoort%20St%20a%20W%2034th%20St%2C%20New%20York" TargetMode="External" Id="rId284" /><Relationship Type="http://schemas.openxmlformats.org/officeDocument/2006/relationships/hyperlink" Target="https://www.google.com/maps/search/?api=1&amp;query=US%20Open%20%28primeras%20rondas%29%2C%20USTA%20Billie%20Jean%20King%20NTC%2C%20Flushing%2C%20New%20York" TargetMode="External" Id="rId285" /><Relationship Type="http://schemas.openxmlformats.org/officeDocument/2006/relationships/hyperlink" Target="https://www.google.com/maps/search/?api=1&amp;query=Charlie%20Parker%20Jazz%20Festival%20-%20East%20Village%2C%20Tompkins%20Square%20Park%2C%20New%20York" TargetMode="External" Id="rId286" /><Relationship Type="http://schemas.openxmlformats.org/officeDocument/2006/relationships/hyperlink" Target="https://www.google.com/maps/search/?api=1&amp;query=Charlie%20Parker%20Jazz%20Festival%20-%20Harlem%2C%20Marcus%20Garvey%20Park%2C%20Harlem%2C%20New%20York" TargetMode="External" Id="rId287" /><Relationship Type="http://schemas.openxmlformats.org/officeDocument/2006/relationships/hyperlink" Target="https://www.google.com/maps/search/?api=1&amp;query=SummerStage%3A%20Christian%20McBride%20%28gratis%29%2C%20Rumsey%20Playfield%2C%20Central%20Park%2C%20New%20York" TargetMode="External" Id="rId288" /><Relationship Type="http://schemas.openxmlformats.org/officeDocument/2006/relationships/hyperlink" Target="https://www.google.com/maps/search/?api=1&amp;query=NY%20Caribbean%20Carnival%20Week%20%28Panorama%29%2C%20Brooklyn%20Museum%2C%20200%20Eastern%20Pkwy%2C%20New%20York" TargetMode="External" Id="rId289" /><Relationship Type="http://schemas.openxmlformats.org/officeDocument/2006/relationships/hyperlink" Target="https://www.google.com/maps/search/?api=1&amp;query=Paint%20%27N%20Pour%2C%20New%20York" TargetMode="External" Id="rId290" /><Relationship Type="http://schemas.openxmlformats.org/officeDocument/2006/relationships/hyperlink" Target="https://www.google.com/maps/search/?api=1&amp;query=Time%20To%20Paint%20-%20Painting%20Studio%2C%20New%20York" TargetMode="External" Id="rId291" /><Relationship Type="http://schemas.openxmlformats.org/officeDocument/2006/relationships/hyperlink" Target="https://www.google.com/maps/search/?api=1&amp;query=Green-Wood%20Discover%20Trolley%20Tour%2C%20500%2025th%20St%2C%20Brooklyn%2C%20New%20York" TargetMode="External" Id="rId292" /><Relationship Type="http://schemas.openxmlformats.org/officeDocument/2006/relationships/hyperlink" Target="https://www.google.com/maps/search/?api=1&amp;query=Hamilton%2C%20Richard%20Rodgers%20Theatre%2C%20226%20W%2046th%20St%2C%20New%20York" TargetMode="External" Id="rId293" /><Relationship Type="http://schemas.openxmlformats.org/officeDocument/2006/relationships/hyperlink" Target="https://www.google.com/maps/search/?api=1&amp;query=Maybe%20Happy%20Ending%2C%20Belasco%20Theatre%2C%20111%20W%2044th%20St%2C%20New%20York" TargetMode="External" Id="rId294" /><Relationship Type="http://schemas.openxmlformats.org/officeDocument/2006/relationships/hyperlink" Target="https://www.google.com/maps/search/?api=1&amp;query=Moulin%20Rouge%21%20%28ULTIMAS%20FUNCIONES%29%2C%20Al%20Hirschfeld%20Theatre%2C%20302%20W%2045th%20St%2C%20New%20York" TargetMode="External" Id="rId295" /><Relationship Type="http://schemas.openxmlformats.org/officeDocument/2006/relationships/hyperlink" Target="https://www.google.com/maps/search/?api=1&amp;query=Operation%20Mincemeat%2C%20John%20Golden%20Theatre%2C%20252%20W%2045th%20St%2C%20New%20York" TargetMode="External" Id="rId296" /><Relationship Type="http://schemas.openxmlformats.org/officeDocument/2006/relationships/hyperlink" Target="https://www.google.com/maps/search/?api=1&amp;query=Little%20Shop%20of%20Horrors%20%28Off-Broadway%29%2C%20Westside%20Theatre%2C%20407%20W%2043rd%20St%2C%20New%20York" TargetMode="External" Id="rId297" /><Relationship Type="http://schemas.openxmlformats.org/officeDocument/2006/relationships/hyperlink" Target="https://www.google.com/maps/search/?api=1&amp;query=Stranger%20Things%3A%20The%20First%20Shadow%20%28play%29%2C%20Marquis%20Theatre%2C%20210%20W%2046th%20St%2C%20New%20York" TargetMode="External" Id="rId298" /><Relationship Type="http://schemas.openxmlformats.org/officeDocument/2006/relationships/hyperlink" Target="https://www.google.com/maps/search/?api=1&amp;query=TKTS%20Lincoln%20Center%2C%2061%20W%2062nd%20St%2C%20New%20York" TargetMode="External" Id="rId299" /><Relationship Type="http://schemas.openxmlformats.org/officeDocument/2006/relationships/hyperlink" Target="https://www.google.com/maps/search/?api=1&amp;query=NYC%20Ferry%20DUMBO%20%E2%86%92%20Wall%20St%2C%20New%20York" TargetMode="External" Id="rId300" /><Relationship Type="http://schemas.openxmlformats.org/officeDocument/2006/relationships/hyperlink" Target="https://www.google.com/maps/search/?api=1&amp;query=Hotel%20Ink48%20%2829-31%20ago%29%2C%20653%2011th%20Ave%2C%20New%20York" TargetMode="External" Id="rId301" /><Relationship Type="http://schemas.openxmlformats.org/officeDocument/2006/relationships/hyperlink" Target="https://www.google.com/maps/search/?api=1&amp;query=Hotel%20The%20Beacon%20%283-6%20sep%29%2C%202130%20Broadway%2C%20New%20York" TargetMode="External" Id="rId302" /><Relationship Type="http://schemas.openxmlformats.org/officeDocument/2006/relationships/hyperlink" Target="https://www.google.com/maps/search/?api=1&amp;query=JGSTAY%20SoHo%20%28JP%3A%2031%20ago-2%20sep%29%2C%20120%20Lafayette%20St%2C%20NY%2010013%2C%20New%20York" TargetMode="External" Id="rId303"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30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8"/>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6" t="inlineStr">
        <is>
          <t>—</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7" t="inlineStr">
        <is>
          <t>Día 9 · dom 6/9</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7" t="inlineStr">
        <is>
          <t>Día 6 · jue 3/9</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Bubby's Tribeca</t>
        </is>
      </c>
      <c r="B87" s="10" t="inlineStr">
        <is>
          <t>Café y brunch</t>
        </is>
      </c>
      <c r="C87" s="11" t="inlineStr">
        <is>
          <t>Comida</t>
        </is>
      </c>
      <c r="D87" s="11" t="inlineStr">
        <is>
          <t>Tribeca</t>
        </is>
      </c>
      <c r="E87" s="11" t="inlineStr">
        <is>
          <t>Manhattan</t>
        </is>
      </c>
      <c r="F87" s="12" t="n">
        <v>1</v>
      </c>
      <c r="G87" s="12" t="n">
        <v>1</v>
      </c>
      <c r="H87" s="13">
        <f>IF(AND(F87=2,G87=2),"AMBOS",IF(AND(F87=2,G87&lt;2),"solo JP",IF(AND(F87&lt;2,G87=2),"solo Thais","-")))</f>
        <v/>
      </c>
      <c r="I87" s="14" t="n">
        <v>30</v>
      </c>
      <c r="J87" s="15" t="n">
        <v>1.2</v>
      </c>
      <c r="K87" s="13" t="inlineStr">
        <is>
          <t>no</t>
        </is>
      </c>
      <c r="L87" s="16" t="inlineStr">
        <is>
          <t>—</t>
        </is>
      </c>
      <c r="M87" s="11" t="inlineStr">
        <is>
          <t>—</t>
        </is>
      </c>
      <c r="N87" s="16" t="inlineStr">
        <is>
          <t>—</t>
        </is>
      </c>
      <c r="O87" s="16" t="inlineStr">
        <is>
          <t>—</t>
        </is>
      </c>
      <c r="P87" s="16" t="inlineStr">
        <is>
          <t>Franklin St (1), Canal St (A,C,E)</t>
        </is>
      </c>
      <c r="Q87" s="16" t="inlineStr">
        <is>
          <t>Brunch americano desde 1990 en la misma esquina de Tribeca, con las tartas que le dieron el nombre. Abre 8:00. OJO: la sucursal del High Line cerro, esta es la que queda.</t>
        </is>
      </c>
      <c r="R87" s="16" t="inlineStr">
        <is>
          <t>120 Hudson St</t>
        </is>
      </c>
      <c r="S87" s="16" t="inlineStr">
        <is>
          <t>—</t>
        </is>
      </c>
      <c r="T87" s="18" t="inlineStr">
        <is>
          <t>Abrir ↗</t>
        </is>
      </c>
      <c r="U87" s="21" t="inlineStr">
        <is>
          <t>otros</t>
        </is>
      </c>
      <c r="V87" s="20" t="inlineStr"/>
    </row>
    <row r="88" ht="46" customHeight="1">
      <c r="A88" s="9" t="inlineStr">
        <is>
          <t>Culture Espresso</t>
        </is>
      </c>
      <c r="B88" s="10" t="inlineStr">
        <is>
          <t>Café y brunch</t>
        </is>
      </c>
      <c r="C88" s="11" t="inlineStr">
        <is>
          <t>Comida</t>
        </is>
      </c>
      <c r="D88" s="11" t="inlineStr">
        <is>
          <t>Midtown</t>
        </is>
      </c>
      <c r="E88" s="11" t="inlineStr">
        <is>
          <t>Manhattan</t>
        </is>
      </c>
      <c r="F88" s="12" t="n">
        <v>1</v>
      </c>
      <c r="G88" s="12" t="n">
        <v>1</v>
      </c>
      <c r="H88" s="13">
        <f>IF(AND(F88=2,G88=2),"AMBOS",IF(AND(F88=2,G88&lt;2),"solo JP",IF(AND(F88&lt;2,G88=2),"solo Thais","-")))</f>
        <v/>
      </c>
      <c r="I88" s="14" t="n">
        <v>8</v>
      </c>
      <c r="J88" s="15" t="n">
        <v>0.4</v>
      </c>
      <c r="K88" s="13" t="inlineStr">
        <is>
          <t>no</t>
        </is>
      </c>
      <c r="L88" s="16" t="inlineStr">
        <is>
          <t>—</t>
        </is>
      </c>
      <c r="M88" s="11" t="inlineStr">
        <is>
          <t>—</t>
        </is>
      </c>
      <c r="N88" s="16" t="inlineStr">
        <is>
          <t>—</t>
        </is>
      </c>
      <c r="O88" s="16" t="inlineStr">
        <is>
          <t>—</t>
        </is>
      </c>
      <c r="P88" s="16" t="inlineStr">
        <is>
          <t>34 St-Herald Sq (B,D,F,M,N,Q,R,W)</t>
        </is>
      </c>
      <c r="Q88" s="16" t="inlineStr">
        <is>
          <t>Café pequeño famoso por su cookie de chocolate, que compite en serio con Levain.</t>
        </is>
      </c>
      <c r="R88" s="16" t="inlineStr">
        <is>
          <t>72 W 38th St</t>
        </is>
      </c>
      <c r="S88" s="16" t="inlineStr">
        <is>
          <t>—</t>
        </is>
      </c>
      <c r="T88" s="18" t="inlineStr">
        <is>
          <t>Abrir ↗</t>
        </is>
      </c>
      <c r="U88" s="19" t="inlineStr">
        <is>
          <t>lista google</t>
        </is>
      </c>
      <c r="V88" s="20" t="inlineStr"/>
    </row>
    <row r="89" ht="46" customHeight="1">
      <c r="A89" s="9" t="inlineStr">
        <is>
          <t>Jack's Wife Freda</t>
        </is>
      </c>
      <c r="B89" s="10" t="inlineStr">
        <is>
          <t>Café y brunch</t>
        </is>
      </c>
      <c r="C89" s="11" t="inlineStr">
        <is>
          <t>Comida</t>
        </is>
      </c>
      <c r="D89" s="11" t="inlineStr">
        <is>
          <t>SoHo</t>
        </is>
      </c>
      <c r="E89" s="11" t="inlineStr">
        <is>
          <t>Manhattan</t>
        </is>
      </c>
      <c r="F89" s="12" t="n">
        <v>1</v>
      </c>
      <c r="G89" s="12" t="n">
        <v>1</v>
      </c>
      <c r="H89" s="13">
        <f>IF(AND(F89=2,G89=2),"AMBOS",IF(AND(F89=2,G89&lt;2),"solo JP",IF(AND(F89&lt;2,G89=2),"solo Thais","-")))</f>
        <v/>
      </c>
      <c r="I89" s="14" t="n">
        <v>30</v>
      </c>
      <c r="J89" s="15" t="n">
        <v>1</v>
      </c>
      <c r="K89" s="13" t="inlineStr">
        <is>
          <t>SÍ</t>
        </is>
      </c>
      <c r="L89" s="16" t="inlineStr">
        <is>
          <t>—</t>
        </is>
      </c>
      <c r="M89" s="11" t="inlineStr">
        <is>
          <t>—</t>
        </is>
      </c>
      <c r="N89" s="16" t="inlineStr">
        <is>
          <t>—</t>
        </is>
      </c>
      <c r="O89" s="16" t="inlineStr">
        <is>
          <t>—</t>
        </is>
      </c>
      <c r="P89" s="16" t="inlineStr">
        <is>
          <t>Spring St (6)</t>
        </is>
      </c>
      <c r="Q89" s="16" t="inlineStr">
        <is>
          <t>Brunch sudafricano-israelí, chico y siempre lleno. A dos cuadras del JGStay.</t>
        </is>
      </c>
      <c r="R89" s="16" t="inlineStr">
        <is>
          <t>224 Lafayette St</t>
        </is>
      </c>
      <c r="S89" s="16" t="inlineStr">
        <is>
          <t>—</t>
        </is>
      </c>
      <c r="T89" s="18" t="inlineStr">
        <is>
          <t>Abrir ↗</t>
        </is>
      </c>
      <c r="U89" s="19" t="inlineStr">
        <is>
          <t>lista google</t>
        </is>
      </c>
      <c r="V89" s="20" t="inlineStr"/>
    </row>
    <row r="90" ht="46" customHeight="1">
      <c r="A90" s="9" t="inlineStr">
        <is>
          <t>Sarabeth's Central Park South</t>
        </is>
      </c>
      <c r="B90" s="10" t="inlineStr">
        <is>
          <t>Café y brunch</t>
        </is>
      </c>
      <c r="C90" s="11" t="inlineStr">
        <is>
          <t>Comida</t>
        </is>
      </c>
      <c r="D90" s="11" t="inlineStr">
        <is>
          <t>Midtown</t>
        </is>
      </c>
      <c r="E90" s="11" t="inlineStr">
        <is>
          <t>Manhattan</t>
        </is>
      </c>
      <c r="F90" s="12" t="n">
        <v>1</v>
      </c>
      <c r="G90" s="12" t="n">
        <v>1</v>
      </c>
      <c r="H90" s="13">
        <f>IF(AND(F90=2,G90=2),"AMBOS",IF(AND(F90=2,G90&lt;2),"solo JP",IF(AND(F90&lt;2,G90=2),"solo Thais","-")))</f>
        <v/>
      </c>
      <c r="I90" s="14" t="n">
        <v>35</v>
      </c>
      <c r="J90" s="15" t="n">
        <v>1</v>
      </c>
      <c r="K90" s="13" t="inlineStr">
        <is>
          <t>SÍ</t>
        </is>
      </c>
      <c r="L90" s="16" t="inlineStr">
        <is>
          <t>—</t>
        </is>
      </c>
      <c r="M90" s="11" t="inlineStr">
        <is>
          <t>—</t>
        </is>
      </c>
      <c r="N90" s="16" t="inlineStr">
        <is>
          <t>—</t>
        </is>
      </c>
      <c r="O90" s="16" t="inlineStr">
        <is>
          <t>—</t>
        </is>
      </c>
      <c r="P90" s="16" t="inlineStr">
        <is>
          <t>59 St-Columbus Circle (1,A,B,C,D)</t>
        </is>
      </c>
      <c r="Q90" s="16" t="inlineStr">
        <is>
          <t>El brunch clásico del Upper East/Central Park South. Mermeladas propias, cola los domingos.</t>
        </is>
      </c>
      <c r="R90" s="16" t="inlineStr">
        <is>
          <t>40 Central Park S</t>
        </is>
      </c>
      <c r="S90" s="16" t="inlineStr">
        <is>
          <t>—</t>
        </is>
      </c>
      <c r="T90" s="18" t="inlineStr">
        <is>
          <t>Abrir ↗</t>
        </is>
      </c>
      <c r="U90" s="19" t="inlineStr">
        <is>
          <t>lista google</t>
        </is>
      </c>
      <c r="V90" s="20" t="inlineStr"/>
    </row>
    <row r="91" ht="46" customHeight="1">
      <c r="A91" s="9" t="inlineStr">
        <is>
          <t>Starbucks Reserve Roastery</t>
        </is>
      </c>
      <c r="B91" s="10" t="inlineStr">
        <is>
          <t>Café y brunch</t>
        </is>
      </c>
      <c r="C91" s="11" t="inlineStr">
        <is>
          <t>Comida</t>
        </is>
      </c>
      <c r="D91" s="11" t="inlineStr">
        <is>
          <t>Chelsea</t>
        </is>
      </c>
      <c r="E91" s="11" t="inlineStr">
        <is>
          <t>Manhattan</t>
        </is>
      </c>
      <c r="F91" s="12" t="n">
        <v>1</v>
      </c>
      <c r="G91" s="12" t="n">
        <v>1</v>
      </c>
      <c r="H91" s="13">
        <f>IF(AND(F91=2,G91=2),"AMBOS",IF(AND(F91=2,G91&lt;2),"solo JP",IF(AND(F91&lt;2,G91=2),"solo Thais","-")))</f>
        <v/>
      </c>
      <c r="I91" s="14" t="n">
        <v>15</v>
      </c>
      <c r="J91" s="15" t="n">
        <v>0.75</v>
      </c>
      <c r="K91" s="13" t="inlineStr">
        <is>
          <t>SÍ</t>
        </is>
      </c>
      <c r="L91" s="16" t="inlineStr">
        <is>
          <t>—</t>
        </is>
      </c>
      <c r="M91" s="11" t="inlineStr">
        <is>
          <t>—</t>
        </is>
      </c>
      <c r="N91" s="16" t="inlineStr">
        <is>
          <t>—</t>
        </is>
      </c>
      <c r="O91" s="16" t="inlineStr">
        <is>
          <t>—</t>
        </is>
      </c>
      <c r="P91" s="16" t="inlineStr">
        <is>
          <t>14 St (A,C,E)</t>
        </is>
      </c>
      <c r="Q91" s="16" t="inlineStr">
        <is>
          <t>La tostadora gigante a la vista: más fábrica-espectáculo que café. Entrar es gratis.</t>
        </is>
      </c>
      <c r="R91" s="16" t="inlineStr">
        <is>
          <t>61 9th Ave</t>
        </is>
      </c>
      <c r="S91" s="16" t="inlineStr">
        <is>
          <t>—</t>
        </is>
      </c>
      <c r="T91" s="18" t="inlineStr">
        <is>
          <t>Abrir ↗</t>
        </is>
      </c>
      <c r="U91" s="19" t="inlineStr">
        <is>
          <t>lista google</t>
        </is>
      </c>
      <c r="V91" s="20" t="inlineStr"/>
    </row>
    <row r="92" ht="46" customHeight="1">
      <c r="A92" s="9" t="inlineStr">
        <is>
          <t>The Grey Dog - Union Square</t>
        </is>
      </c>
      <c r="B92" s="10" t="inlineStr">
        <is>
          <t>Café y brunch</t>
        </is>
      </c>
      <c r="C92" s="11" t="inlineStr">
        <is>
          <t>Comida</t>
        </is>
      </c>
      <c r="D92" s="11" t="inlineStr">
        <is>
          <t>Union Square</t>
        </is>
      </c>
      <c r="E92" s="11" t="inlineStr">
        <is>
          <t>Manhattan</t>
        </is>
      </c>
      <c r="F92" s="12" t="n">
        <v>1</v>
      </c>
      <c r="G92" s="12" t="n">
        <v>1</v>
      </c>
      <c r="H92" s="13">
        <f>IF(AND(F92=2,G92=2),"AMBOS",IF(AND(F92=2,G92&lt;2),"solo JP",IF(AND(F92&lt;2,G92=2),"solo Thais","-")))</f>
        <v/>
      </c>
      <c r="I92" s="14" t="n">
        <v>25</v>
      </c>
      <c r="J92" s="15" t="n">
        <v>0.75</v>
      </c>
      <c r="K92" s="13" t="inlineStr">
        <is>
          <t>no</t>
        </is>
      </c>
      <c r="L92" s="16" t="inlineStr">
        <is>
          <t>—</t>
        </is>
      </c>
      <c r="M92" s="11" t="inlineStr">
        <is>
          <t>—</t>
        </is>
      </c>
      <c r="N92" s="16" t="inlineStr">
        <is>
          <t>—</t>
        </is>
      </c>
      <c r="O92" s="16" t="inlineStr">
        <is>
          <t>—</t>
        </is>
      </c>
      <c r="P92" s="16" t="inlineStr">
        <is>
          <t>14 St-Union Sq (4,5,6,L,N,Q,R,W)</t>
        </is>
      </c>
      <c r="Q92" s="16" t="inlineStr">
        <is>
          <t>Café-restaurante de barrio, desayuno todo el día, el antídoto al brunch de cola.</t>
        </is>
      </c>
      <c r="R92" s="16" t="inlineStr">
        <is>
          <t>90 University Pl</t>
        </is>
      </c>
      <c r="S92" s="16" t="inlineStr">
        <is>
          <t>—</t>
        </is>
      </c>
      <c r="T92" s="18" t="inlineStr">
        <is>
          <t>Abrir ↗</t>
        </is>
      </c>
      <c r="U92" s="19" t="inlineStr">
        <is>
          <t>lista google</t>
        </is>
      </c>
      <c r="V92" s="20" t="inlineStr"/>
    </row>
    <row r="93" ht="46" customHeight="1">
      <c r="A93" s="9" t="inlineStr">
        <is>
          <t>Double Chicken Please</t>
        </is>
      </c>
      <c r="B93" s="10" t="inlineStr">
        <is>
          <t>Coctelería</t>
        </is>
      </c>
      <c r="C93" s="11" t="inlineStr">
        <is>
          <t>Comida</t>
        </is>
      </c>
      <c r="D93" s="11" t="inlineStr">
        <is>
          <t>Lower East Side</t>
        </is>
      </c>
      <c r="E93" s="11" t="inlineStr">
        <is>
          <t>Manhattan</t>
        </is>
      </c>
      <c r="F93" s="12" t="n">
        <v>1</v>
      </c>
      <c r="G93" s="12" t="n">
        <v>1</v>
      </c>
      <c r="H93" s="13">
        <f>IF(AND(F93=2,G93=2),"AMBOS",IF(AND(F93=2,G93&lt;2),"solo JP",IF(AND(F93&lt;2,G93=2),"solo Thais","-")))</f>
        <v/>
      </c>
      <c r="I93" s="14" t="n">
        <v>40</v>
      </c>
      <c r="J93" s="15" t="n">
        <v>1.5</v>
      </c>
      <c r="K93" s="13" t="inlineStr">
        <is>
          <t>SÍ</t>
        </is>
      </c>
      <c r="L93" s="16" t="inlineStr">
        <is>
          <t>—</t>
        </is>
      </c>
      <c r="M93" s="11" t="inlineStr">
        <is>
          <t>—</t>
        </is>
      </c>
      <c r="N93" s="16" t="inlineStr">
        <is>
          <t>—</t>
        </is>
      </c>
      <c r="O93" s="16" t="inlineStr">
        <is>
          <t>—</t>
        </is>
      </c>
      <c r="P93" s="16" t="inlineStr">
        <is>
          <t>Delancey St-Essex St (F,J,M,Z)</t>
        </is>
      </c>
      <c r="Q93" s="16" t="inlineStr">
        <is>
          <t>Entra en las listas de mejores bares del mundo: cócteles que replican platos (el 'Cold Pizza' es real).</t>
        </is>
      </c>
      <c r="R93" s="16" t="inlineStr">
        <is>
          <t>115 Allen St</t>
        </is>
      </c>
      <c r="S93" s="16" t="inlineStr">
        <is>
          <t>—</t>
        </is>
      </c>
      <c r="T93" s="18" t="inlineStr">
        <is>
          <t>Abrir ↗</t>
        </is>
      </c>
      <c r="U93" s="19" t="inlineStr">
        <is>
          <t>lista google</t>
        </is>
      </c>
      <c r="V93" s="20" t="inlineStr"/>
    </row>
    <row r="94" ht="46" customHeight="1">
      <c r="A94" s="9" t="inlineStr">
        <is>
          <t>Adel's Famous Halal Food</t>
        </is>
      </c>
      <c r="B94" s="10" t="inlineStr">
        <is>
          <t>Comida al paso</t>
        </is>
      </c>
      <c r="C94" s="11" t="inlineStr">
        <is>
          <t>Comida</t>
        </is>
      </c>
      <c r="D94" s="11" t="inlineStr">
        <is>
          <t>Astoria</t>
        </is>
      </c>
      <c r="E94" s="11" t="inlineStr">
        <is>
          <t>Queens</t>
        </is>
      </c>
      <c r="F94" s="12" t="n">
        <v>1</v>
      </c>
      <c r="G94" s="12" t="n">
        <v>1</v>
      </c>
      <c r="H94" s="13">
        <f>IF(AND(F94=2,G94=2),"AMBOS",IF(AND(F94=2,G94&lt;2),"solo JP",IF(AND(F94&lt;2,G94=2),"solo Thais","-")))</f>
        <v/>
      </c>
      <c r="I94" s="14" t="n">
        <v>12</v>
      </c>
      <c r="J94" s="15" t="n">
        <v>0.5</v>
      </c>
      <c r="K94" s="13" t="inlineStr">
        <is>
          <t>no</t>
        </is>
      </c>
      <c r="L94" s="16" t="inlineStr">
        <is>
          <t>—</t>
        </is>
      </c>
      <c r="M94" s="11" t="inlineStr">
        <is>
          <t>—</t>
        </is>
      </c>
      <c r="N94" s="16" t="inlineStr">
        <is>
          <t>—</t>
        </is>
      </c>
      <c r="O94" s="16" t="inlineStr">
        <is>
          <t>—</t>
        </is>
      </c>
      <c r="P94" s="16" t="inlineStr">
        <is>
          <t>Broadway (N,W)</t>
        </is>
      </c>
      <c r="Q94" s="16" t="inlineStr">
        <is>
          <t>Carrito halal de culto: arroz amarillo, pollo y la salsa blanca, a precio de carrito.</t>
        </is>
      </c>
      <c r="R94" s="16" t="inlineStr"/>
      <c r="S94" s="16" t="inlineStr">
        <is>
          <t>—</t>
        </is>
      </c>
      <c r="T94" s="18" t="inlineStr">
        <is>
          <t>Abrir ↗</t>
        </is>
      </c>
      <c r="U94" s="19" t="inlineStr">
        <is>
          <t>lista google</t>
        </is>
      </c>
      <c r="V94" s="20" t="inlineStr"/>
    </row>
    <row r="95" ht="46" customHeight="1">
      <c r="A95" s="9" t="inlineStr">
        <is>
          <t>Bark Barbecue</t>
        </is>
      </c>
      <c r="B95" s="10" t="inlineStr">
        <is>
          <t>Comida al paso</t>
        </is>
      </c>
      <c r="C95" s="11" t="inlineStr">
        <is>
          <t>Comida</t>
        </is>
      </c>
      <c r="D95" s="11" t="inlineStr">
        <is>
          <t>Queens</t>
        </is>
      </c>
      <c r="E95" s="11" t="inlineStr">
        <is>
          <t>Queens</t>
        </is>
      </c>
      <c r="F95" s="12" t="n">
        <v>1</v>
      </c>
      <c r="G95" s="12" t="n">
        <v>1</v>
      </c>
      <c r="H95" s="13">
        <f>IF(AND(F95=2,G95=2),"AMBOS",IF(AND(F95=2,G95&lt;2),"solo JP",IF(AND(F95&lt;2,G95=2),"solo Thais","-")))</f>
        <v/>
      </c>
      <c r="I95" s="14" t="n">
        <v>25</v>
      </c>
      <c r="J95" s="15" t="n">
        <v>1</v>
      </c>
      <c r="K95" s="13" t="inlineStr">
        <is>
          <t>no</t>
        </is>
      </c>
      <c r="L95" s="16" t="inlineStr">
        <is>
          <t>—</t>
        </is>
      </c>
      <c r="M95" s="11" t="inlineStr">
        <is>
          <t>—</t>
        </is>
      </c>
      <c r="N95" s="16" t="inlineStr">
        <is>
          <t>—</t>
        </is>
      </c>
      <c r="O95" s="16" t="inlineStr">
        <is>
          <t>—</t>
        </is>
      </c>
      <c r="P95" s="16" t="inlineStr">
        <is>
          <t>-</t>
        </is>
      </c>
      <c r="Q95" s="16" t="inlineStr">
        <is>
          <t>Barbacoa texana con acento mexicano, de las mejor rankeadas de la ciudad.</t>
        </is>
      </c>
      <c r="R95" s="16" t="inlineStr"/>
      <c r="S95" s="16" t="inlineStr">
        <is>
          <t>—</t>
        </is>
      </c>
      <c r="T95" s="18" t="inlineStr">
        <is>
          <t>Abrir ↗</t>
        </is>
      </c>
      <c r="U95" s="19" t="inlineStr">
        <is>
          <t>lista google</t>
        </is>
      </c>
      <c r="V95" s="20" t="inlineStr"/>
    </row>
    <row r="96" ht="46" customHeight="1">
      <c r="A96" s="9" t="inlineStr">
        <is>
          <t>Casa Della Mozzarella</t>
        </is>
      </c>
      <c r="B96" s="10" t="inlineStr">
        <is>
          <t>Comida al paso</t>
        </is>
      </c>
      <c r="C96" s="11" t="inlineStr">
        <is>
          <t>Comida</t>
        </is>
      </c>
      <c r="D96" s="11" t="inlineStr">
        <is>
          <t>Belmont</t>
        </is>
      </c>
      <c r="E96" s="11" t="inlineStr">
        <is>
          <t>Bronx</t>
        </is>
      </c>
      <c r="F96" s="12" t="n">
        <v>2</v>
      </c>
      <c r="G96" s="12" t="n">
        <v>2</v>
      </c>
      <c r="H96" s="13">
        <f>IF(AND(F96=2,G96=2),"AMBOS",IF(AND(F96=2,G96&lt;2),"solo JP",IF(AND(F96&lt;2,G96=2),"solo Thais","-")))</f>
        <v/>
      </c>
      <c r="I96" s="14" t="n">
        <v>14</v>
      </c>
      <c r="J96" s="15" t="n">
        <v>0.5</v>
      </c>
      <c r="K96" s="13" t="inlineStr">
        <is>
          <t>no</t>
        </is>
      </c>
      <c r="L96" s="16" t="inlineStr">
        <is>
          <t>—</t>
        </is>
      </c>
      <c r="M96" s="11" t="inlineStr">
        <is>
          <t>—</t>
        </is>
      </c>
      <c r="N96" s="16" t="inlineStr">
        <is>
          <t>—</t>
        </is>
      </c>
      <c r="O96" s="16" t="inlineStr">
        <is>
          <t>—</t>
        </is>
      </c>
      <c r="P96" s="16" t="inlineStr">
        <is>
          <t>Fordham Rd (B,D,4)</t>
        </is>
      </c>
      <c r="Q96" s="16" t="inlineStr">
        <is>
          <t>Sandwich de mozzarella hecha esa manana con prosciutto y pimientos secos en pan de sesamo. Uno de los mejores sandwiches de la ciudad, y cuesta lo que una cerveza en Manhattan.</t>
        </is>
      </c>
      <c r="R96" s="16" t="inlineStr">
        <is>
          <t>604 E 187th St, Bronx</t>
        </is>
      </c>
      <c r="S96" s="16" t="inlineStr">
        <is>
          <t>—</t>
        </is>
      </c>
      <c r="T96" s="18" t="inlineStr">
        <is>
          <t>Abrir ↗</t>
        </is>
      </c>
      <c r="U96" s="19" t="inlineStr">
        <is>
          <t>lista google</t>
        </is>
      </c>
      <c r="V96" s="20" t="inlineStr"/>
    </row>
    <row r="97" ht="46" customHeight="1">
      <c r="A97" s="9" t="inlineStr">
        <is>
          <t>Cosenza's Fish Market</t>
        </is>
      </c>
      <c r="B97" s="10" t="inlineStr">
        <is>
          <t>Comida al paso</t>
        </is>
      </c>
      <c r="C97" s="11" t="inlineStr">
        <is>
          <t>Comida</t>
        </is>
      </c>
      <c r="D97" s="11" t="inlineStr">
        <is>
          <t>Belmont</t>
        </is>
      </c>
      <c r="E97" s="11" t="inlineStr">
        <is>
          <t>Bronx</t>
        </is>
      </c>
      <c r="F97" s="12" t="n">
        <v>0</v>
      </c>
      <c r="G97" s="12" t="n">
        <v>0</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Fordham Rd (B,D,4)</t>
        </is>
      </c>
      <c r="Q97" s="16" t="inlineStr">
        <is>
          <t>Barra de ostras montada en la vereda, con los condimentos afuera. Se come parado en la calle. Es la mejor media hora de Arthur Avenue.</t>
        </is>
      </c>
      <c r="R97" s="16" t="inlineStr">
        <is>
          <t>2354 Arthur Ave, Bronx</t>
        </is>
      </c>
      <c r="S97" s="16" t="inlineStr">
        <is>
          <t>—</t>
        </is>
      </c>
      <c r="T97" s="18" t="inlineStr">
        <is>
          <t>Abrir ↗</t>
        </is>
      </c>
      <c r="U97" s="21" t="inlineStr">
        <is>
          <t>otros</t>
        </is>
      </c>
      <c r="V97" s="20" t="inlineStr"/>
    </row>
    <row r="98" ht="46" customHeight="1">
      <c r="A98" s="9" t="inlineStr">
        <is>
          <t>Di Palo's Fine Foods</t>
        </is>
      </c>
      <c r="B98" s="10" t="inlineStr">
        <is>
          <t>Comida al paso</t>
        </is>
      </c>
      <c r="C98" s="11" t="inlineStr">
        <is>
          <t>Comida</t>
        </is>
      </c>
      <c r="D98" s="11" t="inlineStr">
        <is>
          <t>Little Italy</t>
        </is>
      </c>
      <c r="E98" s="11" t="inlineStr">
        <is>
          <t>Manhattan</t>
        </is>
      </c>
      <c r="F98" s="12" t="n">
        <v>1</v>
      </c>
      <c r="G98" s="12" t="n">
        <v>1</v>
      </c>
      <c r="H98" s="13">
        <f>IF(AND(F98=2,G98=2),"AMBOS",IF(AND(F98=2,G98&lt;2),"solo JP",IF(AND(F98&lt;2,G98=2),"solo Thais","-")))</f>
        <v/>
      </c>
      <c r="I98" s="14" t="n">
        <v>15</v>
      </c>
      <c r="J98" s="15" t="n">
        <v>0.5</v>
      </c>
      <c r="K98" s="13" t="inlineStr">
        <is>
          <t>no</t>
        </is>
      </c>
      <c r="L98" s="16" t="inlineStr">
        <is>
          <t>—</t>
        </is>
      </c>
      <c r="M98" s="11" t="inlineStr">
        <is>
          <t>—</t>
        </is>
      </c>
      <c r="N98" s="16" t="inlineStr">
        <is>
          <t>—</t>
        </is>
      </c>
      <c r="O98" s="16" t="inlineStr">
        <is>
          <t>—</t>
        </is>
      </c>
      <c r="P98" s="16" t="inlineStr">
        <is>
          <t>Canal St (J,N,Q,R,W,6)</t>
        </is>
      </c>
      <c r="Q98" s="16" t="inlineStr">
        <is>
          <t>Cuatro generaciones cortando mozzarella desde 1925. Es la Little Italy que queda cuando se van los turistas.</t>
        </is>
      </c>
      <c r="R98" s="16" t="inlineStr">
        <is>
          <t>200 Grand St</t>
        </is>
      </c>
      <c r="S98" s="16" t="inlineStr">
        <is>
          <t>—</t>
        </is>
      </c>
      <c r="T98" s="18" t="inlineStr">
        <is>
          <t>Abrir ↗</t>
        </is>
      </c>
      <c r="U98" s="21" t="inlineStr">
        <is>
          <t>otros</t>
        </is>
      </c>
      <c r="V98" s="20" t="inlineStr"/>
    </row>
    <row r="99" ht="46" customHeight="1">
      <c r="A99" s="9" t="inlineStr">
        <is>
          <t>Gray's Papaya</t>
        </is>
      </c>
      <c r="B99" s="10" t="inlineStr">
        <is>
          <t>Comida al paso</t>
        </is>
      </c>
      <c r="C99" s="11" t="inlineStr">
        <is>
          <t>Comida</t>
        </is>
      </c>
      <c r="D99" s="11" t="inlineStr">
        <is>
          <t>Upper West Side</t>
        </is>
      </c>
      <c r="E99" s="11" t="inlineStr">
        <is>
          <t>Manhattan</t>
        </is>
      </c>
      <c r="F99" s="12" t="n">
        <v>1</v>
      </c>
      <c r="G99" s="12" t="n">
        <v>1</v>
      </c>
      <c r="H99" s="13">
        <f>IF(AND(F99=2,G99=2),"AMBOS",IF(AND(F99=2,G99&lt;2),"solo JP",IF(AND(F99&lt;2,G99=2),"solo Thais","-")))</f>
        <v/>
      </c>
      <c r="I99" s="14" t="n">
        <v>6</v>
      </c>
      <c r="J99" s="15" t="n">
        <v>0.2</v>
      </c>
      <c r="K99" s="13" t="inlineStr">
        <is>
          <t>no</t>
        </is>
      </c>
      <c r="L99" s="16" t="inlineStr">
        <is>
          <t>—</t>
        </is>
      </c>
      <c r="M99" s="11" t="inlineStr">
        <is>
          <t>—</t>
        </is>
      </c>
      <c r="N99" s="16" t="inlineStr">
        <is>
          <t>—</t>
        </is>
      </c>
      <c r="O99" s="16" t="inlineStr">
        <is>
          <t>—</t>
        </is>
      </c>
      <c r="P99" s="16" t="inlineStr">
        <is>
          <t>72 St (1,2,3)</t>
        </is>
      </c>
      <c r="Q99" s="16" t="inlineStr">
        <is>
          <t>Pancho y jugo de papaya de parado, luz de neon, abierto toda la noche desde 1973.</t>
        </is>
      </c>
      <c r="R99" s="16" t="inlineStr">
        <is>
          <t>2090 Broadway</t>
        </is>
      </c>
      <c r="S99" s="16" t="inlineStr">
        <is>
          <t>—</t>
        </is>
      </c>
      <c r="T99" s="18" t="inlineStr">
        <is>
          <t>Abrir ↗</t>
        </is>
      </c>
      <c r="U99" s="21" t="inlineStr">
        <is>
          <t>otros</t>
        </is>
      </c>
      <c r="V99" s="20" t="inlineStr"/>
    </row>
    <row r="100" ht="46" customHeight="1">
      <c r="A100" s="9" t="inlineStr">
        <is>
          <t>Los Tacos No. 1</t>
        </is>
      </c>
      <c r="B100" s="10" t="inlineStr">
        <is>
          <t>Comida al paso</t>
        </is>
      </c>
      <c r="C100" s="11" t="inlineStr">
        <is>
          <t>Comida</t>
        </is>
      </c>
      <c r="D100" s="11" t="inlineStr">
        <is>
          <t>Chelsea</t>
        </is>
      </c>
      <c r="E100" s="11" t="inlineStr">
        <is>
          <t>Manhattan</t>
        </is>
      </c>
      <c r="F100" s="12" t="n">
        <v>2</v>
      </c>
      <c r="G100" s="12" t="n">
        <v>1</v>
      </c>
      <c r="H100" s="13">
        <f>IF(AND(F100=2,G100=2),"AMBOS",IF(AND(F100=2,G100&lt;2),"solo JP",IF(AND(F100&lt;2,G100=2),"solo Thais","-")))</f>
        <v/>
      </c>
      <c r="I100" s="14" t="n">
        <v>15</v>
      </c>
      <c r="J100" s="15" t="n">
        <v>0.5</v>
      </c>
      <c r="K100" s="13" t="inlineStr">
        <is>
          <t>SÍ</t>
        </is>
      </c>
      <c r="L100" s="16" t="inlineStr">
        <is>
          <t>—</t>
        </is>
      </c>
      <c r="M100" s="11" t="inlineStr">
        <is>
          <t>—</t>
        </is>
      </c>
      <c r="N100" s="16" t="inlineStr">
        <is>
          <t>—</t>
        </is>
      </c>
      <c r="O100" s="16" t="inlineStr">
        <is>
          <t>—</t>
        </is>
      </c>
      <c r="P100" s="16" t="inlineStr">
        <is>
          <t>14 St-8 Av (A,C,E,L)</t>
        </is>
      </c>
      <c r="Q100" s="16" t="inlineStr">
        <is>
          <t>Lo mejor de Chelsea Market y de las pocas cosas por las que vale entrar. Adobada y nopal, tortilla hecha ahi. Se come parado.</t>
        </is>
      </c>
      <c r="R100" s="16" t="inlineStr">
        <is>
          <t>75 9th Ave (Chelsea Market)</t>
        </is>
      </c>
      <c r="S100" s="16" t="inlineStr">
        <is>
          <t>—</t>
        </is>
      </c>
      <c r="T100" s="18" t="inlineStr">
        <is>
          <t>Abrir ↗</t>
        </is>
      </c>
      <c r="U100" s="21" t="inlineStr">
        <is>
          <t>otros</t>
        </is>
      </c>
      <c r="V100" s="20" t="inlineStr"/>
    </row>
    <row r="101" ht="46" customHeight="1">
      <c r="A101" s="9" t="inlineStr">
        <is>
          <t>Murray's Cheese</t>
        </is>
      </c>
      <c r="B101" s="10" t="inlineStr">
        <is>
          <t>Comida al paso</t>
        </is>
      </c>
      <c r="C101" s="11" t="inlineStr">
        <is>
          <t>Comida</t>
        </is>
      </c>
      <c r="D101" s="11" t="inlineStr">
        <is>
          <t>West Village</t>
        </is>
      </c>
      <c r="E101" s="11" t="inlineStr">
        <is>
          <t>Manhattan</t>
        </is>
      </c>
      <c r="F101" s="12" t="n">
        <v>1</v>
      </c>
      <c r="G101" s="12" t="n">
        <v>1</v>
      </c>
      <c r="H101" s="13">
        <f>IF(AND(F101=2,G101=2),"AMBOS",IF(AND(F101=2,G101&lt;2),"solo JP",IF(AND(F101&lt;2,G101=2),"solo Thais","-")))</f>
        <v/>
      </c>
      <c r="I101" s="14" t="n">
        <v>15</v>
      </c>
      <c r="J101" s="15" t="n">
        <v>0.4</v>
      </c>
      <c r="K101" s="13" t="inlineStr">
        <is>
          <t>no</t>
        </is>
      </c>
      <c r="L101" s="16" t="inlineStr">
        <is>
          <t>—</t>
        </is>
      </c>
      <c r="M101" s="11" t="inlineStr">
        <is>
          <t>—</t>
        </is>
      </c>
      <c r="N101" s="16" t="inlineStr">
        <is>
          <t>—</t>
        </is>
      </c>
      <c r="O101" s="16" t="inlineStr">
        <is>
          <t>—</t>
        </is>
      </c>
      <c r="P101" s="16" t="inlineStr">
        <is>
          <t>Christopher St (1)</t>
        </is>
      </c>
      <c r="Q101" s="16" t="inlineStr">
        <is>
          <t>Queseria desde 1940, la mas vieja de la ciudad. Te hacen probar antes de comprar.</t>
        </is>
      </c>
      <c r="R101" s="16" t="inlineStr">
        <is>
          <t>254 Bleecker St</t>
        </is>
      </c>
      <c r="S101" s="16" t="inlineStr">
        <is>
          <t>—</t>
        </is>
      </c>
      <c r="T101" s="18" t="inlineStr">
        <is>
          <t>Abrir ↗</t>
        </is>
      </c>
      <c r="U101" s="21" t="inlineStr">
        <is>
          <t>otros</t>
        </is>
      </c>
      <c r="V101" s="20" t="inlineStr"/>
    </row>
    <row r="102" ht="46" customHeight="1">
      <c r="A102" s="9" t="inlineStr">
        <is>
          <t>Papaya King</t>
        </is>
      </c>
      <c r="B102" s="10" t="inlineStr">
        <is>
          <t>Comida al paso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10</v>
      </c>
      <c r="J102" s="15" t="n">
        <v>0.3</v>
      </c>
      <c r="K102" s="13" t="inlineStr">
        <is>
          <t>no</t>
        </is>
      </c>
      <c r="L102" s="16" t="inlineStr">
        <is>
          <t>—</t>
        </is>
      </c>
      <c r="M102" s="11" t="inlineStr">
        <is>
          <t>—</t>
        </is>
      </c>
      <c r="N102" s="16" t="inlineStr">
        <is>
          <t>—</t>
        </is>
      </c>
      <c r="O102" s="16" t="inlineStr">
        <is>
          <t>—</t>
        </is>
      </c>
      <c r="P102" s="16" t="inlineStr">
        <is>
          <t>86 St (4,5,6)</t>
        </is>
      </c>
      <c r="Q102" s="16" t="inlineStr">
        <is>
          <t>Pancho con jugo de papaya desde 1932, el invento del que despues copiaron todos los demas. Se come parado en el mostrador. OJO: se mudo del 179 al 206 de la misma calle.</t>
        </is>
      </c>
      <c r="R102" s="16" t="inlineStr">
        <is>
          <t>206 E 86th St</t>
        </is>
      </c>
      <c r="S102" s="16" t="inlineStr">
        <is>
          <t>—</t>
        </is>
      </c>
      <c r="T102" s="18" t="inlineStr">
        <is>
          <t>Abrir ↗</t>
        </is>
      </c>
      <c r="U102" s="21" t="inlineStr">
        <is>
          <t>otros</t>
        </is>
      </c>
      <c r="V102" s="20" t="inlineStr"/>
    </row>
    <row r="103" ht="46" customHeight="1">
      <c r="A103" s="9" t="inlineStr">
        <is>
          <t>Pommes Frites</t>
        </is>
      </c>
      <c r="B103" s="10" t="inlineStr">
        <is>
          <t>Comida al paso</t>
        </is>
      </c>
      <c r="C103" s="11" t="inlineStr">
        <is>
          <t>Comida</t>
        </is>
      </c>
      <c r="D103" s="11" t="inlineStr">
        <is>
          <t>Greenwich Village</t>
        </is>
      </c>
      <c r="E103" s="11" t="inlineStr">
        <is>
          <t>Manhattan</t>
        </is>
      </c>
      <c r="F103" s="12" t="n">
        <v>1</v>
      </c>
      <c r="G103" s="12" t="n">
        <v>1</v>
      </c>
      <c r="H103" s="13">
        <f>IF(AND(F103=2,G103=2),"AMBOS",IF(AND(F103=2,G103&lt;2),"solo JP",IF(AND(F103&lt;2,G103=2),"solo Thais","-")))</f>
        <v/>
      </c>
      <c r="I103" s="14" t="n">
        <v>11</v>
      </c>
      <c r="J103" s="15" t="n">
        <v>0.3</v>
      </c>
      <c r="K103" s="13" t="inlineStr">
        <is>
          <t>no</t>
        </is>
      </c>
      <c r="L103" s="16" t="inlineStr">
        <is>
          <t>—</t>
        </is>
      </c>
      <c r="M103" s="11" t="inlineStr">
        <is>
          <t>—</t>
        </is>
      </c>
      <c r="N103" s="16" t="inlineStr">
        <is>
          <t>—</t>
        </is>
      </c>
      <c r="O103" s="16" t="inlineStr">
        <is>
          <t>—</t>
        </is>
      </c>
      <c r="P103" s="16" t="inlineStr">
        <is>
          <t>W 4 St (A,C,E,B,D,F,M)</t>
        </is>
      </c>
      <c r="Q103" s="16" t="inlineStr">
        <is>
          <t>papas belgas doble fritura en cono de papel, con una lista larga de salsas (la de trufa y la de mango-chutney-mayo son las clásicas). No es una comida, es lo que se come a las 2 de la mañana.</t>
        </is>
      </c>
      <c r="R103" s="16" t="inlineStr">
        <is>
          <t>128 MacDougal St</t>
        </is>
      </c>
      <c r="S103" s="16" t="inlineStr">
        <is>
          <t>—</t>
        </is>
      </c>
      <c r="T103" s="18" t="inlineStr">
        <is>
          <t>Abrir ↗</t>
        </is>
      </c>
      <c r="U103" s="21" t="inlineStr">
        <is>
          <t>otros</t>
        </is>
      </c>
      <c r="V103" s="20" t="inlineStr"/>
    </row>
    <row r="104" ht="46" customHeight="1">
      <c r="A104" s="9" t="inlineStr">
        <is>
          <t>Xi'an Famous Foods (W 45th)</t>
        </is>
      </c>
      <c r="B104" s="10" t="inlineStr">
        <is>
          <t>Comida al paso</t>
        </is>
      </c>
      <c r="C104" s="11" t="inlineStr">
        <is>
          <t>Comida</t>
        </is>
      </c>
      <c r="D104" s="11" t="inlineStr">
        <is>
          <t>Midtown</t>
        </is>
      </c>
      <c r="E104" s="11" t="inlineStr">
        <is>
          <t>Manhattan</t>
        </is>
      </c>
      <c r="F104" s="12" t="n">
        <v>1</v>
      </c>
      <c r="G104" s="12" t="n">
        <v>1</v>
      </c>
      <c r="H104" s="13">
        <f>IF(AND(F104=2,G104=2),"AMBOS",IF(AND(F104=2,G104&lt;2),"solo JP",IF(AND(F104&lt;2,G104=2),"solo Thais","-")))</f>
        <v/>
      </c>
      <c r="I104" s="14" t="n">
        <v>18</v>
      </c>
      <c r="J104" s="15" t="n">
        <v>0.5</v>
      </c>
      <c r="K104" s="13" t="inlineStr">
        <is>
          <t>no</t>
        </is>
      </c>
      <c r="L104" s="16" t="inlineStr">
        <is>
          <t>—</t>
        </is>
      </c>
      <c r="M104" s="11" t="inlineStr">
        <is>
          <t>—</t>
        </is>
      </c>
      <c r="N104" s="16" t="inlineStr">
        <is>
          <t>—</t>
        </is>
      </c>
      <c r="O104" s="16" t="inlineStr">
        <is>
          <t>—</t>
        </is>
      </c>
      <c r="P104" s="16" t="inlineStr">
        <is>
          <t>47-50 Sts-Rockefeller Ctr (B,D,F,M)</t>
        </is>
      </c>
      <c r="Q104" s="16" t="inlineStr">
        <is>
          <t>los *spicy cumin lamb hand-ripped noodles* (N1), fideos estirados a mano con cordero y comino. La versión para comer parado es el *spicy cumin lamb burger* (B2).</t>
        </is>
      </c>
      <c r="R104" s="16" t="inlineStr">
        <is>
          <t>60 W 45th St</t>
        </is>
      </c>
      <c r="S104" s="16" t="inlineStr">
        <is>
          <t>—</t>
        </is>
      </c>
      <c r="T104" s="18" t="inlineStr">
        <is>
          <t>Abrir ↗</t>
        </is>
      </c>
      <c r="U104" s="21" t="inlineStr">
        <is>
          <t>otros</t>
        </is>
      </c>
      <c r="V104" s="20" t="inlineStr"/>
    </row>
    <row r="105" ht="46" customHeight="1">
      <c r="A105" s="9" t="inlineStr">
        <is>
          <t>Barney Greengrass</t>
        </is>
      </c>
      <c r="B105" s="10" t="inlineStr">
        <is>
          <t>Deli y pastrami</t>
        </is>
      </c>
      <c r="C105" s="11" t="inlineStr">
        <is>
          <t>Comida</t>
        </is>
      </c>
      <c r="D105" s="11" t="inlineStr">
        <is>
          <t>Upper West Side</t>
        </is>
      </c>
      <c r="E105" s="11" t="inlineStr">
        <is>
          <t>Manhattan</t>
        </is>
      </c>
      <c r="F105" s="12" t="n">
        <v>1</v>
      </c>
      <c r="G105" s="12" t="n">
        <v>1</v>
      </c>
      <c r="H105" s="13">
        <f>IF(AND(F105=2,G105=2),"AMBOS",IF(AND(F105=2,G105&lt;2),"solo JP",IF(AND(F105&lt;2,G105=2),"solo Thais","-")))</f>
        <v/>
      </c>
      <c r="I105" s="14" t="n">
        <v>25</v>
      </c>
      <c r="J105" s="15" t="n">
        <v>1</v>
      </c>
      <c r="K105" s="13" t="inlineStr">
        <is>
          <t>no</t>
        </is>
      </c>
      <c r="L105" s="16" t="inlineStr">
        <is>
          <t>—</t>
        </is>
      </c>
      <c r="M105" s="11" t="inlineStr">
        <is>
          <t>—</t>
        </is>
      </c>
      <c r="N105" s="16" t="inlineStr">
        <is>
          <t>—</t>
        </is>
      </c>
      <c r="O105" s="16" t="inlineStr">
        <is>
          <t>—</t>
        </is>
      </c>
      <c r="P105" s="16" t="inlineStr">
        <is>
          <t>86 St (1)</t>
        </is>
      </c>
      <c r="Q105" s="16" t="inlineStr">
        <is>
          <t>'El rey del esturion' desde 1908, con el mismo linoleo. Huevos con salmon y cebolla en una mesa de formica.</t>
        </is>
      </c>
      <c r="R105" s="16" t="inlineStr">
        <is>
          <t>541 Amsterdam Ave</t>
        </is>
      </c>
      <c r="S105" s="16" t="inlineStr">
        <is>
          <t>—</t>
        </is>
      </c>
      <c r="T105" s="18" t="inlineStr">
        <is>
          <t>Abrir ↗</t>
        </is>
      </c>
      <c r="U105" s="21" t="inlineStr">
        <is>
          <t>otros</t>
        </is>
      </c>
      <c r="V105" s="20" t="inlineStr"/>
    </row>
    <row r="106" ht="46" customHeight="1">
      <c r="A106" s="9" t="inlineStr">
        <is>
          <t>Frankel's Delicatessen</t>
        </is>
      </c>
      <c r="B106" s="10" t="inlineStr">
        <is>
          <t>Deli y pastrami</t>
        </is>
      </c>
      <c r="C106" s="11" t="inlineStr">
        <is>
          <t>Comida</t>
        </is>
      </c>
      <c r="D106" s="11" t="inlineStr">
        <is>
          <t>Greenpoint</t>
        </is>
      </c>
      <c r="E106" s="11" t="inlineStr">
        <is>
          <t>Brooklyn</t>
        </is>
      </c>
      <c r="F106" s="12" t="n">
        <v>2</v>
      </c>
      <c r="G106" s="12" t="n">
        <v>2</v>
      </c>
      <c r="H106" s="13">
        <f>IF(AND(F106=2,G106=2),"AMBOS",IF(AND(F106=2,G106&lt;2),"solo JP",IF(AND(F106&lt;2,G106=2),"solo Thais","-")))</f>
        <v/>
      </c>
      <c r="I106" s="14" t="n">
        <v>20</v>
      </c>
      <c r="J106" s="15" t="n">
        <v>1</v>
      </c>
      <c r="K106" s="13" t="inlineStr">
        <is>
          <t>no</t>
        </is>
      </c>
      <c r="L106" s="16" t="inlineStr">
        <is>
          <t>—</t>
        </is>
      </c>
      <c r="M106" s="11" t="inlineStr">
        <is>
          <t>—</t>
        </is>
      </c>
      <c r="N106" s="16" t="inlineStr">
        <is>
          <t>—</t>
        </is>
      </c>
      <c r="O106" s="16" t="inlineStr">
        <is>
          <t>—</t>
        </is>
      </c>
      <c r="P106" s="16" t="inlineStr">
        <is>
          <t>Nassau Av (G)</t>
        </is>
      </c>
      <c r="Q106" s="16" t="inlineStr">
        <is>
          <t>El pastrami-huevo-queso sobre challah entro en la lista del NYT de sandwiches que definen NYC. Deli judio version Brooklyn contemporaneo.</t>
        </is>
      </c>
      <c r="R106" s="16" t="inlineStr">
        <is>
          <t>631 Manhattan Ave, Brooklyn</t>
        </is>
      </c>
      <c r="S106" s="16" t="inlineStr">
        <is>
          <t>—</t>
        </is>
      </c>
      <c r="T106" s="18" t="inlineStr">
        <is>
          <t>Abrir ↗</t>
        </is>
      </c>
      <c r="U106" s="19" t="inlineStr">
        <is>
          <t>lista google</t>
        </is>
      </c>
      <c r="V106" s="20" t="inlineStr"/>
    </row>
    <row r="107" ht="46" customHeight="1">
      <c r="A107" s="9" t="inlineStr">
        <is>
          <t>Katz's Delicatessen</t>
        </is>
      </c>
      <c r="B107" s="10" t="inlineStr">
        <is>
          <t>Deli y pastrami</t>
        </is>
      </c>
      <c r="C107" s="11" t="inlineStr">
        <is>
          <t>Comida</t>
        </is>
      </c>
      <c r="D107" s="11" t="inlineStr">
        <is>
          <t>Lower East Side</t>
        </is>
      </c>
      <c r="E107" s="11" t="inlineStr">
        <is>
          <t>Manhattan</t>
        </is>
      </c>
      <c r="F107" s="12" t="n">
        <v>2</v>
      </c>
      <c r="G107" s="12" t="n">
        <v>2</v>
      </c>
      <c r="H107" s="13">
        <f>IF(AND(F107=2,G107=2),"AMBOS",IF(AND(F107=2,G107&lt;2),"solo JP",IF(AND(F107&lt;2,G107=2),"solo Thais","-")))</f>
        <v/>
      </c>
      <c r="I107" s="14" t="n">
        <v>32</v>
      </c>
      <c r="J107" s="15" t="n">
        <v>1.25</v>
      </c>
      <c r="K107" s="13" t="inlineStr">
        <is>
          <t>SÍ</t>
        </is>
      </c>
      <c r="L107" s="16" t="inlineStr">
        <is>
          <t>—</t>
        </is>
      </c>
      <c r="M107" s="11" t="inlineStr">
        <is>
          <t>—</t>
        </is>
      </c>
      <c r="N107" s="16" t="inlineStr">
        <is>
          <t>—</t>
        </is>
      </c>
      <c r="O107" s="16" t="inlineStr">
        <is>
          <t>—</t>
        </is>
      </c>
      <c r="P107" s="16" t="inlineStr">
        <is>
          <t>2 Av (F)</t>
        </is>
      </c>
      <c r="Q107" s="16" t="inlineStr">
        <is>
          <t>1888. El pastrami cura 30 dias y se corta a cuchillo. TRUCO: sentarse en el mostrador, dar propina al cortador, e ir un martes a las 15h en vez de un sabado al mediodia. Guardar el ticket o se paga multa.</t>
        </is>
      </c>
      <c r="R107" s="16" t="inlineStr">
        <is>
          <t>205 E Houston St</t>
        </is>
      </c>
      <c r="S107" s="17" t="inlineStr">
        <is>
          <t>Día 2 · dom 30/8</t>
        </is>
      </c>
      <c r="T107" s="18" t="inlineStr">
        <is>
          <t>Abrir ↗</t>
        </is>
      </c>
      <c r="U107" s="19" t="inlineStr">
        <is>
          <t>lista google</t>
        </is>
      </c>
      <c r="V107" s="20" t="inlineStr"/>
    </row>
    <row r="108" ht="46" customHeight="1">
      <c r="A108" s="9" t="inlineStr">
        <is>
          <t>Russ &amp; Daughters</t>
        </is>
      </c>
      <c r="B108" s="10" t="inlineStr">
        <is>
          <t>Deli y pastrami</t>
        </is>
      </c>
      <c r="C108" s="11" t="inlineStr">
        <is>
          <t>Comida</t>
        </is>
      </c>
      <c r="D108" s="11" t="inlineStr">
        <is>
          <t>Lower East Side</t>
        </is>
      </c>
      <c r="E108" s="11" t="inlineStr">
        <is>
          <t>Manhattan</t>
        </is>
      </c>
      <c r="F108" s="12" t="n">
        <v>2</v>
      </c>
      <c r="G108" s="12" t="n">
        <v>2</v>
      </c>
      <c r="H108" s="13">
        <f>IF(AND(F108=2,G108=2),"AMBOS",IF(AND(F108=2,G108&lt;2),"solo JP",IF(AND(F108&lt;2,G108=2),"solo Thais","-")))</f>
        <v/>
      </c>
      <c r="I108" s="14" t="n">
        <v>22</v>
      </c>
      <c r="J108" s="15" t="n">
        <v>0.75</v>
      </c>
      <c r="K108" s="13" t="inlineStr">
        <is>
          <t>SÍ</t>
        </is>
      </c>
      <c r="L108" s="16" t="inlineStr">
        <is>
          <t>lunes a viernes: 08:00–16:00 · sábado a domingo: 08:00–17:00</t>
        </is>
      </c>
      <c r="M108" s="11" t="inlineStr">
        <is>
          <t>—</t>
        </is>
      </c>
      <c r="N108" s="16" t="inlineStr">
        <is>
          <t>—</t>
        </is>
      </c>
      <c r="O108" s="16" t="inlineStr">
        <is>
          <t>—</t>
        </is>
      </c>
      <c r="P108" s="16" t="inlineStr">
        <is>
          <t>2 Av (F)</t>
        </is>
      </c>
      <c r="Q108" s="16" t="inlineStr">
        <is>
          <t>Appetizing store de 1914, cuarta generacion de la misma familia. Salmon curado cortado a mano sobre bagel. El mostrador es mejor experiencia que el cafe de al lado.</t>
        </is>
      </c>
      <c r="R108" s="16" t="inlineStr">
        <is>
          <t>179 E Houston St</t>
        </is>
      </c>
      <c r="S108" s="17" t="inlineStr">
        <is>
          <t>Día 2 · dom 30/8</t>
        </is>
      </c>
      <c r="T108" s="18" t="inlineStr">
        <is>
          <t>Abrir ↗</t>
        </is>
      </c>
      <c r="U108" s="19" t="inlineStr">
        <is>
          <t>lista google</t>
        </is>
      </c>
      <c r="V108" s="20" t="inlineStr"/>
    </row>
    <row r="109" ht="46" customHeight="1">
      <c r="A109" s="9" t="inlineStr">
        <is>
          <t>Russ &amp; Daughters Cafe</t>
        </is>
      </c>
      <c r="B109" s="10" t="inlineStr">
        <is>
          <t>Deli y pastrami</t>
        </is>
      </c>
      <c r="C109" s="11" t="inlineStr">
        <is>
          <t>Comida</t>
        </is>
      </c>
      <c r="D109" s="11" t="inlineStr">
        <is>
          <t>Lower East Side</t>
        </is>
      </c>
      <c r="E109" s="11" t="inlineStr">
        <is>
          <t>Manhattan</t>
        </is>
      </c>
      <c r="F109" s="12" t="n">
        <v>1</v>
      </c>
      <c r="G109" s="12" t="n">
        <v>1</v>
      </c>
      <c r="H109" s="13">
        <f>IF(AND(F109=2,G109=2),"AMBOS",IF(AND(F109=2,G109&lt;2),"solo JP",IF(AND(F109&lt;2,G109=2),"solo Thais","-")))</f>
        <v/>
      </c>
      <c r="I109" s="14" t="n">
        <v>40</v>
      </c>
      <c r="J109" s="15" t="n">
        <v>1.25</v>
      </c>
      <c r="K109" s="13" t="inlineStr">
        <is>
          <t>SÍ</t>
        </is>
      </c>
      <c r="L109" s="16" t="inlineStr">
        <is>
          <t>—</t>
        </is>
      </c>
      <c r="M109" s="11" t="inlineStr">
        <is>
          <t>—</t>
        </is>
      </c>
      <c r="N109" s="16" t="inlineStr">
        <is>
          <t>—</t>
        </is>
      </c>
      <c r="O109" s="16" t="inlineStr">
        <is>
          <t>—</t>
        </is>
      </c>
      <c r="P109" s="16" t="inlineStr">
        <is>
          <t>Delancey St-Essex St (F,J,M,Z)</t>
        </is>
      </c>
      <c r="Q109" s="16" t="inlineStr">
        <is>
          <t>La versión SENTADA del appetizing de 1914: mismo salmón, con mesa y platos. Distinto del local de Houston.</t>
        </is>
      </c>
      <c r="R109" s="16" t="inlineStr">
        <is>
          <t>127 Orchard St</t>
        </is>
      </c>
      <c r="S109" s="16" t="inlineStr">
        <is>
          <t>—</t>
        </is>
      </c>
      <c r="T109" s="18" t="inlineStr">
        <is>
          <t>Abrir ↗</t>
        </is>
      </c>
      <c r="U109" s="19" t="inlineStr">
        <is>
          <t>lista google</t>
        </is>
      </c>
      <c r="V109" s="20" t="inlineStr"/>
    </row>
    <row r="110" ht="46" customHeight="1">
      <c r="A110" s="9" t="inlineStr">
        <is>
          <t>S&amp;P Lunch</t>
        </is>
      </c>
      <c r="B110" s="10" t="inlineStr">
        <is>
          <t>Deli y pastrami</t>
        </is>
      </c>
      <c r="C110" s="11" t="inlineStr">
        <is>
          <t>Comida</t>
        </is>
      </c>
      <c r="D110" s="11" t="inlineStr">
        <is>
          <t>Flatiron</t>
        </is>
      </c>
      <c r="E110" s="11" t="inlineStr">
        <is>
          <t>Manhattan</t>
        </is>
      </c>
      <c r="F110" s="12" t="n">
        <v>2</v>
      </c>
      <c r="G110" s="12" t="n">
        <v>2</v>
      </c>
      <c r="H110" s="13">
        <f>IF(AND(F110=2,G110=2),"AMBOS",IF(AND(F110=2,G110&lt;2),"solo JP",IF(AND(F110&lt;2,G110=2),"solo Thais","-")))</f>
        <v/>
      </c>
      <c r="I110" s="14" t="n">
        <v>22</v>
      </c>
      <c r="J110" s="15" t="n">
        <v>1</v>
      </c>
      <c r="K110" s="13" t="inlineStr">
        <is>
          <t>no</t>
        </is>
      </c>
      <c r="L110" s="16" t="inlineStr">
        <is>
          <t>—</t>
        </is>
      </c>
      <c r="M110" s="11" t="inlineStr">
        <is>
          <t>—</t>
        </is>
      </c>
      <c r="N110" s="16" t="inlineStr">
        <is>
          <t>—</t>
        </is>
      </c>
      <c r="O110" s="16" t="inlineStr">
        <is>
          <t>—</t>
        </is>
      </c>
      <c r="P110" s="16" t="inlineStr">
        <is>
          <t>23 St (R,W,6)</t>
        </is>
      </c>
      <c r="Q110" s="16" t="inlineStr">
        <is>
          <t>Ocupa el local del Eisenberg's (1929), con pastrami cortado a mano. Es la alternativa a Katz's sin la cola ni el circo.</t>
        </is>
      </c>
      <c r="R110" s="16" t="inlineStr">
        <is>
          <t>174 5th Ave</t>
        </is>
      </c>
      <c r="S110" s="16" t="inlineStr">
        <is>
          <t>—</t>
        </is>
      </c>
      <c r="T110" s="18" t="inlineStr">
        <is>
          <t>Abrir ↗</t>
        </is>
      </c>
      <c r="U110" s="19" t="inlineStr">
        <is>
          <t>lista google</t>
        </is>
      </c>
      <c r="V110" s="20" t="inlineStr"/>
    </row>
    <row r="111" ht="46" customHeight="1">
      <c r="A111" s="9" t="inlineStr">
        <is>
          <t>Sarge's Delicatessen &amp; Diner</t>
        </is>
      </c>
      <c r="B111" s="10" t="inlineStr">
        <is>
          <t>Deli y pastrami</t>
        </is>
      </c>
      <c r="C111" s="11" t="inlineStr">
        <is>
          <t>Comida</t>
        </is>
      </c>
      <c r="D111" s="11" t="inlineStr">
        <is>
          <t>Murray Hill</t>
        </is>
      </c>
      <c r="E111" s="11" t="inlineStr">
        <is>
          <t>Manhattan</t>
        </is>
      </c>
      <c r="F111" s="12" t="n">
        <v>1</v>
      </c>
      <c r="G111" s="12" t="n">
        <v>1</v>
      </c>
      <c r="H111" s="13">
        <f>IF(AND(F111=2,G111=2),"AMBOS",IF(AND(F111=2,G111&lt;2),"solo JP",IF(AND(F111&lt;2,G111=2),"solo Thais","-")))</f>
        <v/>
      </c>
      <c r="I111" s="14" t="n">
        <v>30</v>
      </c>
      <c r="J111" s="15" t="n">
        <v>1</v>
      </c>
      <c r="K111" s="13" t="inlineStr">
        <is>
          <t>no</t>
        </is>
      </c>
      <c r="L111" s="16" t="inlineStr">
        <is>
          <t>—</t>
        </is>
      </c>
      <c r="M111" s="11" t="inlineStr">
        <is>
          <t>—</t>
        </is>
      </c>
      <c r="N111" s="16" t="inlineStr">
        <is>
          <t>—</t>
        </is>
      </c>
      <c r="O111" s="16" t="inlineStr">
        <is>
          <t>—</t>
        </is>
      </c>
      <c r="P111" s="16" t="inlineStr">
        <is>
          <t>33 St (6)</t>
        </is>
      </c>
      <c r="Q111" s="16" t="inlineStr">
        <is>
          <t>Deli judío de 1964 abierto 24 horas: el pastrami sin la cola de Katz's.</t>
        </is>
      </c>
      <c r="R111" s="16" t="inlineStr">
        <is>
          <t>548 3rd Ave</t>
        </is>
      </c>
      <c r="S111" s="16" t="inlineStr">
        <is>
          <t>—</t>
        </is>
      </c>
      <c r="T111" s="18" t="inlineStr">
        <is>
          <t>Abrir ↗</t>
        </is>
      </c>
      <c r="U111" s="19" t="inlineStr">
        <is>
          <t>lista google</t>
        </is>
      </c>
      <c r="V111" s="20" t="inlineStr"/>
    </row>
    <row r="112" ht="46" customHeight="1">
      <c r="A112" s="9" t="inlineStr">
        <is>
          <t>Golden Diner</t>
        </is>
      </c>
      <c r="B112" s="10" t="inlineStr">
        <is>
          <t>Diner clásico</t>
        </is>
      </c>
      <c r="C112" s="11" t="inlineStr">
        <is>
          <t>Comida</t>
        </is>
      </c>
      <c r="D112" s="11" t="inlineStr">
        <is>
          <t>Two Bridges</t>
        </is>
      </c>
      <c r="E112" s="11" t="inlineStr">
        <is>
          <t>Manhattan</t>
        </is>
      </c>
      <c r="F112" s="12" t="n">
        <v>1</v>
      </c>
      <c r="G112" s="12" t="n">
        <v>1</v>
      </c>
      <c r="H112" s="13">
        <f>IF(AND(F112=2,G112=2),"AMBOS",IF(AND(F112=2,G112&lt;2),"solo JP",IF(AND(F112&lt;2,G112=2),"solo Thais","-")))</f>
        <v/>
      </c>
      <c r="I112" s="14" t="n">
        <v>25</v>
      </c>
      <c r="J112" s="15" t="n">
        <v>0.75</v>
      </c>
      <c r="K112" s="13" t="inlineStr">
        <is>
          <t>no</t>
        </is>
      </c>
      <c r="L112" s="16" t="inlineStr">
        <is>
          <t>—</t>
        </is>
      </c>
      <c r="M112" s="11" t="inlineStr">
        <is>
          <t>—</t>
        </is>
      </c>
      <c r="N112" s="16" t="inlineStr">
        <is>
          <t>—</t>
        </is>
      </c>
      <c r="O112" s="16" t="inlineStr">
        <is>
          <t>—</t>
        </is>
      </c>
      <c r="P112" s="16" t="inlineStr">
        <is>
          <t>East Broadway (F)</t>
        </is>
      </c>
      <c r="Q112" s="16" t="inlineStr">
        <is>
          <t>Diner americano cruzado con cocina asiática, debajo del puente de Manhattan. Sin pose.</t>
        </is>
      </c>
      <c r="R112" s="16" t="inlineStr">
        <is>
          <t>123 Madison St</t>
        </is>
      </c>
      <c r="S112" s="16" t="inlineStr">
        <is>
          <t>—</t>
        </is>
      </c>
      <c r="T112" s="18" t="inlineStr">
        <is>
          <t>Abrir ↗</t>
        </is>
      </c>
      <c r="U112" s="19" t="inlineStr">
        <is>
          <t>lista google</t>
        </is>
      </c>
      <c r="V112" s="20" t="inlineStr"/>
    </row>
    <row r="113" ht="46" customHeight="1">
      <c r="A113" s="9" t="inlineStr">
        <is>
          <t>Junior's Restaurant and Bakery</t>
        </is>
      </c>
      <c r="B113" s="10" t="inlineStr">
        <is>
          <t>Diner clásico</t>
        </is>
      </c>
      <c r="C113" s="11" t="inlineStr">
        <is>
          <t>Comida</t>
        </is>
      </c>
      <c r="D113" s="11" t="inlineStr">
        <is>
          <t>Theater District</t>
        </is>
      </c>
      <c r="E113" s="11" t="inlineStr">
        <is>
          <t>Manhattan</t>
        </is>
      </c>
      <c r="F113" s="12" t="n">
        <v>1</v>
      </c>
      <c r="G113" s="12" t="n">
        <v>1</v>
      </c>
      <c r="H113" s="13">
        <f>IF(AND(F113=2,G113=2),"AMBOS",IF(AND(F113=2,G113&lt;2),"solo JP",IF(AND(F113&lt;2,G113=2),"solo Thais","-")))</f>
        <v/>
      </c>
      <c r="I113" s="14" t="n">
        <v>30</v>
      </c>
      <c r="J113" s="15" t="n">
        <v>1</v>
      </c>
      <c r="K113" s="13" t="inlineStr">
        <is>
          <t>SÍ</t>
        </is>
      </c>
      <c r="L113" s="16" t="inlineStr">
        <is>
          <t>—</t>
        </is>
      </c>
      <c r="M113" s="11" t="inlineStr">
        <is>
          <t>—</t>
        </is>
      </c>
      <c r="N113" s="16" t="inlineStr">
        <is>
          <t>—</t>
        </is>
      </c>
      <c r="O113" s="16" t="inlineStr">
        <is>
          <t>—</t>
        </is>
      </c>
      <c r="P113" s="16" t="inlineStr">
        <is>
          <t>49 St (N,R,W)</t>
        </is>
      </c>
      <c r="Q113" s="16" t="inlineStr">
        <is>
          <t>El cheesecake de Brooklyn, en su sucursal de Times Square. Porciones absurdas.</t>
        </is>
      </c>
      <c r="R113" s="16" t="inlineStr">
        <is>
          <t>1626 Broadway</t>
        </is>
      </c>
      <c r="S113" s="16" t="inlineStr">
        <is>
          <t>—</t>
        </is>
      </c>
      <c r="T113" s="18" t="inlineStr">
        <is>
          <t>Abrir ↗</t>
        </is>
      </c>
      <c r="U113" s="19" t="inlineStr">
        <is>
          <t>lista google</t>
        </is>
      </c>
      <c r="V113" s="20" t="inlineStr"/>
    </row>
    <row r="114" ht="46" customHeight="1">
      <c r="A114" s="9" t="inlineStr">
        <is>
          <t>Lexington Candy Shop</t>
        </is>
      </c>
      <c r="B114" s="10" t="inlineStr">
        <is>
          <t>Diner clásico</t>
        </is>
      </c>
      <c r="C114" s="11" t="inlineStr">
        <is>
          <t>Comida</t>
        </is>
      </c>
      <c r="D114" s="11" t="inlineStr">
        <is>
          <t>Upper East Side</t>
        </is>
      </c>
      <c r="E114" s="11" t="inlineStr">
        <is>
          <t>Manhattan</t>
        </is>
      </c>
      <c r="F114" s="12" t="n">
        <v>1</v>
      </c>
      <c r="G114" s="12" t="n">
        <v>1</v>
      </c>
      <c r="H114" s="13">
        <f>IF(AND(F114=2,G114=2),"AMBOS",IF(AND(F114=2,G114&lt;2),"solo JP",IF(AND(F114&lt;2,G114=2),"solo Thais","-")))</f>
        <v/>
      </c>
      <c r="I114" s="14" t="n">
        <v>18</v>
      </c>
      <c r="J114" s="15" t="n">
        <v>0.8</v>
      </c>
      <c r="K114" s="13" t="inlineStr">
        <is>
          <t>no</t>
        </is>
      </c>
      <c r="L114" s="16" t="inlineStr">
        <is>
          <t>—</t>
        </is>
      </c>
      <c r="M114" s="11" t="inlineStr">
        <is>
          <t>—</t>
        </is>
      </c>
      <c r="N114" s="16" t="inlineStr">
        <is>
          <t>—</t>
        </is>
      </c>
      <c r="O114" s="16" t="inlineStr">
        <is>
          <t>—</t>
        </is>
      </c>
      <c r="P114" s="16" t="inlineStr">
        <is>
          <t>86 St (4,5,6)</t>
        </is>
      </c>
      <c r="Q114" s="16" t="inlineStr">
        <is>
          <t>Luncheonette de 1925 sin un solo cambio: malteadas hechas a mano y Coca-Cola mezclada en el mostrador.</t>
        </is>
      </c>
      <c r="R114" s="16" t="inlineStr">
        <is>
          <t>1226 Lexington Ave</t>
        </is>
      </c>
      <c r="S114" s="16" t="inlineStr">
        <is>
          <t>—</t>
        </is>
      </c>
      <c r="T114" s="18" t="inlineStr">
        <is>
          <t>Abrir ↗</t>
        </is>
      </c>
      <c r="U114" s="21" t="inlineStr">
        <is>
          <t>otros</t>
        </is>
      </c>
      <c r="V114" s="20" t="inlineStr"/>
    </row>
    <row r="115" ht="46" customHeight="1">
      <c r="A115" s="9" t="inlineStr">
        <is>
          <t>Tick Tock Diner NY</t>
        </is>
      </c>
      <c r="B115" s="10" t="inlineStr">
        <is>
          <t>Diner clásico</t>
        </is>
      </c>
      <c r="C115" s="11" t="inlineStr">
        <is>
          <t>Comida</t>
        </is>
      </c>
      <c r="D115" s="11" t="inlineStr">
        <is>
          <t>Midtown West</t>
        </is>
      </c>
      <c r="E115" s="11" t="inlineStr">
        <is>
          <t>Manhattan</t>
        </is>
      </c>
      <c r="F115" s="12" t="n">
        <v>1</v>
      </c>
      <c r="G115" s="12" t="n">
        <v>1</v>
      </c>
      <c r="H115" s="13">
        <f>IF(AND(F115=2,G115=2),"AMBOS",IF(AND(F115=2,G115&lt;2),"solo JP",IF(AND(F115&lt;2,G115=2),"solo Thais","-")))</f>
        <v/>
      </c>
      <c r="I115" s="14" t="n">
        <v>25</v>
      </c>
      <c r="J115" s="15" t="n">
        <v>0.75</v>
      </c>
      <c r="K115" s="13" t="inlineStr">
        <is>
          <t>no</t>
        </is>
      </c>
      <c r="L115" s="16" t="inlineStr">
        <is>
          <t>—</t>
        </is>
      </c>
      <c r="M115" s="11" t="inlineStr">
        <is>
          <t>—</t>
        </is>
      </c>
      <c r="N115" s="16" t="inlineStr">
        <is>
          <t>—</t>
        </is>
      </c>
      <c r="O115" s="16" t="inlineStr">
        <is>
          <t>—</t>
        </is>
      </c>
      <c r="P115" s="16" t="inlineStr">
        <is>
          <t>34 St-Penn Station (1,2,3,A,C,E)</t>
        </is>
      </c>
      <c r="Q115" s="16" t="inlineStr">
        <is>
          <t>Diner art déco cromado frente a Penn Station. Útil de verdad los días de tren.</t>
        </is>
      </c>
      <c r="R115" s="16" t="inlineStr">
        <is>
          <t>481 8th Ave</t>
        </is>
      </c>
      <c r="S115" s="16" t="inlineStr">
        <is>
          <t>—</t>
        </is>
      </c>
      <c r="T115" s="18" t="inlineStr">
        <is>
          <t>Abrir ↗</t>
        </is>
      </c>
      <c r="U115" s="19" t="inlineStr">
        <is>
          <t>lista google</t>
        </is>
      </c>
      <c r="V115" s="20" t="inlineStr"/>
    </row>
    <row r="116" ht="46" customHeight="1">
      <c r="A116" s="9" t="inlineStr">
        <is>
          <t>Corner Bistro</t>
        </is>
      </c>
      <c r="B116" s="10" t="inlineStr">
        <is>
          <t>Hamburguesería</t>
        </is>
      </c>
      <c r="C116" s="11" t="inlineStr">
        <is>
          <t>Comida</t>
        </is>
      </c>
      <c r="D116" s="11" t="inlineStr">
        <is>
          <t>West Village</t>
        </is>
      </c>
      <c r="E116" s="11" t="inlineStr">
        <is>
          <t>Manhattan</t>
        </is>
      </c>
      <c r="F116" s="12" t="n">
        <v>1</v>
      </c>
      <c r="G116" s="12" t="n">
        <v>1</v>
      </c>
      <c r="H116" s="13">
        <f>IF(AND(F116=2,G116=2),"AMBOS",IF(AND(F116=2,G116&lt;2),"solo JP",IF(AND(F116&lt;2,G116=2),"solo Thais","-")))</f>
        <v/>
      </c>
      <c r="I116" s="14" t="n">
        <v>12</v>
      </c>
      <c r="J116" s="15" t="n">
        <v>1</v>
      </c>
      <c r="K116" s="13" t="inlineStr">
        <is>
          <t>no</t>
        </is>
      </c>
      <c r="L116" s="16" t="inlineStr">
        <is>
          <t>—</t>
        </is>
      </c>
      <c r="M116" s="11" t="inlineStr">
        <is>
          <t>—</t>
        </is>
      </c>
      <c r="N116" s="16" t="inlineStr">
        <is>
          <t>—</t>
        </is>
      </c>
      <c r="O116" s="16" t="inlineStr">
        <is>
          <t>—</t>
        </is>
      </c>
      <c r="P116" s="16" t="inlineStr">
        <is>
          <t>14 St (A,C,E)</t>
        </is>
      </c>
      <c r="Q116" s="16" t="inlineStr">
        <is>
          <t>Hamburguesa en plato de papel, cerveza barata y boxes de madera desde 1961. Nada de artesanal.</t>
        </is>
      </c>
      <c r="R116" s="16" t="inlineStr">
        <is>
          <t>331 W 4th St</t>
        </is>
      </c>
      <c r="S116" s="16" t="inlineStr">
        <is>
          <t>—</t>
        </is>
      </c>
      <c r="T116" s="18" t="inlineStr">
        <is>
          <t>Abrir ↗</t>
        </is>
      </c>
      <c r="U116" s="21" t="inlineStr">
        <is>
          <t>otros</t>
        </is>
      </c>
      <c r="V116" s="20" t="inlineStr"/>
    </row>
    <row r="117" ht="46" customHeight="1">
      <c r="A117" s="9" t="inlineStr">
        <is>
          <t>Hamburger America</t>
        </is>
      </c>
      <c r="B117" s="10" t="inlineStr">
        <is>
          <t>Hamburguesería</t>
        </is>
      </c>
      <c r="C117" s="11" t="inlineStr">
        <is>
          <t>Comida</t>
        </is>
      </c>
      <c r="D117" s="11" t="inlineStr">
        <is>
          <t>SoHo / West Village</t>
        </is>
      </c>
      <c r="E117" s="11" t="inlineStr">
        <is>
          <t>Manhattan</t>
        </is>
      </c>
      <c r="F117" s="12" t="n">
        <v>2</v>
      </c>
      <c r="G117" s="12" t="n">
        <v>1</v>
      </c>
      <c r="H117" s="13">
        <f>IF(AND(F117=2,G117=2),"AMBOS",IF(AND(F117=2,G117&lt;2),"solo JP",IF(AND(F117&lt;2,G117=2),"solo Thais","-")))</f>
        <v/>
      </c>
      <c r="I117" s="14" t="n">
        <v>20</v>
      </c>
      <c r="J117" s="15" t="n">
        <v>0.75</v>
      </c>
      <c r="K117" s="13" t="inlineStr">
        <is>
          <t>SÍ</t>
        </is>
      </c>
      <c r="L117" s="16" t="inlineStr">
        <is>
          <t>lunes a jueves: 11:00–22:00 · viernes a sábado: 11:00–23:00 · domingo: 11:00–22:00</t>
        </is>
      </c>
      <c r="M117" s="11" t="inlineStr">
        <is>
          <t>—</t>
        </is>
      </c>
      <c r="N117" s="16" t="inlineStr">
        <is>
          <t>—</t>
        </is>
      </c>
      <c r="O117" s="16" t="inlineStr">
        <is>
          <t>no acepta reservas - ir y hacer la fila</t>
        </is>
      </c>
      <c r="P117" s="16" t="inlineStr">
        <is>
          <t>Houston St (1), W 4 St (A,C,E,B,D,F,M)</t>
        </is>
      </c>
      <c r="Q117" s="16" t="inlineStr">
        <is>
          <t>El counter de George Motz, EL historiador de la hamburguesa americana: smashburger con cebolla al estilo Oklahoma y griddle a la vista. Es la hamburguesa clasica llevada a doctrina — MUST de JP.</t>
        </is>
      </c>
      <c r="R117" s="16" t="inlineStr">
        <is>
          <t>155 W Houston St</t>
        </is>
      </c>
      <c r="S117" s="17" t="inlineStr">
        <is>
          <t>Día 4 · mar 1/9</t>
        </is>
      </c>
      <c r="T117" s="18" t="inlineStr">
        <is>
          <t>Abrir ↗</t>
        </is>
      </c>
      <c r="U117" s="19" t="inlineStr">
        <is>
          <t>lista google</t>
        </is>
      </c>
      <c r="V117" s="20" t="inlineStr">
        <is>
          <t>SÍ</t>
        </is>
      </c>
    </row>
    <row r="118" ht="46" customHeight="1">
      <c r="A118" s="9" t="inlineStr">
        <is>
          <t>Shake Shack (Columbus Circle / Theater District)</t>
        </is>
      </c>
      <c r="B118" s="10" t="inlineStr">
        <is>
          <t>Hamburguesería</t>
        </is>
      </c>
      <c r="C118" s="11" t="inlineStr">
        <is>
          <t>Comida</t>
        </is>
      </c>
      <c r="D118" s="11" t="inlineStr">
        <is>
          <t>Midtown</t>
        </is>
      </c>
      <c r="E118" s="11" t="inlineStr">
        <is>
          <t>Manhattan</t>
        </is>
      </c>
      <c r="F118" s="12" t="n">
        <v>1</v>
      </c>
      <c r="G118" s="12" t="n">
        <v>1</v>
      </c>
      <c r="H118" s="13">
        <f>IF(AND(F118=2,G118=2),"AMBOS",IF(AND(F118=2,G118&lt;2),"solo JP",IF(AND(F118&lt;2,G118=2),"solo Thais","-")))</f>
        <v/>
      </c>
      <c r="I118" s="14" t="n">
        <v>15</v>
      </c>
      <c r="J118" s="15" t="n">
        <v>0.5</v>
      </c>
      <c r="K118" s="13" t="inlineStr">
        <is>
          <t>SÍ</t>
        </is>
      </c>
      <c r="L118" s="16" t="inlineStr">
        <is>
          <t>—</t>
        </is>
      </c>
      <c r="M118" s="11" t="inlineStr">
        <is>
          <t>—</t>
        </is>
      </c>
      <c r="N118" s="16" t="inlineStr">
        <is>
          <t>—</t>
        </is>
      </c>
      <c r="O118" s="16" t="inlineStr">
        <is>
          <t>—</t>
        </is>
      </c>
      <c r="P118" s="16" t="inlineStr">
        <is>
          <t>59 St-Columbus Circle (1,A,B,C,D)</t>
        </is>
      </c>
      <c r="Q118" s="16" t="inlineStr">
        <is>
          <t>El burger de Madison Square Park convertido en cadena. En la lista estaban tres sucursales: esta es la más cómoda.</t>
        </is>
      </c>
      <c r="R118" s="16" t="inlineStr"/>
      <c r="S118" s="16" t="inlineStr">
        <is>
          <t>—</t>
        </is>
      </c>
      <c r="T118" s="18" t="inlineStr">
        <is>
          <t>Abrir ↗</t>
        </is>
      </c>
      <c r="U118" s="19" t="inlineStr">
        <is>
          <t>lista google</t>
        </is>
      </c>
      <c r="V118" s="20" t="inlineStr"/>
    </row>
    <row r="119" ht="46" customHeight="1">
      <c r="A119" s="9" t="inlineStr">
        <is>
          <t>Amorino</t>
        </is>
      </c>
      <c r="B119" s="10" t="inlineStr">
        <is>
          <t>Heladería y dulces</t>
        </is>
      </c>
      <c r="C119" s="11" t="inlineStr">
        <is>
          <t>Comida</t>
        </is>
      </c>
      <c r="D119" s="11" t="inlineStr">
        <is>
          <t>Manhattan</t>
        </is>
      </c>
      <c r="E119" s="11" t="inlineStr">
        <is>
          <t>Manhattan</t>
        </is>
      </c>
      <c r="F119" s="12" t="n">
        <v>1</v>
      </c>
      <c r="G119" s="12" t="n">
        <v>1</v>
      </c>
      <c r="H119" s="13">
        <f>IF(AND(F119=2,G119=2),"AMBOS",IF(AND(F119=2,G119&lt;2),"solo JP",IF(AND(F119&lt;2,G119=2),"solo Thais","-")))</f>
        <v/>
      </c>
      <c r="I119" s="14" t="n">
        <v>10</v>
      </c>
      <c r="J119" s="15" t="n">
        <v>0.3</v>
      </c>
      <c r="K119" s="13" t="inlineStr">
        <is>
          <t>SÍ</t>
        </is>
      </c>
      <c r="L119" s="16" t="inlineStr">
        <is>
          <t>—</t>
        </is>
      </c>
      <c r="M119" s="11" t="inlineStr">
        <is>
          <t>—</t>
        </is>
      </c>
      <c r="N119" s="16" t="inlineStr">
        <is>
          <t>—</t>
        </is>
      </c>
      <c r="O119" s="16" t="inlineStr">
        <is>
          <t>—</t>
        </is>
      </c>
      <c r="P119" s="16" t="inlineStr">
        <is>
          <t>-</t>
        </is>
      </c>
      <c r="Q119" s="16" t="inlineStr">
        <is>
          <t>Gelato servido en forma de flor. Más foto que helado, pero el helado es bueno.</t>
        </is>
      </c>
      <c r="R119" s="16" t="inlineStr"/>
      <c r="S119" s="16" t="inlineStr">
        <is>
          <t>—</t>
        </is>
      </c>
      <c r="T119" s="18" t="inlineStr">
        <is>
          <t>Abrir ↗</t>
        </is>
      </c>
      <c r="U119" s="19" t="inlineStr">
        <is>
          <t>lista google</t>
        </is>
      </c>
      <c r="V119" s="20" t="inlineStr"/>
    </row>
    <row r="120" ht="46" customHeight="1">
      <c r="A120" s="9" t="inlineStr">
        <is>
          <t>Dough Doughnuts</t>
        </is>
      </c>
      <c r="B120" s="10" t="inlineStr">
        <is>
          <t>Heladería y dulces</t>
        </is>
      </c>
      <c r="C120" s="11" t="inlineStr">
        <is>
          <t>Comida</t>
        </is>
      </c>
      <c r="D120" s="11" t="inlineStr">
        <is>
          <t>Midtown</t>
        </is>
      </c>
      <c r="E120" s="11" t="inlineStr">
        <is>
          <t>Manhattan</t>
        </is>
      </c>
      <c r="F120" s="12" t="n">
        <v>1</v>
      </c>
      <c r="G120" s="12" t="n">
        <v>1</v>
      </c>
      <c r="H120" s="13">
        <f>IF(AND(F120=2,G120=2),"AMBOS",IF(AND(F120=2,G120&lt;2),"solo JP",IF(AND(F120&lt;2,G120=2),"solo Thais","-")))</f>
        <v/>
      </c>
      <c r="I120" s="14" t="n">
        <v>8</v>
      </c>
      <c r="J120" s="15" t="n">
        <v>0.3</v>
      </c>
      <c r="K120" s="13" t="inlineStr">
        <is>
          <t>no</t>
        </is>
      </c>
      <c r="L120" s="16" t="inlineStr">
        <is>
          <t>—</t>
        </is>
      </c>
      <c r="M120" s="11" t="inlineStr">
        <is>
          <t>—</t>
        </is>
      </c>
      <c r="N120" s="16" t="inlineStr">
        <is>
          <t>—</t>
        </is>
      </c>
      <c r="O120" s="16" t="inlineStr">
        <is>
          <t>—</t>
        </is>
      </c>
      <c r="P120" s="16" t="inlineStr">
        <is>
          <t>47-50 Sts-Rockefeller Ctr (B,D,F,M)</t>
        </is>
      </c>
      <c r="Q120" s="16" t="inlineStr">
        <is>
          <t>Donas grandes y glaseadas (hibisco, dulce de leche). Buen desvío de cinco minutos.</t>
        </is>
      </c>
      <c r="R120" s="16" t="inlineStr"/>
      <c r="S120" s="16" t="inlineStr">
        <is>
          <t>—</t>
        </is>
      </c>
      <c r="T120" s="18" t="inlineStr">
        <is>
          <t>Abrir ↗</t>
        </is>
      </c>
      <c r="U120" s="19" t="inlineStr">
        <is>
          <t>lista google</t>
        </is>
      </c>
      <c r="V120" s="20" t="inlineStr"/>
    </row>
    <row r="121" ht="46" customHeight="1">
      <c r="A121" s="9" t="inlineStr">
        <is>
          <t>Krispy Kreme Times Square</t>
        </is>
      </c>
      <c r="B121" s="10" t="inlineStr">
        <is>
          <t>Heladería y dulces</t>
        </is>
      </c>
      <c r="C121" s="11" t="inlineStr">
        <is>
          <t>Comida</t>
        </is>
      </c>
      <c r="D121" s="11" t="inlineStr">
        <is>
          <t>Times Square</t>
        </is>
      </c>
      <c r="E121" s="11" t="inlineStr">
        <is>
          <t>Manhattan</t>
        </is>
      </c>
      <c r="F121" s="12" t="n">
        <v>1</v>
      </c>
      <c r="G121" s="12" t="n">
        <v>1</v>
      </c>
      <c r="H121" s="13">
        <f>IF(AND(F121=2,G121=2),"AMBOS",IF(AND(F121=2,G121&lt;2),"solo JP",IF(AND(F121&lt;2,G121=2),"solo Thais","-")))</f>
        <v/>
      </c>
      <c r="I121" s="14" t="n">
        <v>8</v>
      </c>
      <c r="J121" s="15" t="n">
        <v>0.4</v>
      </c>
      <c r="K121" s="13" t="inlineStr">
        <is>
          <t>SÍ</t>
        </is>
      </c>
      <c r="L121" s="16" t="inlineStr">
        <is>
          <t>—</t>
        </is>
      </c>
      <c r="M121" s="11" t="inlineStr">
        <is>
          <t>—</t>
        </is>
      </c>
      <c r="N121" s="16" t="inlineStr">
        <is>
          <t>—</t>
        </is>
      </c>
      <c r="O121" s="16" t="inlineStr">
        <is>
          <t>—</t>
        </is>
      </c>
      <c r="P121" s="16" t="inlineStr">
        <is>
          <t>42 St-Times Sq</t>
        </is>
      </c>
      <c r="Q121" s="16" t="inlineStr">
        <is>
          <t>El flagship con la línea de glaseado a la vista y el cartel gigante. Espectáculo, no gastronomía.</t>
        </is>
      </c>
      <c r="R121" s="16" t="inlineStr">
        <is>
          <t>1601 Broadway</t>
        </is>
      </c>
      <c r="S121" s="16" t="inlineStr">
        <is>
          <t>—</t>
        </is>
      </c>
      <c r="T121" s="18" t="inlineStr">
        <is>
          <t>Abrir ↗</t>
        </is>
      </c>
      <c r="U121" s="19" t="inlineStr">
        <is>
          <t>lista google</t>
        </is>
      </c>
      <c r="V121" s="20" t="inlineStr"/>
    </row>
    <row r="122" ht="46" customHeight="1">
      <c r="A122" s="9" t="inlineStr">
        <is>
          <t>Levain Bakery</t>
        </is>
      </c>
      <c r="B122" s="10" t="inlineStr">
        <is>
          <t>Heladería y dulces</t>
        </is>
      </c>
      <c r="C122" s="11" t="inlineStr">
        <is>
          <t>Comida</t>
        </is>
      </c>
      <c r="D122" s="11" t="inlineStr">
        <is>
          <t>Upper West Side</t>
        </is>
      </c>
      <c r="E122" s="11" t="inlineStr">
        <is>
          <t>Manhattan</t>
        </is>
      </c>
      <c r="F122" s="12" t="n">
        <v>1</v>
      </c>
      <c r="G122" s="12" t="n">
        <v>1</v>
      </c>
      <c r="H122" s="13">
        <f>IF(AND(F122=2,G122=2),"AMBOS",IF(AND(F122=2,G122&lt;2),"solo JP",IF(AND(F122&lt;2,G122=2),"solo Thais","-")))</f>
        <v/>
      </c>
      <c r="I122" s="14" t="n">
        <v>6</v>
      </c>
      <c r="J122" s="15" t="n">
        <v>0.3</v>
      </c>
      <c r="K122" s="13" t="inlineStr">
        <is>
          <t>no</t>
        </is>
      </c>
      <c r="L122" s="16" t="inlineStr">
        <is>
          <t>—</t>
        </is>
      </c>
      <c r="M122" s="11" t="inlineStr">
        <is>
          <t>—</t>
        </is>
      </c>
      <c r="N122" s="16" t="inlineStr">
        <is>
          <t>—</t>
        </is>
      </c>
      <c r="O122" s="16" t="inlineStr">
        <is>
          <t>—</t>
        </is>
      </c>
      <c r="P122" s="16" t="inlineStr">
        <is>
          <t>79 St (1)</t>
        </is>
      </c>
      <c r="Q122" s="16" t="inlineStr">
        <is>
          <t>La cookie de 170 gramos que hizo cola durante veinte anos. Cruda por dentro a proposito.</t>
        </is>
      </c>
      <c r="R122" s="16" t="inlineStr">
        <is>
          <t>351 Amsterdam Ave</t>
        </is>
      </c>
      <c r="S122" s="16" t="inlineStr">
        <is>
          <t>—</t>
        </is>
      </c>
      <c r="T122" s="18" t="inlineStr">
        <is>
          <t>Abrir ↗</t>
        </is>
      </c>
      <c r="U122" s="21" t="inlineStr">
        <is>
          <t>otros</t>
        </is>
      </c>
      <c r="V122" s="20" t="inlineStr"/>
    </row>
    <row r="123" ht="46" customHeight="1">
      <c r="A123" s="9" t="inlineStr">
        <is>
          <t>OddFellows Ice Cream (Domino Park)</t>
        </is>
      </c>
      <c r="B123" s="10" t="inlineStr">
        <is>
          <t>Heladería y dulces</t>
        </is>
      </c>
      <c r="C123" s="11" t="inlineStr">
        <is>
          <t>Comida</t>
        </is>
      </c>
      <c r="D123" s="11" t="inlineStr">
        <is>
          <t>Williamsburg</t>
        </is>
      </c>
      <c r="E123" s="11" t="inlineStr">
        <is>
          <t>Brooklyn</t>
        </is>
      </c>
      <c r="F123" s="12" t="n">
        <v>1</v>
      </c>
      <c r="G123" s="12" t="n">
        <v>1</v>
      </c>
      <c r="H123" s="13">
        <f>IF(AND(F123=2,G123=2),"AMBOS",IF(AND(F123=2,G123&lt;2),"solo JP",IF(AND(F123&lt;2,G123=2),"solo Thais","-")))</f>
        <v/>
      </c>
      <c r="I123" s="14" t="n">
        <v>8</v>
      </c>
      <c r="J123" s="15" t="n">
        <v>0.3</v>
      </c>
      <c r="K123" s="13" t="inlineStr">
        <is>
          <t>no</t>
        </is>
      </c>
      <c r="L123" s="16" t="inlineStr">
        <is>
          <t>—</t>
        </is>
      </c>
      <c r="M123" s="11" t="inlineStr">
        <is>
          <t>—</t>
        </is>
      </c>
      <c r="N123" s="16" t="inlineStr">
        <is>
          <t>—</t>
        </is>
      </c>
      <c r="O123" s="16" t="inlineStr">
        <is>
          <t>—</t>
        </is>
      </c>
      <c r="P123" s="16" t="inlineStr">
        <is>
          <t>Bedford Av (L), Marcy Av (J,M,Z)</t>
        </is>
      </c>
      <c r="Q123" s="16" t="inlineStr">
        <is>
          <t>Helado hecho ahi con sabores que suenan raros y funcionan. La sucursal de Kent Ave cerro: la que queda esta DENTRO DE DOMINO PARK, que ya estan visitando el sabado 5 a las 14:15.</t>
        </is>
      </c>
      <c r="R123" s="16" t="inlineStr">
        <is>
          <t>40 River St, Brooklyn</t>
        </is>
      </c>
      <c r="S123" s="16" t="inlineStr">
        <is>
          <t>—</t>
        </is>
      </c>
      <c r="T123" s="18" t="inlineStr">
        <is>
          <t>Abrir ↗</t>
        </is>
      </c>
      <c r="U123" s="21" t="inlineStr">
        <is>
          <t>otros</t>
        </is>
      </c>
      <c r="V123" s="20" t="inlineStr"/>
    </row>
    <row r="124" ht="46" customHeight="1">
      <c r="A124" s="9" t="inlineStr">
        <is>
          <t>Arthur Avenue Retail Market</t>
        </is>
      </c>
      <c r="B124" s="10" t="inlineStr">
        <is>
          <t>Mercado y food hall</t>
        </is>
      </c>
      <c r="C124" s="11" t="inlineStr">
        <is>
          <t>Comida</t>
        </is>
      </c>
      <c r="D124" s="11" t="inlineStr">
        <is>
          <t>Belmont</t>
        </is>
      </c>
      <c r="E124" s="11" t="inlineStr">
        <is>
          <t>Bronx</t>
        </is>
      </c>
      <c r="F124" s="12" t="n">
        <v>1</v>
      </c>
      <c r="G124" s="12" t="n">
        <v>1</v>
      </c>
      <c r="H124" s="13">
        <f>IF(AND(F124=2,G124=2),"AMBOS",IF(AND(F124=2,G124&lt;2),"solo JP",IF(AND(F124&lt;2,G124=2),"solo Thais","-")))</f>
        <v/>
      </c>
      <c r="I124" s="14" t="n">
        <v>20</v>
      </c>
      <c r="J124" s="15" t="n">
        <v>1.5</v>
      </c>
      <c r="K124" s="13" t="inlineStr">
        <is>
          <t>no</t>
        </is>
      </c>
      <c r="L124" s="16" t="inlineStr">
        <is>
          <t>—</t>
        </is>
      </c>
      <c r="M124" s="11" t="inlineStr">
        <is>
          <t>—</t>
        </is>
      </c>
      <c r="N124" s="16" t="inlineStr">
        <is>
          <t>—</t>
        </is>
      </c>
      <c r="O124" s="16" t="inlineStr">
        <is>
          <t>—</t>
        </is>
      </c>
      <c r="P124" s="16" t="inlineStr">
        <is>
          <t>Fordham Rd (B,D,4)</t>
        </is>
      </c>
      <c r="Q124" s="16" t="inlineStr">
        <is>
          <t>Mercado techado de 1940 que LaGuardia construyo para sacar los carritos de la calle. Mike's Deli adentro: eggplant parm y arancini.</t>
        </is>
      </c>
      <c r="R124" s="16" t="inlineStr">
        <is>
          <t>2344 Arthur Ave, Bronx</t>
        </is>
      </c>
      <c r="S124" s="16" t="inlineStr">
        <is>
          <t>—</t>
        </is>
      </c>
      <c r="T124" s="18" t="inlineStr">
        <is>
          <t>Abrir ↗</t>
        </is>
      </c>
      <c r="U124" s="19" t="inlineStr">
        <is>
          <t>lista google</t>
        </is>
      </c>
      <c r="V124" s="20" t="inlineStr"/>
    </row>
    <row r="125" ht="46" customHeight="1">
      <c r="A125" s="9" t="inlineStr">
        <is>
          <t>Chelsea Market</t>
        </is>
      </c>
      <c r="B125" s="10" t="inlineStr">
        <is>
          <t>Mercado y food hall</t>
        </is>
      </c>
      <c r="C125" s="11" t="inlineStr">
        <is>
          <t>Comida</t>
        </is>
      </c>
      <c r="D125" s="11" t="inlineStr">
        <is>
          <t>Chelsea</t>
        </is>
      </c>
      <c r="E125" s="11" t="inlineStr">
        <is>
          <t>Manhattan</t>
        </is>
      </c>
      <c r="F125" s="12" t="n">
        <v>2</v>
      </c>
      <c r="G125" s="12" t="n">
        <v>2</v>
      </c>
      <c r="H125" s="13">
        <f>IF(AND(F125=2,G125=2),"AMBOS",IF(AND(F125=2,G125&lt;2),"solo JP",IF(AND(F125&lt;2,G125=2),"solo Thais","-")))</f>
        <v/>
      </c>
      <c r="I125" s="14" t="n">
        <v>22</v>
      </c>
      <c r="J125" s="15" t="n">
        <v>1.25</v>
      </c>
      <c r="K125" s="13" t="inlineStr">
        <is>
          <t>SÍ</t>
        </is>
      </c>
      <c r="L125" s="16" t="inlineStr">
        <is>
          <t>—</t>
        </is>
      </c>
      <c r="M125" s="11" t="inlineStr">
        <is>
          <t>—</t>
        </is>
      </c>
      <c r="N125" s="16" t="inlineStr">
        <is>
          <t>—</t>
        </is>
      </c>
      <c r="O125" s="16" t="inlineStr">
        <is>
          <t>—</t>
        </is>
      </c>
      <c r="P125" s="16" t="inlineStr">
        <is>
          <t>14 St-8 Av (A,C,E,L)</t>
        </is>
      </c>
      <c r="Q125" s="16" t="inlineStr">
        <is>
          <t>Vale, pero SOLO fuera de hora pico: el almuerzo de fin de semana es insoportable. Ir martes o miercoles 9-10h o 14:30-16h. Los Tacos No.1 y Very Fresh Noodles si valen.</t>
        </is>
      </c>
      <c r="R125" s="16" t="inlineStr">
        <is>
          <t>75 9th Ave</t>
        </is>
      </c>
      <c r="S125" s="17" t="inlineStr">
        <is>
          <t>Día 7 · vie 4/9</t>
        </is>
      </c>
      <c r="T125" s="18" t="inlineStr">
        <is>
          <t>Abrir ↗</t>
        </is>
      </c>
      <c r="U125" s="19" t="inlineStr">
        <is>
          <t>lista google</t>
        </is>
      </c>
      <c r="V125" s="20" t="inlineStr">
        <is>
          <t>SÍ</t>
        </is>
      </c>
    </row>
    <row r="126" ht="46" customHeight="1">
      <c r="A126" s="9" t="inlineStr">
        <is>
          <t>DeKalb Market Hall</t>
        </is>
      </c>
      <c r="B126" s="10" t="inlineStr">
        <is>
          <t>Mercado y food hall</t>
        </is>
      </c>
      <c r="C126" s="11" t="inlineStr">
        <is>
          <t>Comida</t>
        </is>
      </c>
      <c r="D126" s="11" t="inlineStr">
        <is>
          <t>Downtown Brooklyn</t>
        </is>
      </c>
      <c r="E126" s="11" t="inlineStr">
        <is>
          <t>Brooklyn</t>
        </is>
      </c>
      <c r="F126" s="12" t="n">
        <v>1</v>
      </c>
      <c r="G126" s="12" t="n">
        <v>1</v>
      </c>
      <c r="H126" s="13">
        <f>IF(AND(F126=2,G126=2),"AMBOS",IF(AND(F126=2,G126&lt;2),"solo JP",IF(AND(F126&lt;2,G126=2),"solo Thais","-")))</f>
        <v/>
      </c>
      <c r="I126" s="14" t="n">
        <v>20</v>
      </c>
      <c r="J126" s="15" t="n">
        <v>1</v>
      </c>
      <c r="K126" s="13" t="inlineStr">
        <is>
          <t>no</t>
        </is>
      </c>
      <c r="L126" s="16" t="inlineStr">
        <is>
          <t>—</t>
        </is>
      </c>
      <c r="M126" s="11" t="inlineStr">
        <is>
          <t>—</t>
        </is>
      </c>
      <c r="N126" s="16" t="inlineStr">
        <is>
          <t>—</t>
        </is>
      </c>
      <c r="O126" s="16" t="inlineStr">
        <is>
          <t>—</t>
        </is>
      </c>
      <c r="P126" s="16" t="inlineStr">
        <is>
          <t>DeKalb Av (B,Q,R), Jay St-MetroTech</t>
        </is>
      </c>
      <c r="Q126" s="16" t="inlineStr">
        <is>
          <t>El food hall mas honesto de Brooklyn. Tiene una sucursal de Katz's adentro, sin la cola de Houston Street.</t>
        </is>
      </c>
      <c r="R126" s="16" t="inlineStr">
        <is>
          <t>445 Albee Square W, Brooklyn</t>
        </is>
      </c>
      <c r="S126" s="16" t="inlineStr">
        <is>
          <t>—</t>
        </is>
      </c>
      <c r="T126" s="18" t="inlineStr">
        <is>
          <t>Abrir ↗</t>
        </is>
      </c>
      <c r="U126" s="19" t="inlineStr">
        <is>
          <t>lista google</t>
        </is>
      </c>
      <c r="V126" s="20" t="inlineStr"/>
    </row>
    <row r="127" ht="46" customHeight="1">
      <c r="A127" s="9" t="inlineStr">
        <is>
          <t>Eataly Flatiron</t>
        </is>
      </c>
      <c r="B127" s="10" t="inlineStr">
        <is>
          <t>Mercado y food hall</t>
        </is>
      </c>
      <c r="C127" s="11" t="inlineStr">
        <is>
          <t>Comida</t>
        </is>
      </c>
      <c r="D127" s="11" t="inlineStr">
        <is>
          <t>Flatiron</t>
        </is>
      </c>
      <c r="E127" s="11" t="inlineStr">
        <is>
          <t>Manhattan</t>
        </is>
      </c>
      <c r="F127" s="12" t="n">
        <v>1</v>
      </c>
      <c r="G127" s="12" t="n">
        <v>1</v>
      </c>
      <c r="H127" s="13">
        <f>IF(AND(F127=2,G127=2),"AMBOS",IF(AND(F127=2,G127&lt;2),"solo JP",IF(AND(F127&lt;2,G127=2),"solo Thais","-")))</f>
        <v/>
      </c>
      <c r="I127" s="14" t="n">
        <v>30</v>
      </c>
      <c r="J127" s="15" t="n">
        <v>1.25</v>
      </c>
      <c r="K127" s="13" t="inlineStr">
        <is>
          <t>SÍ</t>
        </is>
      </c>
      <c r="L127" s="16" t="inlineStr">
        <is>
          <t>—</t>
        </is>
      </c>
      <c r="M127" s="11" t="inlineStr">
        <is>
          <t>—</t>
        </is>
      </c>
      <c r="N127" s="16" t="inlineStr">
        <is>
          <t>—</t>
        </is>
      </c>
      <c r="O127" s="16" t="inlineStr">
        <is>
          <t>—</t>
        </is>
      </c>
      <c r="P127" s="16" t="inlineStr">
        <is>
          <t>23 St (R,W,F,M)</t>
        </is>
      </c>
      <c r="Q127" s="16" t="inlineStr">
        <is>
          <t>Mercado italiano gigante: pasta fresca, mostradores de quesos y varias barras para comer parado.</t>
        </is>
      </c>
      <c r="R127" s="16" t="inlineStr">
        <is>
          <t>200 5th Ave</t>
        </is>
      </c>
      <c r="S127" s="16" t="inlineStr">
        <is>
          <t>—</t>
        </is>
      </c>
      <c r="T127" s="18" t="inlineStr">
        <is>
          <t>Abrir ↗</t>
        </is>
      </c>
      <c r="U127" s="19" t="inlineStr">
        <is>
          <t>lista google</t>
        </is>
      </c>
      <c r="V127" s="20" t="inlineStr"/>
    </row>
    <row r="128" ht="46" customHeight="1">
      <c r="A128" s="9" t="inlineStr">
        <is>
          <t>Essex Market</t>
        </is>
      </c>
      <c r="B128" s="10" t="inlineStr">
        <is>
          <t>Mercado y food hall</t>
        </is>
      </c>
      <c r="C128" s="11" t="inlineStr">
        <is>
          <t>Comida</t>
        </is>
      </c>
      <c r="D128" s="11" t="inlineStr">
        <is>
          <t>Lower East Side</t>
        </is>
      </c>
      <c r="E128" s="11" t="inlineStr">
        <is>
          <t>Manhattan</t>
        </is>
      </c>
      <c r="F128" s="12" t="n">
        <v>2</v>
      </c>
      <c r="G128" s="12" t="n">
        <v>2</v>
      </c>
      <c r="H128" s="13">
        <f>IF(AND(F128=2,G128=2),"AMBOS",IF(AND(F128=2,G128&lt;2),"solo JP",IF(AND(F128&lt;2,G128=2),"solo Thais","-")))</f>
        <v/>
      </c>
      <c r="I128" s="14" t="n">
        <v>20</v>
      </c>
      <c r="J128" s="15" t="n">
        <v>1</v>
      </c>
      <c r="K128" s="13" t="inlineStr">
        <is>
          <t>no</t>
        </is>
      </c>
      <c r="L128" s="16" t="inlineStr">
        <is>
          <t>lunes a miércoles: 08:00–20:00 · jueves a sábado: 08:00–21:00 · domingo: 10:00–18:00</t>
        </is>
      </c>
      <c r="M128" s="11" t="inlineStr">
        <is>
          <t>—</t>
        </is>
      </c>
      <c r="N128" s="16" t="inlineStr">
        <is>
          <t>—</t>
        </is>
      </c>
      <c r="O128" s="16" t="inlineStr">
        <is>
          <t>—</t>
        </is>
      </c>
      <c r="P128" s="16" t="inlineStr">
        <is>
          <t>Essex St (J,M,Z), Delancey St (F)</t>
        </is>
      </c>
      <c r="Q128" s="16" t="inlineStr">
        <is>
          <t>Mercado municipal desde 1940 en edificio nuevo. Sigue teniendo carniceros, pescaderos y verduleros de verdad, no solo puestos de comida para turistas.</t>
        </is>
      </c>
      <c r="R128" s="16" t="inlineStr">
        <is>
          <t>88 Essex St</t>
        </is>
      </c>
      <c r="S128" s="17" t="inlineStr">
        <is>
          <t>Día 2 · dom 30/8</t>
        </is>
      </c>
      <c r="T128" s="18" t="inlineStr">
        <is>
          <t>Abrir ↗</t>
        </is>
      </c>
      <c r="U128" s="19" t="inlineStr">
        <is>
          <t>lista google</t>
        </is>
      </c>
      <c r="V128" s="20" t="inlineStr">
        <is>
          <t>SÍ</t>
        </is>
      </c>
    </row>
    <row r="129" ht="46" customHeight="1">
      <c r="A129" s="9" t="inlineStr">
        <is>
          <t>Gansevoort Market</t>
        </is>
      </c>
      <c r="B129" s="10" t="inlineStr">
        <is>
          <t>Mercado y food hall</t>
        </is>
      </c>
      <c r="C129" s="11" t="inlineStr">
        <is>
          <t>Comida</t>
        </is>
      </c>
      <c r="D129" s="11" t="inlineStr">
        <is>
          <t>Meatpacking</t>
        </is>
      </c>
      <c r="E129" s="11" t="inlineStr">
        <is>
          <t>Manhattan</t>
        </is>
      </c>
      <c r="F129" s="12" t="n">
        <v>1</v>
      </c>
      <c r="G129" s="12" t="n">
        <v>1</v>
      </c>
      <c r="H129" s="13">
        <f>IF(AND(F129=2,G129=2),"AMBOS",IF(AND(F129=2,G129&lt;2),"solo JP",IF(AND(F129&lt;2,G129=2),"solo Thais","-")))</f>
        <v/>
      </c>
      <c r="I129" s="14" t="n">
        <v>15</v>
      </c>
      <c r="J129" s="15" t="n">
        <v>0.8</v>
      </c>
      <c r="K129" s="13" t="inlineStr">
        <is>
          <t>no</t>
        </is>
      </c>
      <c r="L129" s="16" t="inlineStr">
        <is>
          <t>—</t>
        </is>
      </c>
      <c r="M129" s="11" t="inlineStr">
        <is>
          <t>—</t>
        </is>
      </c>
      <c r="N129" s="16" t="inlineStr">
        <is>
          <t>—</t>
        </is>
      </c>
      <c r="O129" s="16" t="inlineStr">
        <is>
          <t>—</t>
        </is>
      </c>
      <c r="P129" s="16" t="inlineStr">
        <is>
          <t>14 St (A,C,E), 8 Av (L)</t>
        </is>
      </c>
      <c r="Q129" s="16" t="inlineStr">
        <is>
          <t>Food hall en un galpon del Meatpacking, mucho menos turistico que Chelsea Market y a cuatro cuadras del High Line.</t>
        </is>
      </c>
      <c r="R129" s="16" t="inlineStr">
        <is>
          <t>353 W 14th St</t>
        </is>
      </c>
      <c r="S129" s="16" t="inlineStr">
        <is>
          <t>—</t>
        </is>
      </c>
      <c r="T129" s="18" t="inlineStr">
        <is>
          <t>Abrir ↗</t>
        </is>
      </c>
      <c r="U129" s="21" t="inlineStr">
        <is>
          <t>otros</t>
        </is>
      </c>
      <c r="V129" s="20" t="inlineStr"/>
    </row>
    <row r="130" ht="46" customHeight="1">
      <c r="A130" s="9" t="inlineStr">
        <is>
          <t>Morningside Park Farmers Market</t>
        </is>
      </c>
      <c r="B130" s="10" t="inlineStr">
        <is>
          <t>Mercado y food hall</t>
        </is>
      </c>
      <c r="C130" s="11" t="inlineStr">
        <is>
          <t>Comida</t>
        </is>
      </c>
      <c r="D130" s="11" t="inlineStr">
        <is>
          <t>Morningside Heights</t>
        </is>
      </c>
      <c r="E130" s="11" t="inlineStr">
        <is>
          <t>Manhattan</t>
        </is>
      </c>
      <c r="F130" s="12" t="n">
        <v>1</v>
      </c>
      <c r="G130" s="12" t="n">
        <v>1</v>
      </c>
      <c r="H130" s="13">
        <f>IF(AND(F130=2,G130=2),"AMBOS",IF(AND(F130=2,G130&lt;2),"solo JP",IF(AND(F130&lt;2,G130=2),"solo Thais","-")))</f>
        <v/>
      </c>
      <c r="I130" s="14" t="n">
        <v>0</v>
      </c>
      <c r="J130" s="15" t="n">
        <v>0.5</v>
      </c>
      <c r="K130" s="13" t="inlineStr">
        <is>
          <t>no</t>
        </is>
      </c>
      <c r="L130" s="16" t="inlineStr">
        <is>
          <t>—</t>
        </is>
      </c>
      <c r="M130" s="11" t="inlineStr">
        <is>
          <t>—</t>
        </is>
      </c>
      <c r="N130" s="16" t="inlineStr">
        <is>
          <t>—</t>
        </is>
      </c>
      <c r="O130" s="16" t="inlineStr">
        <is>
          <t>—</t>
        </is>
      </c>
      <c r="P130" s="16" t="inlineStr">
        <is>
          <t>116 St-Columbia University (1)</t>
        </is>
      </c>
      <c r="Q130" s="16" t="inlineStr">
        <is>
          <t>Feria de productores del barrio de Columbia. Solo algunos días: verificar antes de ir.</t>
        </is>
      </c>
      <c r="R130" s="16" t="inlineStr"/>
      <c r="S130" s="16" t="inlineStr">
        <is>
          <t>—</t>
        </is>
      </c>
      <c r="T130" s="18" t="inlineStr">
        <is>
          <t>Abrir ↗</t>
        </is>
      </c>
      <c r="U130" s="19" t="inlineStr">
        <is>
          <t>lista google</t>
        </is>
      </c>
      <c r="V130" s="20" t="inlineStr"/>
    </row>
    <row r="131" ht="46" customHeight="1">
      <c r="A131" s="9" t="inlineStr">
        <is>
          <t>New World Mall Food Court</t>
        </is>
      </c>
      <c r="B131" s="10" t="inlineStr">
        <is>
          <t>Mercado y food hall</t>
        </is>
      </c>
      <c r="C131" s="11" t="inlineStr">
        <is>
          <t>Comida</t>
        </is>
      </c>
      <c r="D131" s="11" t="inlineStr">
        <is>
          <t>Flushing</t>
        </is>
      </c>
      <c r="E131" s="11" t="inlineStr">
        <is>
          <t>Queens</t>
        </is>
      </c>
      <c r="F131" s="12" t="n">
        <v>0</v>
      </c>
      <c r="G131" s="12" t="n">
        <v>0</v>
      </c>
      <c r="H131" s="13">
        <f>IF(AND(F131=2,G131=2),"AMBOS",IF(AND(F131=2,G131&lt;2),"solo JP",IF(AND(F131&lt;2,G131=2),"solo Thais","-")))</f>
        <v/>
      </c>
      <c r="I131" s="14" t="n">
        <v>15</v>
      </c>
      <c r="J131" s="15" t="n">
        <v>1.5</v>
      </c>
      <c r="K131" s="13" t="inlineStr">
        <is>
          <t>no</t>
        </is>
      </c>
      <c r="L131" s="16" t="inlineStr">
        <is>
          <t>—</t>
        </is>
      </c>
      <c r="M131" s="11" t="inlineStr">
        <is>
          <t>—</t>
        </is>
      </c>
      <c r="N131" s="16" t="inlineStr">
        <is>
          <t>—</t>
        </is>
      </c>
      <c r="O131" s="16" t="inlineStr">
        <is>
          <t>—</t>
        </is>
      </c>
      <c r="P131" s="16" t="inlineStr">
        <is>
          <t>Main St (7)</t>
        </is>
      </c>
      <c r="Q131" s="16" t="inlineStr">
        <is>
          <t>Food court subterraneo con decenas de puestos regionales chinos. Cero concesiones al paladar occidental: ahi esta la gracia.</t>
        </is>
      </c>
      <c r="R131" s="16" t="inlineStr">
        <is>
          <t>136-20 Roosevelt Ave, Flushing</t>
        </is>
      </c>
      <c r="S131" s="16" t="inlineStr">
        <is>
          <t>—</t>
        </is>
      </c>
      <c r="T131" s="18" t="inlineStr">
        <is>
          <t>Abrir ↗</t>
        </is>
      </c>
      <c r="U131" s="21" t="inlineStr">
        <is>
          <t>otros</t>
        </is>
      </c>
      <c r="V131" s="20" t="inlineStr"/>
    </row>
    <row r="132" ht="46" customHeight="1">
      <c r="A132" s="9" t="inlineStr">
        <is>
          <t>Smorgasburg Williamsburg</t>
        </is>
      </c>
      <c r="B132" s="10" t="inlineStr">
        <is>
          <t>Mercado y food hall</t>
        </is>
      </c>
      <c r="C132" s="11" t="inlineStr">
        <is>
          <t>Comida</t>
        </is>
      </c>
      <c r="D132" s="11" t="inlineStr">
        <is>
          <t>Williamsburg</t>
        </is>
      </c>
      <c r="E132" s="11" t="inlineStr">
        <is>
          <t>Brooklyn</t>
        </is>
      </c>
      <c r="F132" s="12" t="n">
        <v>1</v>
      </c>
      <c r="G132" s="12" t="n">
        <v>1</v>
      </c>
      <c r="H132" s="13">
        <f>IF(AND(F132=2,G132=2),"AMBOS",IF(AND(F132=2,G132&lt;2),"solo JP",IF(AND(F132&lt;2,G132=2),"solo Thais","-")))</f>
        <v/>
      </c>
      <c r="I132" s="14" t="n">
        <v>22</v>
      </c>
      <c r="J132" s="15" t="n">
        <v>1.5</v>
      </c>
      <c r="K132" s="13" t="inlineStr">
        <is>
          <t>no</t>
        </is>
      </c>
      <c r="L132" s="16" t="inlineStr">
        <is>
          <t>—</t>
        </is>
      </c>
      <c r="M132" s="11" t="inlineStr">
        <is>
          <t>—</t>
        </is>
      </c>
      <c r="N132" s="16" t="inlineStr">
        <is>
          <t>—</t>
        </is>
      </c>
      <c r="O132" s="16" t="inlineStr">
        <is>
          <t>—</t>
        </is>
      </c>
      <c r="P132" s="16" t="inlineStr">
        <is>
          <t>Bedford Av (L)</t>
        </is>
      </c>
      <c r="Q132" s="16" t="inlineStr">
        <is>
          <t>74 puestos esta temporada, 22 nuevos. Sirve para picar liviano y llegar con hambre a Peter Luger: porciones chicas de muchos puestos en vez de un plato.</t>
        </is>
      </c>
      <c r="R132" s="16" t="inlineStr">
        <is>
          <t>Marsha P. Johnson State Park, Kent Ave, Brooklyn</t>
        </is>
      </c>
      <c r="S132" s="16" t="inlineStr">
        <is>
          <t>—</t>
        </is>
      </c>
      <c r="T132" s="18" t="inlineStr">
        <is>
          <t>Abrir ↗</t>
        </is>
      </c>
      <c r="U132" s="21" t="inlineStr">
        <is>
          <t>otros</t>
        </is>
      </c>
      <c r="V132" s="20" t="inlineStr"/>
    </row>
    <row r="133" ht="46" customHeight="1">
      <c r="A133" s="9" t="inlineStr">
        <is>
          <t>Time Out Market</t>
        </is>
      </c>
      <c r="B133" s="10" t="inlineStr">
        <is>
          <t>Mercado y food hall</t>
        </is>
      </c>
      <c r="C133" s="11" t="inlineStr">
        <is>
          <t>Comida</t>
        </is>
      </c>
      <c r="D133" s="11" t="inlineStr">
        <is>
          <t>DUMBO</t>
        </is>
      </c>
      <c r="E133" s="11" t="inlineStr">
        <is>
          <t>Brooklyn</t>
        </is>
      </c>
      <c r="F133" s="12" t="n">
        <v>1</v>
      </c>
      <c r="G133" s="12" t="n">
        <v>1</v>
      </c>
      <c r="H133" s="13">
        <f>IF(AND(F133=2,G133=2),"AMBOS",IF(AND(F133=2,G133&lt;2),"solo JP",IF(AND(F133&lt;2,G133=2),"solo Thais","-")))</f>
        <v/>
      </c>
      <c r="I133" s="14" t="n">
        <v>25</v>
      </c>
      <c r="J133" s="15" t="n">
        <v>1.25</v>
      </c>
      <c r="K133" s="13" t="inlineStr">
        <is>
          <t>SÍ</t>
        </is>
      </c>
      <c r="L133" s="16" t="inlineStr">
        <is>
          <t>—</t>
        </is>
      </c>
      <c r="M133" s="11" t="inlineStr">
        <is>
          <t>—</t>
        </is>
      </c>
      <c r="N133" s="16" t="inlineStr">
        <is>
          <t>—</t>
        </is>
      </c>
      <c r="O133" s="16" t="inlineStr">
        <is>
          <t>—</t>
        </is>
      </c>
      <c r="P133" s="16" t="inlineStr">
        <is>
          <t>York St (F), High St (A,C)</t>
        </is>
      </c>
      <c r="Q133" s="16" t="inlineStr">
        <is>
          <t>Food hall curado con terraza que da al Brooklyn Bridge. Es turistico y esta bien: la terraza al atardecer justifica la parada.</t>
        </is>
      </c>
      <c r="R133" s="16" t="inlineStr">
        <is>
          <t>55 Water St, Brooklyn</t>
        </is>
      </c>
      <c r="S133" s="16" t="inlineStr">
        <is>
          <t>—</t>
        </is>
      </c>
      <c r="T133" s="18" t="inlineStr">
        <is>
          <t>Abrir ↗</t>
        </is>
      </c>
      <c r="U133" s="19" t="inlineStr">
        <is>
          <t>lista google</t>
        </is>
      </c>
      <c r="V133" s="20" t="inlineStr"/>
    </row>
    <row r="134" ht="46" customHeight="1">
      <c r="A134" s="9" t="inlineStr">
        <is>
          <t>Zabar's</t>
        </is>
      </c>
      <c r="B134" s="10" t="inlineStr">
        <is>
          <t>Mercado y food hall</t>
        </is>
      </c>
      <c r="C134" s="11" t="inlineStr">
        <is>
          <t>Comida</t>
        </is>
      </c>
      <c r="D134" s="11" t="inlineStr">
        <is>
          <t>Upper West Side</t>
        </is>
      </c>
      <c r="E134" s="11" t="inlineStr">
        <is>
          <t>Manhattan</t>
        </is>
      </c>
      <c r="F134" s="12" t="n">
        <v>1</v>
      </c>
      <c r="G134" s="12" t="n">
        <v>1</v>
      </c>
      <c r="H134" s="13">
        <f>IF(AND(F134=2,G134=2),"AMBOS",IF(AND(F134=2,G134&lt;2),"solo JP",IF(AND(F134&lt;2,G134=2),"solo Thais","-")))</f>
        <v/>
      </c>
      <c r="I134" s="14" t="n">
        <v>15</v>
      </c>
      <c r="J134" s="15" t="n">
        <v>0.75</v>
      </c>
      <c r="K134" s="13" t="inlineStr">
        <is>
          <t>no</t>
        </is>
      </c>
      <c r="L134" s="16" t="inlineStr">
        <is>
          <t>—</t>
        </is>
      </c>
      <c r="M134" s="11" t="inlineStr">
        <is>
          <t>—</t>
        </is>
      </c>
      <c r="N134" s="16" t="inlineStr">
        <is>
          <t>—</t>
        </is>
      </c>
      <c r="O134" s="16" t="inlineStr">
        <is>
          <t>—</t>
        </is>
      </c>
      <c r="P134" s="16" t="inlineStr">
        <is>
          <t>79 St (1)</t>
        </is>
      </c>
      <c r="Q134" s="16" t="inlineStr">
        <is>
          <t>La institución del Upper West Side desde 1934: quesos, ahumados y un café arriba. A pasos de The Beacon.</t>
        </is>
      </c>
      <c r="R134" s="16" t="inlineStr">
        <is>
          <t>2245 Broadway</t>
        </is>
      </c>
      <c r="S134" s="16" t="inlineStr">
        <is>
          <t>—</t>
        </is>
      </c>
      <c r="T134" s="18" t="inlineStr">
        <is>
          <t>Abrir ↗</t>
        </is>
      </c>
      <c r="U134" s="19" t="inlineStr">
        <is>
          <t>lista google</t>
        </is>
      </c>
      <c r="V134" s="20" t="inlineStr"/>
    </row>
    <row r="135" ht="46" customHeight="1">
      <c r="A135" s="9" t="inlineStr">
        <is>
          <t>Amy's Bread</t>
        </is>
      </c>
      <c r="B135" s="10" t="inlineStr">
        <is>
          <t>Panadería y bagels</t>
        </is>
      </c>
      <c r="C135" s="11" t="inlineStr">
        <is>
          <t>Comida</t>
        </is>
      </c>
      <c r="D135" s="11" t="inlineStr">
        <is>
          <t>Hell's Kitchen</t>
        </is>
      </c>
      <c r="E135" s="11" t="inlineStr">
        <is>
          <t>Manhattan</t>
        </is>
      </c>
      <c r="F135" s="12" t="n">
        <v>1</v>
      </c>
      <c r="G135" s="12" t="n">
        <v>1</v>
      </c>
      <c r="H135" s="13">
        <f>IF(AND(F135=2,G135=2),"AMBOS",IF(AND(F135=2,G135&lt;2),"solo JP",IF(AND(F135&lt;2,G135=2),"solo Thais","-")))</f>
        <v/>
      </c>
      <c r="I135" s="14" t="n">
        <v>8</v>
      </c>
      <c r="J135" s="15" t="n">
        <v>0.3</v>
      </c>
      <c r="K135" s="13" t="inlineStr">
        <is>
          <t>no</t>
        </is>
      </c>
      <c r="L135" s="16" t="inlineStr">
        <is>
          <t>—</t>
        </is>
      </c>
      <c r="M135" s="11" t="inlineStr">
        <is>
          <t>—</t>
        </is>
      </c>
      <c r="N135" s="16" t="inlineStr">
        <is>
          <t>—</t>
        </is>
      </c>
      <c r="O135" s="16" t="inlineStr">
        <is>
          <t>—</t>
        </is>
      </c>
      <c r="P135" s="16" t="inlineStr">
        <is>
          <t>50 St (C,E)</t>
        </is>
      </c>
      <c r="Q135" s="16" t="inlineStr">
        <is>
          <t>Panaderia de barrio desde 1992, antes de que el pan artesanal fuera moda. A cuadras del Ink48.</t>
        </is>
      </c>
      <c r="R135" s="16" t="inlineStr">
        <is>
          <t>672 9th Ave</t>
        </is>
      </c>
      <c r="S135" s="16" t="inlineStr">
        <is>
          <t>—</t>
        </is>
      </c>
      <c r="T135" s="18" t="inlineStr">
        <is>
          <t>Abrir ↗</t>
        </is>
      </c>
      <c r="U135" s="21" t="inlineStr">
        <is>
          <t>otros</t>
        </is>
      </c>
      <c r="V135" s="20" t="inlineStr"/>
    </row>
    <row r="136" ht="46" customHeight="1">
      <c r="A136" s="9" t="inlineStr">
        <is>
          <t>Bo's Bagels</t>
        </is>
      </c>
      <c r="B136" s="10" t="inlineStr">
        <is>
          <t>Panadería y bagels</t>
        </is>
      </c>
      <c r="C136" s="11" t="inlineStr">
        <is>
          <t>Comida</t>
        </is>
      </c>
      <c r="D136" s="11" t="inlineStr">
        <is>
          <t>Harlem</t>
        </is>
      </c>
      <c r="E136" s="11" t="inlineStr">
        <is>
          <t>Manhattan</t>
        </is>
      </c>
      <c r="F136" s="12" t="n">
        <v>2</v>
      </c>
      <c r="G136" s="12" t="n">
        <v>2</v>
      </c>
      <c r="H136" s="13">
        <f>IF(AND(F136=2,G136=2),"AMBOS",IF(AND(F136=2,G136&lt;2),"solo JP",IF(AND(F136&lt;2,G136=2),"solo Thais","-")))</f>
        <v/>
      </c>
      <c r="I136" s="14" t="n">
        <v>8</v>
      </c>
      <c r="J136" s="15" t="n">
        <v>0.5</v>
      </c>
      <c r="K136" s="13" t="inlineStr">
        <is>
          <t>no</t>
        </is>
      </c>
      <c r="L136" s="16" t="inlineStr">
        <is>
          <t>—</t>
        </is>
      </c>
      <c r="M136" s="11" t="inlineStr">
        <is>
          <t>—</t>
        </is>
      </c>
      <c r="N136" s="16" t="inlineStr">
        <is>
          <t>—</t>
        </is>
      </c>
      <c r="O136" s="16" t="inlineStr">
        <is>
          <t>—</t>
        </is>
      </c>
      <c r="P136" s="16" t="inlineStr">
        <is>
          <t>116 St (B,C)</t>
        </is>
      </c>
      <c r="Q136" s="16" t="inlineStr">
        <is>
          <t>El unico bagel shop dedicado de Harlem: mas chicos y densos que el estandar, con za'atar y pumpernickel-arandano.</t>
        </is>
      </c>
      <c r="R136" s="16" t="inlineStr">
        <is>
          <t>235 W 116th St</t>
        </is>
      </c>
      <c r="S136" s="17" t="inlineStr">
        <is>
          <t>Día 1 · sáb 29/8</t>
        </is>
      </c>
      <c r="T136" s="18" t="inlineStr">
        <is>
          <t>Abrir ↗</t>
        </is>
      </c>
      <c r="U136" s="19" t="inlineStr">
        <is>
          <t>lista google</t>
        </is>
      </c>
      <c r="V136" s="20" t="inlineStr">
        <is>
          <t>SÍ</t>
        </is>
      </c>
    </row>
    <row r="137" ht="46" customHeight="1">
      <c r="A137" s="9" t="inlineStr">
        <is>
          <t>Dominique Ansel Bakery</t>
        </is>
      </c>
      <c r="B137" s="10" t="inlineStr">
        <is>
          <t>Panadería y bagels</t>
        </is>
      </c>
      <c r="C137" s="11" t="inlineStr">
        <is>
          <t>Comida</t>
        </is>
      </c>
      <c r="D137" s="11" t="inlineStr">
        <is>
          <t>SoHo</t>
        </is>
      </c>
      <c r="E137" s="11" t="inlineStr">
        <is>
          <t>Manhattan</t>
        </is>
      </c>
      <c r="F137" s="12" t="n">
        <v>1</v>
      </c>
      <c r="G137" s="12" t="n">
        <v>1</v>
      </c>
      <c r="H137" s="13">
        <f>IF(AND(F137=2,G137=2),"AMBOS",IF(AND(F137=2,G137&lt;2),"solo JP",IF(AND(F137&lt;2,G137=2),"solo Thais","-")))</f>
        <v/>
      </c>
      <c r="I137" s="14" t="n">
        <v>15</v>
      </c>
      <c r="J137" s="15" t="n">
        <v>0.5</v>
      </c>
      <c r="K137" s="13" t="inlineStr">
        <is>
          <t>SÍ</t>
        </is>
      </c>
      <c r="L137" s="16" t="inlineStr">
        <is>
          <t>—</t>
        </is>
      </c>
      <c r="M137" s="11" t="inlineStr">
        <is>
          <t>—</t>
        </is>
      </c>
      <c r="N137" s="16" t="inlineStr">
        <is>
          <t>—</t>
        </is>
      </c>
      <c r="O137" s="16" t="inlineStr">
        <is>
          <t>—</t>
        </is>
      </c>
      <c r="P137" s="16" t="inlineStr">
        <is>
          <t>Spring St (C,E)</t>
        </is>
      </c>
      <c r="Q137" s="16" t="inlineStr">
        <is>
          <t>El obrador donde se inventó el cronut. Ir temprano o se agota lo bueno.</t>
        </is>
      </c>
      <c r="R137" s="16" t="inlineStr">
        <is>
          <t>189 Spring St</t>
        </is>
      </c>
      <c r="S137" s="16" t="inlineStr">
        <is>
          <t>—</t>
        </is>
      </c>
      <c r="T137" s="18" t="inlineStr">
        <is>
          <t>Abrir ↗</t>
        </is>
      </c>
      <c r="U137" s="19" t="inlineStr">
        <is>
          <t>lista google</t>
        </is>
      </c>
      <c r="V137" s="20" t="inlineStr"/>
    </row>
    <row r="138" ht="46" customHeight="1">
      <c r="A138" s="9" t="inlineStr">
        <is>
          <t>La Cabra Bakery</t>
        </is>
      </c>
      <c r="B138" s="10" t="inlineStr">
        <is>
          <t>Panadería y bagels</t>
        </is>
      </c>
      <c r="C138" s="11" t="inlineStr">
        <is>
          <t>Comida</t>
        </is>
      </c>
      <c r="D138" s="11" t="inlineStr">
        <is>
          <t>East Village</t>
        </is>
      </c>
      <c r="E138" s="11" t="inlineStr">
        <is>
          <t>Manhattan</t>
        </is>
      </c>
      <c r="F138" s="12" t="n">
        <v>1</v>
      </c>
      <c r="G138" s="12" t="n">
        <v>1</v>
      </c>
      <c r="H138" s="13">
        <f>IF(AND(F138=2,G138=2),"AMBOS",IF(AND(F138=2,G138&lt;2),"solo JP",IF(AND(F138&lt;2,G138=2),"solo Thais","-")))</f>
        <v/>
      </c>
      <c r="I138" s="14" t="n">
        <v>12</v>
      </c>
      <c r="J138" s="15" t="n">
        <v>0.5</v>
      </c>
      <c r="K138" s="13" t="inlineStr">
        <is>
          <t>no</t>
        </is>
      </c>
      <c r="L138" s="16" t="inlineStr">
        <is>
          <t>—</t>
        </is>
      </c>
      <c r="M138" s="11" t="inlineStr">
        <is>
          <t>—</t>
        </is>
      </c>
      <c r="N138" s="16" t="inlineStr">
        <is>
          <t>—</t>
        </is>
      </c>
      <c r="O138" s="16" t="inlineStr">
        <is>
          <t>—</t>
        </is>
      </c>
      <c r="P138" s="16" t="inlineStr">
        <is>
          <t>Astor Pl (6)</t>
        </is>
      </c>
      <c r="Q138" s="16" t="inlineStr">
        <is>
          <t>Panadería danesa: el cardamom bun y el laminado son de otro nivel.</t>
        </is>
      </c>
      <c r="R138" s="16" t="inlineStr">
        <is>
          <t>152 2nd Ave</t>
        </is>
      </c>
      <c r="S138" s="16" t="inlineStr">
        <is>
          <t>—</t>
        </is>
      </c>
      <c r="T138" s="18" t="inlineStr">
        <is>
          <t>Abrir ↗</t>
        </is>
      </c>
      <c r="U138" s="19" t="inlineStr">
        <is>
          <t>lista google</t>
        </is>
      </c>
      <c r="V138" s="20" t="inlineStr"/>
    </row>
    <row r="139" ht="46" customHeight="1">
      <c r="A139" s="9" t="inlineStr">
        <is>
          <t>Pop's Bagels Nolita</t>
        </is>
      </c>
      <c r="B139" s="10" t="inlineStr">
        <is>
          <t>Panadería y bagels</t>
        </is>
      </c>
      <c r="C139" s="11" t="inlineStr">
        <is>
          <t>Comida</t>
        </is>
      </c>
      <c r="D139" s="11" t="inlineStr">
        <is>
          <t>Nolita</t>
        </is>
      </c>
      <c r="E139" s="11" t="inlineStr">
        <is>
          <t>Manhattan</t>
        </is>
      </c>
      <c r="F139" s="12" t="n">
        <v>1</v>
      </c>
      <c r="G139" s="12" t="n">
        <v>1</v>
      </c>
      <c r="H139" s="13">
        <f>IF(AND(F139=2,G139=2),"AMBOS",IF(AND(F139=2,G139&lt;2),"solo JP",IF(AND(F139&lt;2,G139=2),"solo Thais","-")))</f>
        <v/>
      </c>
      <c r="I139" s="14" t="n">
        <v>10</v>
      </c>
      <c r="J139" s="15" t="n">
        <v>0.4</v>
      </c>
      <c r="K139" s="13" t="inlineStr">
        <is>
          <t>no</t>
        </is>
      </c>
      <c r="L139" s="16" t="inlineStr">
        <is>
          <t>—</t>
        </is>
      </c>
      <c r="M139" s="11" t="inlineStr">
        <is>
          <t>—</t>
        </is>
      </c>
      <c r="N139" s="16" t="inlineStr">
        <is>
          <t>—</t>
        </is>
      </c>
      <c r="O139" s="16" t="inlineStr">
        <is>
          <t>—</t>
        </is>
      </c>
      <c r="P139" s="16" t="inlineStr">
        <is>
          <t>Spring St (6)</t>
        </is>
      </c>
      <c r="Q139" s="16" t="inlineStr">
        <is>
          <t>La camada nueva del bagel neoyorquino: masa más chica y densa, hecha por tandas.</t>
        </is>
      </c>
      <c r="R139" s="16" t="inlineStr"/>
      <c r="S139" s="16" t="inlineStr">
        <is>
          <t>—</t>
        </is>
      </c>
      <c r="T139" s="18" t="inlineStr">
        <is>
          <t>Abrir ↗</t>
        </is>
      </c>
      <c r="U139" s="19" t="inlineStr">
        <is>
          <t>lista google</t>
        </is>
      </c>
      <c r="V139" s="20" t="inlineStr"/>
    </row>
    <row r="140" ht="46" customHeight="1">
      <c r="A140" s="9" t="inlineStr">
        <is>
          <t>Rudy's Pastry Shop</t>
        </is>
      </c>
      <c r="B140" s="10" t="inlineStr">
        <is>
          <t>Panadería y bagels</t>
        </is>
      </c>
      <c r="C140" s="11" t="inlineStr">
        <is>
          <t>Comida</t>
        </is>
      </c>
      <c r="D140" s="11" t="inlineStr">
        <is>
          <t>Ridgewood</t>
        </is>
      </c>
      <c r="E140" s="11" t="inlineStr">
        <is>
          <t>Queens</t>
        </is>
      </c>
      <c r="F140" s="12" t="n">
        <v>0</v>
      </c>
      <c r="G140" s="12" t="n">
        <v>0</v>
      </c>
      <c r="H140" s="13">
        <f>IF(AND(F140=2,G140=2),"AMBOS",IF(AND(F140=2,G140&lt;2),"solo JP",IF(AND(F140&lt;2,G140=2),"solo Thais","-")))</f>
        <v/>
      </c>
      <c r="I140" s="14" t="n">
        <v>6</v>
      </c>
      <c r="J140" s="15" t="n">
        <v>0.5</v>
      </c>
      <c r="K140" s="13" t="inlineStr">
        <is>
          <t>no</t>
        </is>
      </c>
      <c r="L140" s="16" t="inlineStr">
        <is>
          <t>—</t>
        </is>
      </c>
      <c r="M140" s="11" t="inlineStr">
        <is>
          <t>—</t>
        </is>
      </c>
      <c r="N140" s="16" t="inlineStr">
        <is>
          <t>—</t>
        </is>
      </c>
      <c r="O140" s="16" t="inlineStr">
        <is>
          <t>—</t>
        </is>
      </c>
      <c r="P140" s="16" t="inlineStr">
        <is>
          <t>Seneca Av (M)</t>
        </is>
      </c>
      <c r="Q140" s="16" t="inlineStr">
        <is>
          <t>Abierta en 1934, la panaderia mas vieja de Queens. Black &amp; white cookies a ~$4 y reposteria alemana que ya casi no existe.</t>
        </is>
      </c>
      <c r="R140" s="16" t="inlineStr">
        <is>
          <t>905 Seneca Ave, Ridgewood</t>
        </is>
      </c>
      <c r="S140" s="16" t="inlineStr">
        <is>
          <t>—</t>
        </is>
      </c>
      <c r="T140" s="18" t="inlineStr">
        <is>
          <t>Abrir ↗</t>
        </is>
      </c>
      <c r="U140" s="21" t="inlineStr">
        <is>
          <t>otros</t>
        </is>
      </c>
      <c r="V140" s="20" t="inlineStr"/>
    </row>
    <row r="141" ht="46" customHeight="1">
      <c r="A141" s="9" t="inlineStr">
        <is>
          <t>Vesuvio Bakery</t>
        </is>
      </c>
      <c r="B141" s="10" t="inlineStr">
        <is>
          <t>Panadería y bagels</t>
        </is>
      </c>
      <c r="C141" s="11" t="inlineStr">
        <is>
          <t>Comida</t>
        </is>
      </c>
      <c r="D141" s="11" t="inlineStr">
        <is>
          <t>SoHo</t>
        </is>
      </c>
      <c r="E141" s="11" t="inlineStr">
        <is>
          <t>Manhattan</t>
        </is>
      </c>
      <c r="F141" s="12" t="n">
        <v>1</v>
      </c>
      <c r="G141" s="12" t="n">
        <v>1</v>
      </c>
      <c r="H141" s="13">
        <f>IF(AND(F141=2,G141=2),"AMBOS",IF(AND(F141=2,G141&lt;2),"solo JP",IF(AND(F141&lt;2,G141=2),"solo Thais","-")))</f>
        <v/>
      </c>
      <c r="I141" s="14" t="n">
        <v>8</v>
      </c>
      <c r="J141" s="15" t="n">
        <v>0.3</v>
      </c>
      <c r="K141" s="13" t="inlineStr">
        <is>
          <t>no</t>
        </is>
      </c>
      <c r="L141" s="16" t="inlineStr">
        <is>
          <t>—</t>
        </is>
      </c>
      <c r="M141" s="11" t="inlineStr">
        <is>
          <t>—</t>
        </is>
      </c>
      <c r="N141" s="16" t="inlineStr">
        <is>
          <t>—</t>
        </is>
      </c>
      <c r="O141" s="16" t="inlineStr">
        <is>
          <t>—</t>
        </is>
      </c>
      <c r="P141" s="16" t="inlineStr">
        <is>
          <t>Prince St (N,R,W)</t>
        </is>
      </c>
      <c r="Q141" s="16" t="inlineStr">
        <is>
          <t>La fachada verde mas fotografiada del SoHo, panaderia desde 1920.</t>
        </is>
      </c>
      <c r="R141" s="16" t="inlineStr">
        <is>
          <t>160 Prince St</t>
        </is>
      </c>
      <c r="S141" s="16" t="inlineStr">
        <is>
          <t>—</t>
        </is>
      </c>
      <c r="T141" s="18" t="inlineStr">
        <is>
          <t>Abrir ↗</t>
        </is>
      </c>
      <c r="U141" s="21" t="inlineStr">
        <is>
          <t>otros</t>
        </is>
      </c>
      <c r="V141" s="20" t="inlineStr"/>
    </row>
    <row r="142" ht="46" customHeight="1">
      <c r="A142" s="9" t="inlineStr">
        <is>
          <t>Bleecker Street Pizza</t>
        </is>
      </c>
      <c r="B142" s="10" t="inlineStr">
        <is>
          <t>Pizzería</t>
        </is>
      </c>
      <c r="C142" s="11" t="inlineStr">
        <is>
          <t>Comida</t>
        </is>
      </c>
      <c r="D142" s="11" t="inlineStr">
        <is>
          <t>West Village</t>
        </is>
      </c>
      <c r="E142" s="11" t="inlineStr">
        <is>
          <t>Manhattan</t>
        </is>
      </c>
      <c r="F142" s="12" t="n">
        <v>1</v>
      </c>
      <c r="G142" s="12" t="n">
        <v>1</v>
      </c>
      <c r="H142" s="13">
        <f>IF(AND(F142=2,G142=2),"AMBOS",IF(AND(F142=2,G142&lt;2),"solo JP",IF(AND(F142&lt;2,G142=2),"solo Thais","-")))</f>
        <v/>
      </c>
      <c r="I142" s="14" t="n">
        <v>8</v>
      </c>
      <c r="J142" s="15" t="n">
        <v>0.4</v>
      </c>
      <c r="K142" s="13" t="inlineStr">
        <is>
          <t>no</t>
        </is>
      </c>
      <c r="L142" s="16" t="inlineStr">
        <is>
          <t>—</t>
        </is>
      </c>
      <c r="M142" s="11" t="inlineStr">
        <is>
          <t>—</t>
        </is>
      </c>
      <c r="N142" s="16" t="inlineStr">
        <is>
          <t>—</t>
        </is>
      </c>
      <c r="O142" s="16" t="inlineStr">
        <is>
          <t>—</t>
        </is>
      </c>
      <c r="P142" s="16" t="inlineStr">
        <is>
          <t>Christopher St-Sheridan Sq (1)</t>
        </is>
      </c>
      <c r="Q142" s="16" t="inlineStr">
        <is>
          <t>Slice de barrio con fila constante: la Nonna Maria (vodka sauce) es la que la puso en el mapa.</t>
        </is>
      </c>
      <c r="R142" s="16" t="inlineStr">
        <is>
          <t>69 7th Ave S</t>
        </is>
      </c>
      <c r="S142" s="16" t="inlineStr">
        <is>
          <t>—</t>
        </is>
      </c>
      <c r="T142" s="18" t="inlineStr">
        <is>
          <t>Abrir ↗</t>
        </is>
      </c>
      <c r="U142" s="19" t="inlineStr">
        <is>
          <t>lista google</t>
        </is>
      </c>
      <c r="V142" s="20" t="inlineStr"/>
    </row>
    <row r="143" ht="46" customHeight="1">
      <c r="A143" s="9" t="inlineStr">
        <is>
          <t>Emily (West Village)</t>
        </is>
      </c>
      <c r="B143" s="10" t="inlineStr">
        <is>
          <t>Pizzería</t>
        </is>
      </c>
      <c r="C143" s="11" t="inlineStr">
        <is>
          <t>Comida</t>
        </is>
      </c>
      <c r="D143" s="11" t="inlineStr">
        <is>
          <t>West Village</t>
        </is>
      </c>
      <c r="E143" s="11" t="inlineStr">
        <is>
          <t>Manhattan</t>
        </is>
      </c>
      <c r="F143" s="12" t="n">
        <v>1</v>
      </c>
      <c r="G143" s="12" t="n">
        <v>1</v>
      </c>
      <c r="H143" s="13">
        <f>IF(AND(F143=2,G143=2),"AMBOS",IF(AND(F143=2,G143&lt;2),"solo JP",IF(AND(F143&lt;2,G143=2),"solo Thais","-")))</f>
        <v/>
      </c>
      <c r="I143" s="14" t="n">
        <v>35</v>
      </c>
      <c r="J143" s="15" t="n">
        <v>1.2</v>
      </c>
      <c r="K143" s="13" t="inlineStr">
        <is>
          <t>no</t>
        </is>
      </c>
      <c r="L143" s="16" t="inlineStr">
        <is>
          <t>—</t>
        </is>
      </c>
      <c r="M143" s="11" t="inlineStr">
        <is>
          <t>—</t>
        </is>
      </c>
      <c r="N143" s="16" t="inlineStr">
        <is>
          <t>—</t>
        </is>
      </c>
      <c r="O143" s="16" t="inlineStr">
        <is>
          <t>—</t>
        </is>
      </c>
      <c r="P143" s="16" t="inlineStr">
        <is>
          <t>Houston St (1), W 4 St (A,C,E,B,D,F,M)</t>
        </is>
      </c>
      <c r="Q143" s="16" t="inlineStr">
        <is>
          <t>La Colony: pizza con pepperoni, miel caliente y mozzarella ahumada que aparece en todas las listas de la mejor de la ciudad. Tambien hacen la hamburguesa Emmy, que se pide aparte y se agota.</t>
        </is>
      </c>
      <c r="R143" s="16" t="inlineStr">
        <is>
          <t>35 Downing St</t>
        </is>
      </c>
      <c r="S143" s="16" t="inlineStr">
        <is>
          <t>—</t>
        </is>
      </c>
      <c r="T143" s="18" t="inlineStr">
        <is>
          <t>Abrir ↗</t>
        </is>
      </c>
      <c r="U143" s="21" t="inlineStr">
        <is>
          <t>otros</t>
        </is>
      </c>
      <c r="V143" s="20" t="inlineStr"/>
    </row>
    <row r="144" ht="46" customHeight="1">
      <c r="A144" s="9" t="inlineStr">
        <is>
          <t>Joe's Pizza (Carmine St)</t>
        </is>
      </c>
      <c r="B144" s="10" t="inlineStr">
        <is>
          <t>Pizzería</t>
        </is>
      </c>
      <c r="C144" s="11" t="inlineStr">
        <is>
          <t>Comida</t>
        </is>
      </c>
      <c r="D144" s="11" t="inlineStr">
        <is>
          <t>Greenwich Village</t>
        </is>
      </c>
      <c r="E144" s="11" t="inlineStr">
        <is>
          <t>Manhattan</t>
        </is>
      </c>
      <c r="F144" s="12" t="n">
        <v>1</v>
      </c>
      <c r="G144" s="12" t="n">
        <v>1</v>
      </c>
      <c r="H144" s="13">
        <f>IF(AND(F144=2,G144=2),"AMBOS",IF(AND(F144=2,G144&lt;2),"solo JP",IF(AND(F144&lt;2,G144=2),"solo Thais","-")))</f>
        <v/>
      </c>
      <c r="I144" s="14" t="n">
        <v>10</v>
      </c>
      <c r="J144" s="15" t="n">
        <v>0.3</v>
      </c>
      <c r="K144" s="13" t="inlineStr">
        <is>
          <t>no</t>
        </is>
      </c>
      <c r="L144" s="16" t="inlineStr">
        <is>
          <t>—</t>
        </is>
      </c>
      <c r="M144" s="11" t="inlineStr">
        <is>
          <t>—</t>
        </is>
      </c>
      <c r="N144" s="16" t="inlineStr">
        <is>
          <t>—</t>
        </is>
      </c>
      <c r="O144" s="16" t="inlineStr">
        <is>
          <t>—</t>
        </is>
      </c>
      <c r="P144" s="16" t="inlineStr">
        <is>
          <t>W 4 St (A,C,E,B,D,F,M)</t>
        </is>
      </c>
      <c r="Q144" s="16" t="inlineStr">
        <is>
          <t>desde 1975, la porción de muzzarella clásica de Nueva York. No hay nada más rápido que sea igual de bueno tan cerca del club.</t>
        </is>
      </c>
      <c r="R144" s="16" t="inlineStr">
        <is>
          <t>7 Carmine St</t>
        </is>
      </c>
      <c r="S144" s="16" t="inlineStr">
        <is>
          <t>—</t>
        </is>
      </c>
      <c r="T144" s="18" t="inlineStr">
        <is>
          <t>Abrir ↗</t>
        </is>
      </c>
      <c r="U144" s="21" t="inlineStr">
        <is>
          <t>otros</t>
        </is>
      </c>
      <c r="V144" s="20" t="inlineStr"/>
    </row>
    <row r="145" ht="46" customHeight="1">
      <c r="A145" s="9" t="inlineStr">
        <is>
          <t>John's of Times Square</t>
        </is>
      </c>
      <c r="B145" s="10" t="inlineStr">
        <is>
          <t>Pizzería</t>
        </is>
      </c>
      <c r="C145" s="11" t="inlineStr">
        <is>
          <t>Comida</t>
        </is>
      </c>
      <c r="D145" s="11" t="inlineStr">
        <is>
          <t>Theater District</t>
        </is>
      </c>
      <c r="E145" s="11" t="inlineStr">
        <is>
          <t>Manhattan</t>
        </is>
      </c>
      <c r="F145" s="12" t="n">
        <v>1</v>
      </c>
      <c r="G145" s="12" t="n">
        <v>1</v>
      </c>
      <c r="H145" s="13">
        <f>IF(AND(F145=2,G145=2),"AMBOS",IF(AND(F145=2,G145&lt;2),"solo JP",IF(AND(F145&lt;2,G145=2),"solo Thais","-")))</f>
        <v/>
      </c>
      <c r="I145" s="14" t="n">
        <v>25</v>
      </c>
      <c r="J145" s="15" t="n">
        <v>1</v>
      </c>
      <c r="K145" s="13" t="inlineStr">
        <is>
          <t>SÍ</t>
        </is>
      </c>
      <c r="L145" s="16" t="inlineStr">
        <is>
          <t>—</t>
        </is>
      </c>
      <c r="M145" s="11" t="inlineStr">
        <is>
          <t>—</t>
        </is>
      </c>
      <c r="N145" s="16" t="inlineStr">
        <is>
          <t>—</t>
        </is>
      </c>
      <c r="O145" s="16" t="inlineStr">
        <is>
          <t>—</t>
        </is>
      </c>
      <c r="P145" s="16" t="inlineStr">
        <is>
          <t>42 St-Port Authority (A,C,E)</t>
        </is>
      </c>
      <c r="Q145" s="16" t="inlineStr">
        <is>
          <t>Pizzería de horno a leña DENTRO de una iglesia reconvertida, con los vitrales intactos. Sin porciones: pizza entera.</t>
        </is>
      </c>
      <c r="R145" s="16" t="inlineStr">
        <is>
          <t>260 W 44th St</t>
        </is>
      </c>
      <c r="S145" s="16" t="inlineStr">
        <is>
          <t>—</t>
        </is>
      </c>
      <c r="T145" s="18" t="inlineStr">
        <is>
          <t>Abrir ↗</t>
        </is>
      </c>
      <c r="U145" s="19" t="inlineStr">
        <is>
          <t>lista google</t>
        </is>
      </c>
      <c r="V145" s="20" t="inlineStr"/>
    </row>
    <row r="146" ht="46" customHeight="1">
      <c r="A146" s="9" t="inlineStr">
        <is>
          <t>Juliana's Pizza</t>
        </is>
      </c>
      <c r="B146" s="10" t="inlineStr">
        <is>
          <t>Pizzería</t>
        </is>
      </c>
      <c r="C146" s="11" t="inlineStr">
        <is>
          <t>Comida</t>
        </is>
      </c>
      <c r="D146" s="11" t="inlineStr">
        <is>
          <t>DUMBO</t>
        </is>
      </c>
      <c r="E146" s="11" t="inlineStr">
        <is>
          <t>Brooklyn</t>
        </is>
      </c>
      <c r="F146" s="12" t="n">
        <v>1</v>
      </c>
      <c r="G146" s="12" t="n">
        <v>1</v>
      </c>
      <c r="H146" s="13">
        <f>IF(AND(F146=2,G146=2),"AMBOS",IF(AND(F146=2,G146&lt;2),"solo JP",IF(AND(F146&lt;2,G146=2),"solo Thais","-")))</f>
        <v/>
      </c>
      <c r="I146" s="14" t="n">
        <v>25</v>
      </c>
      <c r="J146" s="15" t="n">
        <v>1</v>
      </c>
      <c r="K146" s="13" t="inlineStr">
        <is>
          <t>no</t>
        </is>
      </c>
      <c r="L146" s="16" t="inlineStr">
        <is>
          <t>—</t>
        </is>
      </c>
      <c r="M146" s="11" t="inlineStr">
        <is>
          <t>—</t>
        </is>
      </c>
      <c r="N146" s="16" t="inlineStr">
        <is>
          <t>—</t>
        </is>
      </c>
      <c r="O146" s="16" t="inlineStr">
        <is>
          <t>—</t>
        </is>
      </c>
      <c r="P146" s="16" t="inlineStr">
        <is>
          <t>High St (A,C), York St (F)</t>
        </is>
      </c>
      <c r="Q146" s="16" t="inlineStr">
        <is>
          <t>es la pizzería de Patsy Grimaldi, que vendió su nombre y volvió a abrir al lado en 2012. Horno de carbón. La Margherita clásica, o la "No. 1" con mozzarella de búfala.</t>
        </is>
      </c>
      <c r="R146" s="16" t="inlineStr">
        <is>
          <t>19 Old Fulton St, Brooklyn</t>
        </is>
      </c>
      <c r="S146" s="16" t="inlineStr">
        <is>
          <t>—</t>
        </is>
      </c>
      <c r="T146" s="18" t="inlineStr">
        <is>
          <t>Abrir ↗</t>
        </is>
      </c>
      <c r="U146" s="21" t="inlineStr">
        <is>
          <t>otros</t>
        </is>
      </c>
      <c r="V146" s="20" t="inlineStr"/>
    </row>
    <row r="147" ht="46" customHeight="1">
      <c r="A147" s="9" t="inlineStr">
        <is>
          <t>L&amp;B Spumoni Gardens</t>
        </is>
      </c>
      <c r="B147" s="10" t="inlineStr">
        <is>
          <t>Pizzería</t>
        </is>
      </c>
      <c r="C147" s="11" t="inlineStr">
        <is>
          <t>Comida</t>
        </is>
      </c>
      <c r="D147" s="11" t="inlineStr">
        <is>
          <t>Gravesend</t>
        </is>
      </c>
      <c r="E147" s="11" t="inlineStr">
        <is>
          <t>Brooklyn</t>
        </is>
      </c>
      <c r="F147" s="12" t="n">
        <v>2</v>
      </c>
      <c r="G147" s="12" t="n">
        <v>2</v>
      </c>
      <c r="H147" s="13">
        <f>IF(AND(F147=2,G147=2),"AMBOS",IF(AND(F147=2,G147&lt;2),"solo JP",IF(AND(F147&lt;2,G147=2),"solo Thais","-")))</f>
        <v/>
      </c>
      <c r="I147" s="14" t="n">
        <v>15</v>
      </c>
      <c r="J147" s="15" t="n">
        <v>1.25</v>
      </c>
      <c r="K147" s="13" t="inlineStr">
        <is>
          <t>no</t>
        </is>
      </c>
      <c r="L147" s="16" t="inlineStr">
        <is>
          <t>—</t>
        </is>
      </c>
      <c r="M147" s="11" t="inlineStr">
        <is>
          <t>—</t>
        </is>
      </c>
      <c r="N147" s="16" t="inlineStr">
        <is>
          <t>—</t>
        </is>
      </c>
      <c r="O147" s="16" t="inlineStr">
        <is>
          <t>—</t>
        </is>
      </c>
      <c r="P147" s="16" t="inlineStr">
        <is>
          <t>Avenue X (F)</t>
        </is>
      </c>
      <c r="Q147" s="16" t="inlineStr">
        <is>
          <t>La square slice siciliana con la salsa ARRIBA del queso; es su invento y sigue siendo la mejor. Y el spumoni de postre. Vale el viaje hasta el sur de Brooklyn.</t>
        </is>
      </c>
      <c r="R147" s="16" t="inlineStr">
        <is>
          <t>2725 86th St, Brooklyn</t>
        </is>
      </c>
      <c r="S147" s="16" t="inlineStr">
        <is>
          <t>—</t>
        </is>
      </c>
      <c r="T147" s="18" t="inlineStr">
        <is>
          <t>Abrir ↗</t>
        </is>
      </c>
      <c r="U147" s="19" t="inlineStr">
        <is>
          <t>lista google</t>
        </is>
      </c>
      <c r="V147" s="20" t="inlineStr"/>
    </row>
    <row r="148" ht="46" customHeight="1">
      <c r="A148" s="9" t="inlineStr">
        <is>
          <t>Lucali</t>
        </is>
      </c>
      <c r="B148" s="10" t="inlineStr">
        <is>
          <t>Pizzería</t>
        </is>
      </c>
      <c r="C148" s="11" t="inlineStr">
        <is>
          <t>Comida</t>
        </is>
      </c>
      <c r="D148" s="11" t="inlineStr">
        <is>
          <t>Carroll Gardens</t>
        </is>
      </c>
      <c r="E148" s="11" t="inlineStr">
        <is>
          <t>Brooklyn</t>
        </is>
      </c>
      <c r="F148" s="12" t="n">
        <v>1</v>
      </c>
      <c r="G148" s="12" t="n">
        <v>1</v>
      </c>
      <c r="H148" s="13">
        <f>IF(AND(F148=2,G148=2),"AMBOS",IF(AND(F148=2,G148&lt;2),"solo JP",IF(AND(F148&lt;2,G148=2),"solo Thais","-")))</f>
        <v/>
      </c>
      <c r="I148" s="14" t="n">
        <v>30</v>
      </c>
      <c r="J148" s="15" t="n">
        <v>2</v>
      </c>
      <c r="K148" s="13" t="inlineStr">
        <is>
          <t>no</t>
        </is>
      </c>
      <c r="L148" s="16" t="inlineStr">
        <is>
          <t>—</t>
        </is>
      </c>
      <c r="M148" s="11" t="inlineStr">
        <is>
          <t>—</t>
        </is>
      </c>
      <c r="N148" s="16" t="inlineStr">
        <is>
          <t>—</t>
        </is>
      </c>
      <c r="O148" s="16" t="inlineStr">
        <is>
          <t>—</t>
        </is>
      </c>
      <c r="P148" s="16" t="inlineStr">
        <is>
          <t>Carroll St (F,G)</t>
        </is>
      </c>
      <c r="Q148" s="16" t="inlineStr">
        <is>
          <t>Considerada por muchos la mejor pizza de NYC. SIN reservas: hay que ir a anotarse cuando abren y volver despues. Solo si tienen paciencia.</t>
        </is>
      </c>
      <c r="R148" s="16" t="inlineStr">
        <is>
          <t>575 Henry St, Brooklyn</t>
        </is>
      </c>
      <c r="S148" s="16" t="inlineStr">
        <is>
          <t>—</t>
        </is>
      </c>
      <c r="T148" s="18" t="inlineStr">
        <is>
          <t>Abrir ↗</t>
        </is>
      </c>
      <c r="U148" s="21" t="inlineStr">
        <is>
          <t>otros</t>
        </is>
      </c>
      <c r="V148" s="20" t="inlineStr"/>
    </row>
    <row r="149" ht="46" customHeight="1">
      <c r="A149" s="9" t="inlineStr">
        <is>
          <t>Mano's Pizzeria</t>
        </is>
      </c>
      <c r="B149" s="10" t="inlineStr">
        <is>
          <t>Pizzería</t>
        </is>
      </c>
      <c r="C149" s="11" t="inlineStr">
        <is>
          <t>Comida</t>
        </is>
      </c>
      <c r="D149" s="11" t="inlineStr">
        <is>
          <t>Ridgewood</t>
        </is>
      </c>
      <c r="E149" s="11" t="inlineStr">
        <is>
          <t>Queens</t>
        </is>
      </c>
      <c r="F149" s="12" t="n">
        <v>0</v>
      </c>
      <c r="G149" s="12" t="n">
        <v>0</v>
      </c>
      <c r="H149" s="13">
        <f>IF(AND(F149=2,G149=2),"AMBOS",IF(AND(F149=2,G149&lt;2),"solo JP",IF(AND(F149&lt;2,G149=2),"solo Thais","-")))</f>
        <v/>
      </c>
      <c r="I149" s="14" t="n">
        <v>5</v>
      </c>
      <c r="J149" s="15" t="n">
        <v>0.5</v>
      </c>
      <c r="K149" s="13" t="inlineStr">
        <is>
          <t>no</t>
        </is>
      </c>
      <c r="L149" s="16" t="inlineStr">
        <is>
          <t>—</t>
        </is>
      </c>
      <c r="M149" s="11" t="inlineStr">
        <is>
          <t>—</t>
        </is>
      </c>
      <c r="N149" s="16" t="inlineStr">
        <is>
          <t>—</t>
        </is>
      </c>
      <c r="O149" s="16" t="inlineStr">
        <is>
          <t>—</t>
        </is>
      </c>
      <c r="P149" s="16" t="inlineStr">
        <is>
          <t>Forest Av (M)</t>
        </is>
      </c>
      <c r="Q149" s="16" t="inlineStr">
        <is>
          <t>La porcion plegable clasica de NY por cuatro dolares. Esto es lo que la gente come de verdad, no la cola de una hora en Prince Street.</t>
        </is>
      </c>
      <c r="R149" s="16" t="inlineStr">
        <is>
          <t>6202 Forest Ave, Ridgewood</t>
        </is>
      </c>
      <c r="S149" s="16" t="inlineStr">
        <is>
          <t>—</t>
        </is>
      </c>
      <c r="T149" s="18" t="inlineStr">
        <is>
          <t>Abrir ↗</t>
        </is>
      </c>
      <c r="U149" s="21" t="inlineStr">
        <is>
          <t>otros</t>
        </is>
      </c>
      <c r="V149" s="20" t="inlineStr"/>
    </row>
    <row r="150" ht="46" customHeight="1">
      <c r="A150" s="9" t="inlineStr">
        <is>
          <t>Totonno's</t>
        </is>
      </c>
      <c r="B150" s="10" t="inlineStr">
        <is>
          <t>Pizzería</t>
        </is>
      </c>
      <c r="C150" s="11" t="inlineStr">
        <is>
          <t>Comida</t>
        </is>
      </c>
      <c r="D150" s="11" t="inlineStr">
        <is>
          <t>Coney Island</t>
        </is>
      </c>
      <c r="E150" s="11" t="inlineStr">
        <is>
          <t>Brooklyn</t>
        </is>
      </c>
      <c r="F150" s="12" t="n">
        <v>2</v>
      </c>
      <c r="G150" s="12" t="n">
        <v>2</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Coney Island-Stillwell Av (D,F,N,Q)</t>
        </is>
      </c>
      <c r="Q150" s="16" t="inlineStr">
        <is>
          <t>Horno de carbon desde 1924, cuarta generacion. Se combina con caminar el boardwalk de Coney Island.</t>
        </is>
      </c>
      <c r="R150" s="16" t="inlineStr">
        <is>
          <t>1524 Neptune Ave, Brooklyn</t>
        </is>
      </c>
      <c r="S150" s="16" t="inlineStr">
        <is>
          <t>—</t>
        </is>
      </c>
      <c r="T150" s="18" t="inlineStr">
        <is>
          <t>Abrir ↗</t>
        </is>
      </c>
      <c r="U150" s="21" t="inlineStr">
        <is>
          <t>otros</t>
        </is>
      </c>
      <c r="V150" s="20" t="inlineStr"/>
    </row>
    <row r="151" ht="46" customHeight="1">
      <c r="A151" s="9" t="inlineStr">
        <is>
          <t>Beast &amp; Butterflies Times Square</t>
        </is>
      </c>
      <c r="B151" s="10" t="inlineStr">
        <is>
          <t>Restaurante americano</t>
        </is>
      </c>
      <c r="C151" s="11" t="inlineStr">
        <is>
          <t>Comida</t>
        </is>
      </c>
      <c r="D151" s="11" t="inlineStr">
        <is>
          <t>Times Square</t>
        </is>
      </c>
      <c r="E151" s="11" t="inlineStr">
        <is>
          <t>Manhattan</t>
        </is>
      </c>
      <c r="F151" s="12" t="n">
        <v>1</v>
      </c>
      <c r="G151" s="12" t="n">
        <v>1</v>
      </c>
      <c r="H151" s="13">
        <f>IF(AND(F151=2,G151=2),"AMBOS",IF(AND(F151=2,G151&lt;2),"solo JP",IF(AND(F151&lt;2,G151=2),"solo Thais","-")))</f>
        <v/>
      </c>
      <c r="I151" s="14" t="n">
        <v>35</v>
      </c>
      <c r="J151" s="15" t="n">
        <v>1.25</v>
      </c>
      <c r="K151" s="13" t="inlineStr">
        <is>
          <t>no</t>
        </is>
      </c>
      <c r="L151" s="16" t="inlineStr">
        <is>
          <t>—</t>
        </is>
      </c>
      <c r="M151" s="11" t="inlineStr">
        <is>
          <t>—</t>
        </is>
      </c>
      <c r="N151" s="16" t="inlineStr">
        <is>
          <t>—</t>
        </is>
      </c>
      <c r="O151" s="16" t="inlineStr">
        <is>
          <t>—</t>
        </is>
      </c>
      <c r="P151" s="16" t="inlineStr">
        <is>
          <t>42 St-Port Authority (A,C,E)</t>
        </is>
      </c>
      <c r="Q151" s="16" t="inlineStr">
        <is>
          <t>Comedor del M Social: una alternativa sentada y tranquila en pleno Times Square.</t>
        </is>
      </c>
      <c r="R151" s="16" t="inlineStr"/>
      <c r="S151" s="16" t="inlineStr">
        <is>
          <t>—</t>
        </is>
      </c>
      <c r="T151" s="18" t="inlineStr">
        <is>
          <t>Abrir ↗</t>
        </is>
      </c>
      <c r="U151" s="19" t="inlineStr">
        <is>
          <t>lista google</t>
        </is>
      </c>
      <c r="V151" s="20" t="inlineStr"/>
    </row>
    <row r="152" ht="46" customHeight="1">
      <c r="A152" s="9" t="inlineStr">
        <is>
          <t>Grand Brasserie</t>
        </is>
      </c>
      <c r="B152" s="10" t="inlineStr">
        <is>
          <t>Restaurante americano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55</v>
      </c>
      <c r="J152" s="15" t="n">
        <v>1.2</v>
      </c>
      <c r="K152" s="13" t="inlineStr">
        <is>
          <t>no</t>
        </is>
      </c>
      <c r="L152" s="16" t="inlineStr">
        <is>
          <t>—</t>
        </is>
      </c>
      <c r="M152" s="11" t="inlineStr">
        <is>
          <t>—</t>
        </is>
      </c>
      <c r="N152" s="16" t="inlineStr">
        <is>
          <t>—</t>
        </is>
      </c>
      <c r="O152" s="16" t="inlineStr">
        <is>
          <t>—</t>
        </is>
      </c>
      <c r="P152" s="16" t="inlineStr">
        <is>
          <t>Grand Central-42 St (4,5,6,7,S)</t>
        </is>
      </c>
      <c r="Q152" s="16" t="inlineStr">
        <is>
          <t>brasserie grande dentro de Vanderbilt Hall, la sala de mármol de Grand Central. El valor acá no es la cocina: es que abre 19 horas por día y está a 40 metros del ancla del viernes.</t>
        </is>
      </c>
      <c r="R152" s="16" t="inlineStr">
        <is>
          <t>89 E 42nd St</t>
        </is>
      </c>
      <c r="S152" s="16" t="inlineStr">
        <is>
          <t>—</t>
        </is>
      </c>
      <c r="T152" s="18" t="inlineStr">
        <is>
          <t>Abrir ↗</t>
        </is>
      </c>
      <c r="U152" s="21" t="inlineStr">
        <is>
          <t>otros</t>
        </is>
      </c>
      <c r="V152" s="20" t="inlineStr"/>
    </row>
    <row r="153" ht="46" customHeight="1">
      <c r="A153" s="9" t="inlineStr">
        <is>
          <t>Sylvia's</t>
        </is>
      </c>
      <c r="B153" s="10" t="inlineStr">
        <is>
          <t>Restaurante americano</t>
        </is>
      </c>
      <c r="C153" s="11" t="inlineStr">
        <is>
          <t>Comida</t>
        </is>
      </c>
      <c r="D153" s="11" t="inlineStr">
        <is>
          <t>Harlem</t>
        </is>
      </c>
      <c r="E153" s="11" t="inlineStr">
        <is>
          <t>Manhattan</t>
        </is>
      </c>
      <c r="F153" s="12" t="n">
        <v>1</v>
      </c>
      <c r="G153" s="12" t="n">
        <v>1</v>
      </c>
      <c r="H153" s="13">
        <f>IF(AND(F153=2,G153=2),"AMBOS",IF(AND(F153=2,G153&lt;2),"solo JP",IF(AND(F153&lt;2,G153=2),"solo Thais","-")))</f>
        <v/>
      </c>
      <c r="I153" s="14" t="n">
        <v>30</v>
      </c>
      <c r="J153" s="15" t="n">
        <v>1.2</v>
      </c>
      <c r="K153" s="13" t="inlineStr">
        <is>
          <t>no</t>
        </is>
      </c>
      <c r="L153" s="16" t="inlineStr">
        <is>
          <t>—</t>
        </is>
      </c>
      <c r="M153" s="11" t="inlineStr">
        <is>
          <t>—</t>
        </is>
      </c>
      <c r="N153" s="16" t="inlineStr">
        <is>
          <t>—</t>
        </is>
      </c>
      <c r="O153" s="16" t="inlineStr">
        <is>
          <t>—</t>
        </is>
      </c>
      <c r="P153" s="16" t="inlineStr">
        <is>
          <t>125 St (2,3)</t>
        </is>
      </c>
      <c r="Q153" s="16" t="inlineStr">
        <is>
          <t>Soul food desde 1962, la mesa donde comieron todos los que pasaron por Harlem.</t>
        </is>
      </c>
      <c r="R153" s="16" t="inlineStr">
        <is>
          <t>328 Malcolm X Blvd</t>
        </is>
      </c>
      <c r="S153" s="16" t="inlineStr">
        <is>
          <t>—</t>
        </is>
      </c>
      <c r="T153" s="18" t="inlineStr">
        <is>
          <t>Abrir ↗</t>
        </is>
      </c>
      <c r="U153" s="21" t="inlineStr">
        <is>
          <t>otros</t>
        </is>
      </c>
      <c r="V153" s="20" t="inlineStr"/>
    </row>
    <row r="154" ht="46" customHeight="1">
      <c r="A154" s="9" t="inlineStr">
        <is>
          <t>Central Park Boathouse</t>
        </is>
      </c>
      <c r="B154" s="10" t="inlineStr">
        <is>
          <t>Restaurante con vista</t>
        </is>
      </c>
      <c r="C154" s="11" t="inlineStr">
        <is>
          <t>Comida</t>
        </is>
      </c>
      <c r="D154" s="11" t="inlineStr">
        <is>
          <t>Central Park</t>
        </is>
      </c>
      <c r="E154" s="11" t="inlineStr">
        <is>
          <t>Manhattan</t>
        </is>
      </c>
      <c r="F154" s="12" t="n">
        <v>1</v>
      </c>
      <c r="G154" s="12" t="n">
        <v>1</v>
      </c>
      <c r="H154" s="13">
        <f>IF(AND(F154=2,G154=2),"AMBOS",IF(AND(F154=2,G154&lt;2),"solo JP",IF(AND(F154&lt;2,G154=2),"solo Thais","-")))</f>
        <v/>
      </c>
      <c r="I154" s="14" t="n">
        <v>45</v>
      </c>
      <c r="J154" s="15" t="n">
        <v>1.25</v>
      </c>
      <c r="K154" s="13" t="inlineStr">
        <is>
          <t>SÍ</t>
        </is>
      </c>
      <c r="L154" s="16" t="inlineStr">
        <is>
          <t>—</t>
        </is>
      </c>
      <c r="M154" s="11" t="inlineStr">
        <is>
          <t>—</t>
        </is>
      </c>
      <c r="N154" s="16" t="inlineStr">
        <is>
          <t>—</t>
        </is>
      </c>
      <c r="O154" s="16" t="inlineStr">
        <is>
          <t>—</t>
        </is>
      </c>
      <c r="P154" s="16" t="inlineStr">
        <is>
          <t>72 St (B,C)</t>
        </is>
      </c>
      <c r="Q154" s="16" t="inlineStr">
        <is>
          <t>Almuerzo sobre el lago, con los botes de remo pasando. Es LA postal del parque, y se come bien.</t>
        </is>
      </c>
      <c r="R154" s="16" t="inlineStr">
        <is>
          <t>E 72nd St &amp; Park Dr N</t>
        </is>
      </c>
      <c r="S154" s="16" t="inlineStr">
        <is>
          <t>—</t>
        </is>
      </c>
      <c r="T154" s="18" t="inlineStr">
        <is>
          <t>Abrir ↗</t>
        </is>
      </c>
      <c r="U154" s="19" t="inlineStr">
        <is>
          <t>lista google</t>
        </is>
      </c>
      <c r="V154" s="20" t="inlineStr"/>
    </row>
    <row r="155" ht="46" customHeight="1">
      <c r="A155" s="9" t="inlineStr">
        <is>
          <t>Manhatta</t>
        </is>
      </c>
      <c r="B155" s="10" t="inlineStr">
        <is>
          <t>Restaurante con vista</t>
        </is>
      </c>
      <c r="C155" s="11" t="inlineStr">
        <is>
          <t>Comida</t>
        </is>
      </c>
      <c r="D155" s="11" t="inlineStr">
        <is>
          <t>Financial District</t>
        </is>
      </c>
      <c r="E155" s="11" t="inlineStr">
        <is>
          <t>Manhattan</t>
        </is>
      </c>
      <c r="F155" s="12" t="n">
        <v>1</v>
      </c>
      <c r="G155" s="12" t="n">
        <v>1</v>
      </c>
      <c r="H155" s="13">
        <f>IF(AND(F155=2,G155=2),"AMBOS",IF(AND(F155=2,G155&lt;2),"solo JP",IF(AND(F155&lt;2,G155=2),"solo Thais","-")))</f>
        <v/>
      </c>
      <c r="I155" s="14" t="n">
        <v>90</v>
      </c>
      <c r="J155" s="15" t="n">
        <v>1.75</v>
      </c>
      <c r="K155" s="13" t="inlineStr">
        <is>
          <t>SÍ</t>
        </is>
      </c>
      <c r="L155" s="16" t="inlineStr">
        <is>
          <t>—</t>
        </is>
      </c>
      <c r="M155" s="11" t="inlineStr">
        <is>
          <t>—</t>
        </is>
      </c>
      <c r="N155" s="16" t="inlineStr">
        <is>
          <t>—</t>
        </is>
      </c>
      <c r="O155" s="16" t="inlineStr">
        <is>
          <t>—</t>
        </is>
      </c>
      <c r="P155" s="16" t="inlineStr">
        <is>
          <t>Wall St (2,3)</t>
        </is>
      </c>
      <c r="Q155" s="16" t="inlineStr">
        <is>
          <t>El restaurante de Danny Meyer en el piso 60: la vista de un observatorio pago, sentado y con vino.</t>
        </is>
      </c>
      <c r="R155" s="16" t="inlineStr">
        <is>
          <t>28 Liberty St, piso 60</t>
        </is>
      </c>
      <c r="S155" s="16" t="inlineStr">
        <is>
          <t>—</t>
        </is>
      </c>
      <c r="T155" s="18" t="inlineStr">
        <is>
          <t>Abrir ↗</t>
        </is>
      </c>
      <c r="U155" s="19" t="inlineStr">
        <is>
          <t>lista google</t>
        </is>
      </c>
      <c r="V155" s="20" t="inlineStr"/>
    </row>
    <row r="156" ht="46" customHeight="1">
      <c r="A156" s="9" t="inlineStr">
        <is>
          <t>Africa Kine</t>
        </is>
      </c>
      <c r="B156" s="10" t="inlineStr">
        <is>
          <t>Restaurante étnico</t>
        </is>
      </c>
      <c r="C156" s="11" t="inlineStr">
        <is>
          <t>Comida</t>
        </is>
      </c>
      <c r="D156" s="11" t="inlineStr">
        <is>
          <t>Harlem</t>
        </is>
      </c>
      <c r="E156" s="11" t="inlineStr">
        <is>
          <t>Manhattan</t>
        </is>
      </c>
      <c r="F156" s="12" t="n">
        <v>1</v>
      </c>
      <c r="G156" s="12" t="n">
        <v>1</v>
      </c>
      <c r="H156" s="13">
        <f>IF(AND(F156=2,G156=2),"AMBOS",IF(AND(F156=2,G156&lt;2),"solo JP",IF(AND(F156&lt;2,G156=2),"solo Thais","-")))</f>
        <v/>
      </c>
      <c r="I156" s="14" t="n">
        <v>25</v>
      </c>
      <c r="J156" s="15" t="n">
        <v>1</v>
      </c>
      <c r="K156" s="13" t="inlineStr">
        <is>
          <t>no</t>
        </is>
      </c>
      <c r="L156" s="16" t="inlineStr">
        <is>
          <t>—</t>
        </is>
      </c>
      <c r="M156" s="11" t="inlineStr">
        <is>
          <t>—</t>
        </is>
      </c>
      <c r="N156" s="16" t="inlineStr">
        <is>
          <t>—</t>
        </is>
      </c>
      <c r="O156" s="16" t="inlineStr">
        <is>
          <t>—</t>
        </is>
      </c>
      <c r="P156" s="16" t="inlineStr">
        <is>
          <t>116 St (2,3)</t>
        </is>
      </c>
      <c r="Q156" s="16" t="inlineStr">
        <is>
          <t>el senegalés más veterano de Nueva York, el ancla del Little Senegal de Harlem. Pedí thiéboudienne (arroz con pescado, plato nacional) o yassa de pollo con cebolla, limón y aceitunas. Es otra cocina, no una variante del soul food de Sylvia's.</t>
        </is>
      </c>
      <c r="R156" s="16" t="inlineStr">
        <is>
          <t>2267 Adam Clayton Powell Jr Blvd</t>
        </is>
      </c>
      <c r="S156" s="16" t="inlineStr">
        <is>
          <t>—</t>
        </is>
      </c>
      <c r="T156" s="18" t="inlineStr">
        <is>
          <t>Abrir ↗</t>
        </is>
      </c>
      <c r="U156" s="21" t="inlineStr">
        <is>
          <t>otros</t>
        </is>
      </c>
      <c r="V156" s="20" t="inlineStr"/>
    </row>
    <row r="157" ht="46" customHeight="1">
      <c r="A157" s="9" t="inlineStr">
        <is>
          <t>Carmine's 44th Street</t>
        </is>
      </c>
      <c r="B157" s="10" t="inlineStr">
        <is>
          <t>Restaurante étnico</t>
        </is>
      </c>
      <c r="C157" s="11" t="inlineStr">
        <is>
          <t>Comida</t>
        </is>
      </c>
      <c r="D157" s="11" t="inlineStr">
        <is>
          <t>Theater District</t>
        </is>
      </c>
      <c r="E157" s="11" t="inlineStr">
        <is>
          <t>Manhattan</t>
        </is>
      </c>
      <c r="F157" s="12" t="n">
        <v>1</v>
      </c>
      <c r="G157" s="12" t="n">
        <v>1</v>
      </c>
      <c r="H157" s="13">
        <f>IF(AND(F157=2,G157=2),"AMBOS",IF(AND(F157=2,G157&lt;2),"solo JP",IF(AND(F157&lt;2,G157=2),"solo Thais","-")))</f>
        <v/>
      </c>
      <c r="I157" s="14" t="n">
        <v>45</v>
      </c>
      <c r="J157" s="15" t="n">
        <v>1.5</v>
      </c>
      <c r="K157" s="13" t="inlineStr">
        <is>
          <t>SÍ</t>
        </is>
      </c>
      <c r="L157" s="16" t="inlineStr">
        <is>
          <t>—</t>
        </is>
      </c>
      <c r="M157" s="11" t="inlineStr">
        <is>
          <t>—</t>
        </is>
      </c>
      <c r="N157" s="16" t="inlineStr">
        <is>
          <t>—</t>
        </is>
      </c>
      <c r="O157" s="16" t="inlineStr">
        <is>
          <t>—</t>
        </is>
      </c>
      <c r="P157" s="16" t="inlineStr">
        <is>
          <t>42 St-Times Sq</t>
        </is>
      </c>
      <c r="Q157" s="16" t="inlineStr">
        <is>
          <t>Italiano familiar de platos para compartir, pensado para antes del teatro. Reservar.</t>
        </is>
      </c>
      <c r="R157" s="16" t="inlineStr">
        <is>
          <t>200 W 44th St</t>
        </is>
      </c>
      <c r="S157" s="16" t="inlineStr">
        <is>
          <t>—</t>
        </is>
      </c>
      <c r="T157" s="18" t="inlineStr">
        <is>
          <t>Abrir ↗</t>
        </is>
      </c>
      <c r="U157" s="19" t="inlineStr">
        <is>
          <t>lista google</t>
        </is>
      </c>
      <c r="V157" s="20" t="inlineStr"/>
    </row>
    <row r="158" ht="46" customHeight="1">
      <c r="A158" s="9" t="inlineStr">
        <is>
          <t>Deluxe Green Bo</t>
        </is>
      </c>
      <c r="B158" s="10" t="inlineStr">
        <is>
          <t>Restaurante étnico</t>
        </is>
      </c>
      <c r="C158" s="11" t="inlineStr">
        <is>
          <t>Comida</t>
        </is>
      </c>
      <c r="D158" s="11" t="inlineStr">
        <is>
          <t>Chinatown</t>
        </is>
      </c>
      <c r="E158" s="11" t="inlineStr">
        <is>
          <t>Manhattan</t>
        </is>
      </c>
      <c r="F158" s="12" t="n">
        <v>1</v>
      </c>
      <c r="G158" s="12" t="n">
        <v>1</v>
      </c>
      <c r="H158" s="13">
        <f>IF(AND(F158=2,G158=2),"AMBOS",IF(AND(F158=2,G158&lt;2),"solo JP",IF(AND(F158&lt;2,G158=2),"solo Thais","-")))</f>
        <v/>
      </c>
      <c r="I158" s="14" t="n">
        <v>20</v>
      </c>
      <c r="J158" s="15" t="n">
        <v>1</v>
      </c>
      <c r="K158" s="13" t="inlineStr">
        <is>
          <t>no</t>
        </is>
      </c>
      <c r="L158" s="16" t="inlineStr">
        <is>
          <t>—</t>
        </is>
      </c>
      <c r="M158" s="11" t="inlineStr">
        <is>
          <t>—</t>
        </is>
      </c>
      <c r="N158" s="16" t="inlineStr">
        <is>
          <t>—</t>
        </is>
      </c>
      <c r="O158" s="16" t="inlineStr">
        <is>
          <t>—</t>
        </is>
      </c>
      <c r="P158" s="16" t="inlineStr">
        <is>
          <t>Canal St (6,N,Q,R,W,J,Z)</t>
        </is>
      </c>
      <c r="Q158" s="16" t="inlineStr">
        <is>
          <t>Shanghainés viejo de Chinatown: los soup dumplings y el pork chop rice cake.</t>
        </is>
      </c>
      <c r="R158" s="16" t="inlineStr">
        <is>
          <t>66 Bayard St</t>
        </is>
      </c>
      <c r="S158" s="16" t="inlineStr">
        <is>
          <t>—</t>
        </is>
      </c>
      <c r="T158" s="18" t="inlineStr">
        <is>
          <t>Abrir ↗</t>
        </is>
      </c>
      <c r="U158" s="19" t="inlineStr">
        <is>
          <t>lista google</t>
        </is>
      </c>
      <c r="V158" s="20" t="inlineStr"/>
    </row>
    <row r="159" ht="46" customHeight="1">
      <c r="A159" s="9" t="inlineStr">
        <is>
          <t>He Nan Mian Guan</t>
        </is>
      </c>
      <c r="B159" s="10" t="inlineStr">
        <is>
          <t>Restaurante étnico</t>
        </is>
      </c>
      <c r="C159" s="11" t="inlineStr">
        <is>
          <t>Comida</t>
        </is>
      </c>
      <c r="D159" s="11" t="inlineStr">
        <is>
          <t>Flushing</t>
        </is>
      </c>
      <c r="E159" s="11" t="inlineStr">
        <is>
          <t>Queens</t>
        </is>
      </c>
      <c r="F159" s="12" t="n">
        <v>0</v>
      </c>
      <c r="G159" s="12" t="n">
        <v>0</v>
      </c>
      <c r="H159" s="13">
        <f>IF(AND(F159=2,G159=2),"AMBOS",IF(AND(F159=2,G159&lt;2),"solo JP",IF(AND(F159&lt;2,G159=2),"solo Thais","-")))</f>
        <v/>
      </c>
      <c r="I159" s="14" t="n">
        <v>12</v>
      </c>
      <c r="J159" s="15" t="n">
        <v>1</v>
      </c>
      <c r="K159" s="13" t="inlineStr">
        <is>
          <t>no</t>
        </is>
      </c>
      <c r="L159" s="16" t="inlineStr">
        <is>
          <t>—</t>
        </is>
      </c>
      <c r="M159" s="11" t="inlineStr">
        <is>
          <t>—</t>
        </is>
      </c>
      <c r="N159" s="16" t="inlineStr">
        <is>
          <t>—</t>
        </is>
      </c>
      <c r="O159" s="16" t="inlineStr">
        <is>
          <t>—</t>
        </is>
      </c>
      <c r="P159" s="16" t="inlineStr">
        <is>
          <t>Main St (7)</t>
        </is>
      </c>
      <c r="Q159" s="16" t="inlineStr">
        <is>
          <t>Fideos estirados a mano y rou jia mo (el 'hamburguesa' china de cerdo desmenuzado). Abre a las 6:30 de la manana.</t>
        </is>
      </c>
      <c r="R159" s="16" t="inlineStr">
        <is>
          <t>136-31 41st Ave, Flushing</t>
        </is>
      </c>
      <c r="S159" s="16" t="inlineStr">
        <is>
          <t>—</t>
        </is>
      </c>
      <c r="T159" s="18" t="inlineStr">
        <is>
          <t>Abrir ↗</t>
        </is>
      </c>
      <c r="U159" s="21" t="inlineStr">
        <is>
          <t>otros</t>
        </is>
      </c>
      <c r="V159" s="20" t="inlineStr"/>
    </row>
    <row r="160" ht="46" customHeight="1">
      <c r="A160" s="9" t="inlineStr">
        <is>
          <t>Hue House</t>
        </is>
      </c>
      <c r="B160" s="10" t="inlineStr">
        <is>
          <t>Restaurante étnico</t>
        </is>
      </c>
      <c r="C160" s="11" t="inlineStr">
        <is>
          <t>Comida</t>
        </is>
      </c>
      <c r="D160" s="11" t="inlineStr">
        <is>
          <t>Manhattan</t>
        </is>
      </c>
      <c r="E160" s="11" t="inlineStr">
        <is>
          <t>Manhattan</t>
        </is>
      </c>
      <c r="F160" s="12" t="n">
        <v>1</v>
      </c>
      <c r="G160" s="12" t="n">
        <v>1</v>
      </c>
      <c r="H160" s="13">
        <f>IF(AND(F160=2,G160=2),"AMBOS",IF(AND(F160=2,G160&lt;2),"solo JP",IF(AND(F160&lt;2,G160=2),"solo Thais","-")))</f>
        <v/>
      </c>
      <c r="I160" s="14" t="n">
        <v>45</v>
      </c>
      <c r="J160" s="15" t="n">
        <v>1.25</v>
      </c>
      <c r="K160" s="13" t="inlineStr">
        <is>
          <t>no</t>
        </is>
      </c>
      <c r="L160" s="16" t="inlineStr">
        <is>
          <t>—</t>
        </is>
      </c>
      <c r="M160" s="11" t="inlineStr">
        <is>
          <t>—</t>
        </is>
      </c>
      <c r="N160" s="16" t="inlineStr">
        <is>
          <t>—</t>
        </is>
      </c>
      <c r="O160" s="16" t="inlineStr">
        <is>
          <t>—</t>
        </is>
      </c>
      <c r="P160" s="16" t="inlineStr">
        <is>
          <t>-</t>
        </is>
      </c>
      <c r="Q160" s="16" t="inlineStr">
        <is>
          <t>Taiwanés moderno, cocina de isla sin concesiones al paladar turístico.</t>
        </is>
      </c>
      <c r="R160" s="16" t="inlineStr"/>
      <c r="S160" s="16" t="inlineStr">
        <is>
          <t>—</t>
        </is>
      </c>
      <c r="T160" s="18" t="inlineStr">
        <is>
          <t>Abrir ↗</t>
        </is>
      </c>
      <c r="U160" s="19" t="inlineStr">
        <is>
          <t>lista google</t>
        </is>
      </c>
      <c r="V160" s="20" t="inlineStr"/>
    </row>
    <row r="161" ht="46" customHeight="1">
      <c r="A161" s="9" t="inlineStr">
        <is>
          <t>Jalapeno King</t>
        </is>
      </c>
      <c r="B161" s="10" t="inlineStr">
        <is>
          <t>Restaurante étnico</t>
        </is>
      </c>
      <c r="C161" s="11" t="inlineStr">
        <is>
          <t>Comida</t>
        </is>
      </c>
      <c r="D161" s="11" t="inlineStr">
        <is>
          <t>Sunset Park</t>
        </is>
      </c>
      <c r="E161" s="11" t="inlineStr">
        <is>
          <t>Brooklyn</t>
        </is>
      </c>
      <c r="F161" s="12" t="n">
        <v>0</v>
      </c>
      <c r="G161" s="12" t="n">
        <v>0</v>
      </c>
      <c r="H161" s="13">
        <f>IF(AND(F161=2,G161=2),"AMBOS",IF(AND(F161=2,G161&lt;2),"solo JP",IF(AND(F161&lt;2,G161=2),"solo Thais","-")))</f>
        <v/>
      </c>
      <c r="I161" s="14" t="n">
        <v>14</v>
      </c>
      <c r="J161" s="15" t="n">
        <v>1</v>
      </c>
      <c r="K161" s="13" t="inlineStr">
        <is>
          <t>no</t>
        </is>
      </c>
      <c r="L161" s="16" t="inlineStr">
        <is>
          <t>—</t>
        </is>
      </c>
      <c r="M161" s="11" t="inlineStr">
        <is>
          <t>—</t>
        </is>
      </c>
      <c r="N161" s="16" t="inlineStr">
        <is>
          <t>—</t>
        </is>
      </c>
      <c r="O161" s="16" t="inlineStr">
        <is>
          <t>—</t>
        </is>
      </c>
      <c r="P161" s="16" t="inlineStr">
        <is>
          <t>45 St (R)</t>
        </is>
      </c>
      <c r="Q161" s="16" t="inlineStr">
        <is>
          <t>Tortillas hechas en casa. La torta de bistec y las picaditas de carne. Mexicano poblano de barrio, sin traduccion al ingles.</t>
        </is>
      </c>
      <c r="R161" s="16" t="inlineStr">
        <is>
          <t>5th Ave entre 22nd y 23rd St, Brooklyn</t>
        </is>
      </c>
      <c r="S161" s="16" t="inlineStr">
        <is>
          <t>—</t>
        </is>
      </c>
      <c r="T161" s="18" t="inlineStr">
        <is>
          <t>Abrir ↗</t>
        </is>
      </c>
      <c r="U161" s="21" t="inlineStr">
        <is>
          <t>otros</t>
        </is>
      </c>
      <c r="V161" s="20" t="inlineStr"/>
    </row>
    <row r="162" ht="46" customHeight="1">
      <c r="A162" s="9" t="inlineStr">
        <is>
          <t>Joe's Shanghai (Chinatown)</t>
        </is>
      </c>
      <c r="B162" s="10" t="inlineStr">
        <is>
          <t>Restaurante étnico</t>
        </is>
      </c>
      <c r="C162" s="11" t="inlineStr">
        <is>
          <t>Comida</t>
        </is>
      </c>
      <c r="D162" s="11" t="inlineStr">
        <is>
          <t>Chinatown</t>
        </is>
      </c>
      <c r="E162" s="11" t="inlineStr">
        <is>
          <t>Manhattan</t>
        </is>
      </c>
      <c r="F162" s="12" t="n">
        <v>1</v>
      </c>
      <c r="G162" s="12" t="n">
        <v>1</v>
      </c>
      <c r="H162" s="13">
        <f>IF(AND(F162=2,G162=2),"AMBOS",IF(AND(F162=2,G162&lt;2),"solo JP",IF(AND(F162&lt;2,G162=2),"solo Thais","-")))</f>
        <v/>
      </c>
      <c r="I162" s="14" t="n">
        <v>28</v>
      </c>
      <c r="J162" s="15" t="n">
        <v>1</v>
      </c>
      <c r="K162" s="13" t="inlineStr">
        <is>
          <t>no</t>
        </is>
      </c>
      <c r="L162" s="16" t="inlineStr">
        <is>
          <t>—</t>
        </is>
      </c>
      <c r="M162" s="11" t="inlineStr">
        <is>
          <t>—</t>
        </is>
      </c>
      <c r="N162" s="16" t="inlineStr">
        <is>
          <t>—</t>
        </is>
      </c>
      <c r="O162" s="16" t="inlineStr">
        <is>
          <t>—</t>
        </is>
      </c>
      <c r="P162" s="16" t="inlineStr">
        <is>
          <t>Canal St (J,N,Q,R,W,6), Grand St (B,D)</t>
        </is>
      </c>
      <c r="Q162" s="16" t="inlineStr">
        <is>
          <t>Los soup dumplings que pusieron el xiao long bao en el mapa de Nueva York en 1995. Mesas compartidas, cero decoracion, cola en la puerta. Esta a dos cuadras de donde almuerzan el domingo 30.</t>
        </is>
      </c>
      <c r="R162" s="16" t="inlineStr">
        <is>
          <t>46 Bowery</t>
        </is>
      </c>
      <c r="S162" s="16" t="inlineStr">
        <is>
          <t>—</t>
        </is>
      </c>
      <c r="T162" s="18" t="inlineStr">
        <is>
          <t>Abrir ↗</t>
        </is>
      </c>
      <c r="U162" s="21" t="inlineStr">
        <is>
          <t>otros</t>
        </is>
      </c>
      <c r="V162" s="20" t="inlineStr"/>
    </row>
    <row r="163" ht="46" customHeight="1">
      <c r="A163" s="9" t="inlineStr">
        <is>
          <t>Karczma</t>
        </is>
      </c>
      <c r="B163" s="10" t="inlineStr">
        <is>
          <t>Restaurante étnico</t>
        </is>
      </c>
      <c r="C163" s="11" t="inlineStr">
        <is>
          <t>Comida</t>
        </is>
      </c>
      <c r="D163" s="11" t="inlineStr">
        <is>
          <t>Greenpoint</t>
        </is>
      </c>
      <c r="E163" s="11" t="inlineStr">
        <is>
          <t>Brooklyn</t>
        </is>
      </c>
      <c r="F163" s="12" t="n">
        <v>0</v>
      </c>
      <c r="G163" s="12" t="n">
        <v>0</v>
      </c>
      <c r="H163" s="13">
        <f>IF(AND(F163=2,G163=2),"AMBOS",IF(AND(F163=2,G163&lt;2),"solo JP",IF(AND(F163&lt;2,G163=2),"solo Thais","-")))</f>
        <v/>
      </c>
      <c r="I163" s="14" t="n">
        <v>25</v>
      </c>
      <c r="J163" s="15" t="n">
        <v>1.5</v>
      </c>
      <c r="K163" s="13" t="inlineStr">
        <is>
          <t>no</t>
        </is>
      </c>
      <c r="L163" s="16" t="inlineStr">
        <is>
          <t>—</t>
        </is>
      </c>
      <c r="M163" s="11" t="inlineStr">
        <is>
          <t>—</t>
        </is>
      </c>
      <c r="N163" s="16" t="inlineStr">
        <is>
          <t>—</t>
        </is>
      </c>
      <c r="O163" s="16" t="inlineStr">
        <is>
          <t>—</t>
        </is>
      </c>
      <c r="P163" s="16" t="inlineStr">
        <is>
          <t>Greenpoint Av (G)</t>
        </is>
      </c>
      <c r="Q163" s="16" t="inlineStr">
        <is>
          <t>Bigos, golabki, panqueques de papa, y un plato de manteca de cerdo con pan de centeno y pepinos que es puro siglo XIX. Meseras de traje regional, y no es para turistas.</t>
        </is>
      </c>
      <c r="R163" s="16" t="inlineStr">
        <is>
          <t>136 Greenpoint Ave, Brooklyn</t>
        </is>
      </c>
      <c r="S163" s="16" t="inlineStr">
        <is>
          <t>—</t>
        </is>
      </c>
      <c r="T163" s="18" t="inlineStr">
        <is>
          <t>Abrir ↗</t>
        </is>
      </c>
      <c r="U163" s="21" t="inlineStr">
        <is>
          <t>otros</t>
        </is>
      </c>
      <c r="V163" s="20" t="inlineStr"/>
    </row>
    <row r="164" ht="46" customHeight="1">
      <c r="A164" s="9" t="inlineStr">
        <is>
          <t>Lhasa Fast Food</t>
        </is>
      </c>
      <c r="B164" s="10" t="inlineStr">
        <is>
          <t>Restaurante étnico</t>
        </is>
      </c>
      <c r="C164" s="11" t="inlineStr">
        <is>
          <t>Comida</t>
        </is>
      </c>
      <c r="D164" s="11" t="inlineStr">
        <is>
          <t>Jackson Heights</t>
        </is>
      </c>
      <c r="E164" s="11" t="inlineStr">
        <is>
          <t>Queens</t>
        </is>
      </c>
      <c r="F164" s="12" t="n">
        <v>0</v>
      </c>
      <c r="G164" s="12" t="n">
        <v>0</v>
      </c>
      <c r="H164" s="13">
        <f>IF(AND(F164=2,G164=2),"AMBOS",IF(AND(F164=2,G164&lt;2),"solo JP",IF(AND(F164&lt;2,G164=2),"solo Thais","-")))</f>
        <v/>
      </c>
      <c r="I164" s="14" t="n">
        <v>14</v>
      </c>
      <c r="J164" s="15" t="n">
        <v>1</v>
      </c>
      <c r="K164" s="13" t="inlineStr">
        <is>
          <t>no</t>
        </is>
      </c>
      <c r="L164" s="16" t="inlineStr">
        <is>
          <t>—</t>
        </is>
      </c>
      <c r="M164" s="11" t="inlineStr">
        <is>
          <t>—</t>
        </is>
      </c>
      <c r="N164" s="16" t="inlineStr">
        <is>
          <t>—</t>
        </is>
      </c>
      <c r="O164" s="16" t="inlineStr">
        <is>
          <t>—</t>
        </is>
      </c>
      <c r="P164" s="16" t="inlineStr">
        <is>
          <t>74 St-Roosevelt Av (7,E,F,M,R)</t>
        </is>
      </c>
      <c r="Q164" s="16" t="inlineStr">
        <is>
          <t>Escondido al fondo de un pasillo detras de un local de celulares. Momos tibetanos y thukpa. VERIFICAR: puede figurar como 'Lhasa Tibetan Restaurant' en la misma direccion.</t>
        </is>
      </c>
      <c r="R164" s="16" t="inlineStr">
        <is>
          <t>37-50 74th St, Jackson Heights</t>
        </is>
      </c>
      <c r="S164" s="16" t="inlineStr">
        <is>
          <t>—</t>
        </is>
      </c>
      <c r="T164" s="18" t="inlineStr">
        <is>
          <t>Abrir ↗</t>
        </is>
      </c>
      <c r="U164" s="21" t="inlineStr">
        <is>
          <t>otros</t>
        </is>
      </c>
      <c r="V164" s="20" t="inlineStr"/>
    </row>
    <row r="165" ht="46" customHeight="1">
      <c r="A165" s="9" t="inlineStr">
        <is>
          <t>Lil' Frankie's</t>
        </is>
      </c>
      <c r="B165" s="10" t="inlineStr">
        <is>
          <t>Restaurante étnico</t>
        </is>
      </c>
      <c r="C165" s="11" t="inlineStr">
        <is>
          <t>Comida</t>
        </is>
      </c>
      <c r="D165" s="11" t="inlineStr">
        <is>
          <t>East Village</t>
        </is>
      </c>
      <c r="E165" s="11" t="inlineStr">
        <is>
          <t>Manhattan</t>
        </is>
      </c>
      <c r="F165" s="12" t="n">
        <v>1</v>
      </c>
      <c r="G165" s="12" t="n">
        <v>1</v>
      </c>
      <c r="H165" s="13">
        <f>IF(AND(F165=2,G165=2),"AMBOS",IF(AND(F165=2,G165&lt;2),"solo JP",IF(AND(F165&lt;2,G165=2),"solo Thais","-")))</f>
        <v/>
      </c>
      <c r="I165" s="14" t="n">
        <v>30</v>
      </c>
      <c r="J165" s="15" t="n">
        <v>1.2</v>
      </c>
      <c r="K165" s="13" t="inlineStr">
        <is>
          <t>no</t>
        </is>
      </c>
      <c r="L165" s="16" t="inlineStr">
        <is>
          <t>—</t>
        </is>
      </c>
      <c r="M165" s="11" t="inlineStr">
        <is>
          <t>—</t>
        </is>
      </c>
      <c r="N165" s="16" t="inlineStr">
        <is>
          <t>—</t>
        </is>
      </c>
      <c r="O165" s="16" t="inlineStr">
        <is>
          <t>—</t>
        </is>
      </c>
      <c r="P165" s="16" t="inlineStr">
        <is>
          <t>2 Av (F)</t>
        </is>
      </c>
      <c r="Q165" s="16" t="inlineStr">
        <is>
          <t>pizza napolitana a horno de leña y pastas a mano. La marinara (sin muzzarella) y la bianca con aceite de trufa y romero.</t>
        </is>
      </c>
      <c r="R165" s="16" t="inlineStr">
        <is>
          <t>19 First Ave</t>
        </is>
      </c>
      <c r="S165" s="16" t="inlineStr">
        <is>
          <t>—</t>
        </is>
      </c>
      <c r="T165" s="18" t="inlineStr">
        <is>
          <t>Abrir ↗</t>
        </is>
      </c>
      <c r="U165" s="21" t="inlineStr">
        <is>
          <t>otros</t>
        </is>
      </c>
      <c r="V165" s="20" t="inlineStr"/>
    </row>
    <row r="166" ht="46" customHeight="1">
      <c r="A166" s="9" t="inlineStr">
        <is>
          <t>Malecon</t>
        </is>
      </c>
      <c r="B166" s="10" t="inlineStr">
        <is>
          <t>Restaurante étnico</t>
        </is>
      </c>
      <c r="C166" s="11" t="inlineStr">
        <is>
          <t>Comida</t>
        </is>
      </c>
      <c r="D166" s="11" t="inlineStr">
        <is>
          <t>Washington Heights</t>
        </is>
      </c>
      <c r="E166" s="11" t="inlineStr">
        <is>
          <t>Manhattan</t>
        </is>
      </c>
      <c r="F166" s="12" t="n">
        <v>0</v>
      </c>
      <c r="G166" s="12" t="n">
        <v>0</v>
      </c>
      <c r="H166" s="13">
        <f>IF(AND(F166=2,G166=2),"AMBOS",IF(AND(F166=2,G166&lt;2),"solo JP",IF(AND(F166&lt;2,G166=2),"solo Thais","-")))</f>
        <v/>
      </c>
      <c r="I166" s="14" t="n">
        <v>25</v>
      </c>
      <c r="J166" s="15" t="n">
        <v>1.25</v>
      </c>
      <c r="K166" s="13" t="inlineStr">
        <is>
          <t>no</t>
        </is>
      </c>
      <c r="L166" s="16" t="inlineStr">
        <is>
          <t>—</t>
        </is>
      </c>
      <c r="M166" s="11" t="inlineStr">
        <is>
          <t>—</t>
        </is>
      </c>
      <c r="N166" s="16" t="inlineStr">
        <is>
          <t>—</t>
        </is>
      </c>
      <c r="O166" s="16" t="inlineStr">
        <is>
          <t>—</t>
        </is>
      </c>
      <c r="P166" s="16" t="inlineStr">
        <is>
          <t>175 St (A), 181 St (1)</t>
        </is>
      </c>
      <c r="Q166" s="16" t="inlineStr">
        <is>
          <t>Mofongo con chicharron y longaniza, y parrillada de mariscos. Dominicano de verdad, con musica latina los fines de semana.</t>
        </is>
      </c>
      <c r="R166" s="16" t="inlineStr">
        <is>
          <t>4141 Broadway</t>
        </is>
      </c>
      <c r="S166" s="16" t="inlineStr">
        <is>
          <t>—</t>
        </is>
      </c>
      <c r="T166" s="18" t="inlineStr">
        <is>
          <t>Abrir ↗</t>
        </is>
      </c>
      <c r="U166" s="21" t="inlineStr">
        <is>
          <t>otros</t>
        </is>
      </c>
      <c r="V166" s="20" t="inlineStr"/>
    </row>
    <row r="167" ht="46" customHeight="1">
      <c r="A167" s="9" t="inlineStr">
        <is>
          <t>Nepali Bhanchha Ghar</t>
        </is>
      </c>
      <c r="B167" s="10" t="inlineStr">
        <is>
          <t>Restaurante étnico</t>
        </is>
      </c>
      <c r="C167" s="11" t="inlineStr">
        <is>
          <t>Comida</t>
        </is>
      </c>
      <c r="D167" s="11" t="inlineStr">
        <is>
          <t>Jackson Heights</t>
        </is>
      </c>
      <c r="E167" s="11" t="inlineStr">
        <is>
          <t>Queens</t>
        </is>
      </c>
      <c r="F167" s="12" t="n">
        <v>0</v>
      </c>
      <c r="G167" s="12" t="n">
        <v>0</v>
      </c>
      <c r="H167" s="13">
        <f>IF(AND(F167=2,G167=2),"AMBOS",IF(AND(F167=2,G167&lt;2),"solo JP",IF(AND(F167&lt;2,G167=2),"solo Thais","-")))</f>
        <v/>
      </c>
      <c r="I167" s="14" t="n">
        <v>18</v>
      </c>
      <c r="J167" s="15" t="n">
        <v>1.25</v>
      </c>
      <c r="K167" s="13" t="inlineStr">
        <is>
          <t>no</t>
        </is>
      </c>
      <c r="L167" s="16" t="inlineStr">
        <is>
          <t>—</t>
        </is>
      </c>
      <c r="M167" s="11" t="inlineStr">
        <is>
          <t>—</t>
        </is>
      </c>
      <c r="N167" s="16" t="inlineStr">
        <is>
          <t>—</t>
        </is>
      </c>
      <c r="O167" s="16" t="inlineStr">
        <is>
          <t>—</t>
        </is>
      </c>
      <c r="P167" s="16" t="inlineStr">
        <is>
          <t>74 St-Roosevelt Av (7,E,F,M,R)</t>
        </is>
      </c>
      <c r="Q167" s="16" t="inlineStr">
        <is>
          <t>Jhol momo: dumplings de carne flotando en salsa de sesamo y tomate. Y sel roti. El mejor nepali de la ciudad segun la prensa gastronomica local.</t>
        </is>
      </c>
      <c r="R167" s="16" t="inlineStr">
        <is>
          <t>74-06 37th Rd, Jackson Heights</t>
        </is>
      </c>
      <c r="S167" s="16" t="inlineStr">
        <is>
          <t>—</t>
        </is>
      </c>
      <c r="T167" s="18" t="inlineStr">
        <is>
          <t>Abrir ↗</t>
        </is>
      </c>
      <c r="U167" s="21" t="inlineStr">
        <is>
          <t>otros</t>
        </is>
      </c>
      <c r="V167" s="20" t="inlineStr"/>
    </row>
    <row r="168" ht="46" customHeight="1">
      <c r="A168" s="9" t="inlineStr">
        <is>
          <t>New Nurlan Uyghur</t>
        </is>
      </c>
      <c r="B168" s="10" t="inlineStr">
        <is>
          <t>Restaurante étnico</t>
        </is>
      </c>
      <c r="C168" s="11" t="inlineStr">
        <is>
          <t>Comida</t>
        </is>
      </c>
      <c r="D168" s="11" t="inlineStr">
        <is>
          <t>Flushing</t>
        </is>
      </c>
      <c r="E168" s="11" t="inlineStr">
        <is>
          <t>Queens</t>
        </is>
      </c>
      <c r="F168" s="12" t="n">
        <v>0</v>
      </c>
      <c r="G168" s="12" t="n">
        <v>0</v>
      </c>
      <c r="H168" s="13">
        <f>IF(AND(F168=2,G168=2),"AMBOS",IF(AND(F168=2,G168&lt;2),"solo JP",IF(AND(F168&lt;2,G168=2),"solo Thais","-")))</f>
        <v/>
      </c>
      <c r="I168" s="14" t="n">
        <v>22</v>
      </c>
      <c r="J168" s="15" t="n">
        <v>1.25</v>
      </c>
      <c r="K168" s="13" t="inlineStr">
        <is>
          <t>no</t>
        </is>
      </c>
      <c r="L168" s="16" t="inlineStr">
        <is>
          <t>—</t>
        </is>
      </c>
      <c r="M168" s="11" t="inlineStr">
        <is>
          <t>—</t>
        </is>
      </c>
      <c r="N168" s="16" t="inlineStr">
        <is>
          <t>—</t>
        </is>
      </c>
      <c r="O168" s="16" t="inlineStr">
        <is>
          <t>—</t>
        </is>
      </c>
      <c r="P168" s="16" t="inlineStr">
        <is>
          <t>Main St (7)</t>
        </is>
      </c>
      <c r="Q168" s="16" t="inlineStr">
        <is>
          <t>Cocina uigur, no china han: brochetas de cordero especiadas y dumplings de calabaza de masa finisima. Esta en el subsuelo de un hotel y no lo encuentra nadie.</t>
        </is>
      </c>
      <c r="R168" s="16" t="inlineStr">
        <is>
          <t>135-51 39th Ave, Flushing (subsuelo)</t>
        </is>
      </c>
      <c r="S168" s="16" t="inlineStr">
        <is>
          <t>—</t>
        </is>
      </c>
      <c r="T168" s="18" t="inlineStr">
        <is>
          <t>Abrir ↗</t>
        </is>
      </c>
      <c r="U168" s="21" t="inlineStr">
        <is>
          <t>otros</t>
        </is>
      </c>
      <c r="V168" s="20" t="inlineStr"/>
    </row>
    <row r="169" ht="46" customHeight="1">
      <c r="A169" s="9" t="inlineStr">
        <is>
          <t>Nom Wah Tea Parlor</t>
        </is>
      </c>
      <c r="B169" s="10" t="inlineStr">
        <is>
          <t>Restaurante étnico</t>
        </is>
      </c>
      <c r="C169" s="11" t="inlineStr">
        <is>
          <t>Comida</t>
        </is>
      </c>
      <c r="D169" s="11" t="inlineStr">
        <is>
          <t>Chinatown</t>
        </is>
      </c>
      <c r="E169" s="11" t="inlineStr">
        <is>
          <t>Manhattan</t>
        </is>
      </c>
      <c r="F169" s="12" t="n">
        <v>1</v>
      </c>
      <c r="G169" s="12" t="n">
        <v>1</v>
      </c>
      <c r="H169" s="13">
        <f>IF(AND(F169=2,G169=2),"AMBOS",IF(AND(F169=2,G169&lt;2),"solo JP",IF(AND(F169&lt;2,G169=2),"solo Thais","-")))</f>
        <v/>
      </c>
      <c r="I169" s="14" t="n">
        <v>20</v>
      </c>
      <c r="J169" s="15" t="n">
        <v>1</v>
      </c>
      <c r="K169" s="13" t="inlineStr">
        <is>
          <t>no</t>
        </is>
      </c>
      <c r="L169" s="16" t="inlineStr">
        <is>
          <t>—</t>
        </is>
      </c>
      <c r="M169" s="11" t="inlineStr">
        <is>
          <t>—</t>
        </is>
      </c>
      <c r="N169" s="16" t="inlineStr">
        <is>
          <t>—</t>
        </is>
      </c>
      <c r="O169" s="16" t="inlineStr">
        <is>
          <t>—</t>
        </is>
      </c>
      <c r="P169" s="16" t="inlineStr">
        <is>
          <t>Canal St (J,N,Q,R,W,6)</t>
        </is>
      </c>
      <c r="Q169" s="16" t="inlineStr">
        <is>
          <t>1920, en la cuadra torcida de Doyers. El dim sum mas viejo de Nueva York, con los boxes rojos originales.</t>
        </is>
      </c>
      <c r="R169" s="16" t="inlineStr">
        <is>
          <t>13 Doyers St</t>
        </is>
      </c>
      <c r="S169" s="16" t="inlineStr">
        <is>
          <t>—</t>
        </is>
      </c>
      <c r="T169" s="18" t="inlineStr">
        <is>
          <t>Abrir ↗</t>
        </is>
      </c>
      <c r="U169" s="21" t="inlineStr">
        <is>
          <t>otros</t>
        </is>
      </c>
      <c r="V169" s="20" t="inlineStr"/>
    </row>
    <row r="170" ht="46" customHeight="1">
      <c r="A170" s="9" t="inlineStr">
        <is>
          <t>Pierozek</t>
        </is>
      </c>
      <c r="B170" s="10" t="inlineStr">
        <is>
          <t>Restaurante étnico</t>
        </is>
      </c>
      <c r="C170" s="11" t="inlineStr">
        <is>
          <t>Comida</t>
        </is>
      </c>
      <c r="D170" s="11" t="inlineStr">
        <is>
          <t>Greenpoint</t>
        </is>
      </c>
      <c r="E170" s="11" t="inlineStr">
        <is>
          <t>Brooklyn</t>
        </is>
      </c>
      <c r="F170" s="12" t="n">
        <v>0</v>
      </c>
      <c r="G170" s="12" t="n">
        <v>0</v>
      </c>
      <c r="H170" s="13">
        <f>IF(AND(F170=2,G170=2),"AMBOS",IF(AND(F170=2,G170&lt;2),"solo JP",IF(AND(F170&lt;2,G170=2),"solo Thais","-")))</f>
        <v/>
      </c>
      <c r="I170" s="14" t="n">
        <v>18</v>
      </c>
      <c r="J170" s="15" t="n">
        <v>1</v>
      </c>
      <c r="K170" s="13" t="inlineStr">
        <is>
          <t>no</t>
        </is>
      </c>
      <c r="L170" s="16" t="inlineStr">
        <is>
          <t>—</t>
        </is>
      </c>
      <c r="M170" s="11" t="inlineStr">
        <is>
          <t>—</t>
        </is>
      </c>
      <c r="N170" s="16" t="inlineStr">
        <is>
          <t>—</t>
        </is>
      </c>
      <c r="O170" s="16" t="inlineStr">
        <is>
          <t>—</t>
        </is>
      </c>
      <c r="P170" s="16" t="inlineStr">
        <is>
          <t>Nassau Av (G)</t>
        </is>
      </c>
      <c r="Q170" s="16" t="inlineStr">
        <is>
          <t>Bib Gourmand Michelin: el unico restaurante polaco de Estados Unidos reconocido por la guia. Pierogi ruskie y tatarskie.</t>
        </is>
      </c>
      <c r="R170" s="16" t="inlineStr">
        <is>
          <t>833 Manhattan Ave, Brooklyn</t>
        </is>
      </c>
      <c r="S170" s="16" t="inlineStr">
        <is>
          <t>—</t>
        </is>
      </c>
      <c r="T170" s="18" t="inlineStr">
        <is>
          <t>Abrir ↗</t>
        </is>
      </c>
      <c r="U170" s="21" t="inlineStr">
        <is>
          <t>otros</t>
        </is>
      </c>
      <c r="V170" s="20" t="inlineStr"/>
    </row>
    <row r="171" ht="46" customHeight="1">
      <c r="A171" s="9" t="inlineStr">
        <is>
          <t>Pies 'n' Thighs</t>
        </is>
      </c>
      <c r="B171" s="10" t="inlineStr">
        <is>
          <t>Restaurante étnico</t>
        </is>
      </c>
      <c r="C171" s="11" t="inlineStr">
        <is>
          <t>Comida</t>
        </is>
      </c>
      <c r="D171" s="11" t="inlineStr">
        <is>
          <t>Williamsburg</t>
        </is>
      </c>
      <c r="E171" s="11" t="inlineStr">
        <is>
          <t>Brooklyn</t>
        </is>
      </c>
      <c r="F171" s="12" t="n">
        <v>1</v>
      </c>
      <c r="G171" s="12" t="n">
        <v>1</v>
      </c>
      <c r="H171" s="13">
        <f>IF(AND(F171=2,G171=2),"AMBOS",IF(AND(F171=2,G171&lt;2),"solo JP",IF(AND(F171&lt;2,G171=2),"solo Thais","-")))</f>
        <v/>
      </c>
      <c r="I171" s="14" t="n">
        <v>25</v>
      </c>
      <c r="J171" s="15" t="n">
        <v>1</v>
      </c>
      <c r="K171" s="13" t="inlineStr">
        <is>
          <t>no</t>
        </is>
      </c>
      <c r="L171" s="16" t="inlineStr">
        <is>
          <t>—</t>
        </is>
      </c>
      <c r="M171" s="11" t="inlineStr">
        <is>
          <t>—</t>
        </is>
      </c>
      <c r="N171" s="16" t="inlineStr">
        <is>
          <t>—</t>
        </is>
      </c>
      <c r="O171" s="16" t="inlineStr">
        <is>
          <t>—</t>
        </is>
      </c>
      <c r="P171" s="16" t="inlineStr">
        <is>
          <t>Marcy Av (J,M,Z)</t>
        </is>
      </c>
      <c r="Q171" s="16" t="inlineStr">
        <is>
          <t>Pollo frito sureño y pies, al pie del puente de Williamsburg. Cerca de Peter Luger.</t>
        </is>
      </c>
      <c r="R171" s="16" t="inlineStr">
        <is>
          <t>166 S 4th St</t>
        </is>
      </c>
      <c r="S171" s="16" t="inlineStr">
        <is>
          <t>—</t>
        </is>
      </c>
      <c r="T171" s="18" t="inlineStr">
        <is>
          <t>Abrir ↗</t>
        </is>
      </c>
      <c r="U171" s="19" t="inlineStr">
        <is>
          <t>lista google</t>
        </is>
      </c>
      <c r="V171" s="20" t="inlineStr"/>
    </row>
    <row r="172" ht="46" customHeight="1">
      <c r="A172" s="9" t="inlineStr">
        <is>
          <t>Sakagura</t>
        </is>
      </c>
      <c r="B172" s="10" t="inlineStr">
        <is>
          <t>Restaurante étnico</t>
        </is>
      </c>
      <c r="C172" s="11" t="inlineStr">
        <is>
          <t>Comida</t>
        </is>
      </c>
      <c r="D172" s="11" t="inlineStr">
        <is>
          <t>Midtown East</t>
        </is>
      </c>
      <c r="E172" s="11" t="inlineStr">
        <is>
          <t>Manhattan</t>
        </is>
      </c>
      <c r="F172" s="12" t="n">
        <v>1</v>
      </c>
      <c r="G172" s="12" t="n">
        <v>1</v>
      </c>
      <c r="H172" s="13">
        <f>IF(AND(F172=2,G172=2),"AMBOS",IF(AND(F172=2,G172&lt;2),"solo JP",IF(AND(F172&lt;2,G172=2),"solo Thais","-")))</f>
        <v/>
      </c>
      <c r="I172" s="14" t="n">
        <v>60</v>
      </c>
      <c r="J172" s="15" t="n">
        <v>1.5</v>
      </c>
      <c r="K172" s="13" t="inlineStr">
        <is>
          <t>no</t>
        </is>
      </c>
      <c r="L172" s="16" t="inlineStr">
        <is>
          <t>—</t>
        </is>
      </c>
      <c r="M172" s="11" t="inlineStr">
        <is>
          <t>—</t>
        </is>
      </c>
      <c r="N172" s="16" t="inlineStr">
        <is>
          <t>—</t>
        </is>
      </c>
      <c r="O172" s="16" t="inlineStr">
        <is>
          <t>—</t>
        </is>
      </c>
      <c r="P172" s="16" t="inlineStr">
        <is>
          <t>Grand Central-42 St (4,5,6,7,S)</t>
        </is>
      </c>
      <c r="Q172" s="16" t="inlineStr">
        <is>
          <t>Izakaya escondido en el SÓTANO de un edificio de oficinas: se entra por el lobby y se baja. 200 sakes.</t>
        </is>
      </c>
      <c r="R172" s="16" t="inlineStr">
        <is>
          <t>211 E 43rd St (sótano)</t>
        </is>
      </c>
      <c r="S172" s="16" t="inlineStr">
        <is>
          <t>—</t>
        </is>
      </c>
      <c r="T172" s="18" t="inlineStr">
        <is>
          <t>Abrir ↗</t>
        </is>
      </c>
      <c r="U172" s="19" t="inlineStr">
        <is>
          <t>lista google</t>
        </is>
      </c>
      <c r="V172" s="20" t="inlineStr"/>
    </row>
    <row r="173" ht="46" customHeight="1">
      <c r="A173" s="9" t="inlineStr">
        <is>
          <t>Tacos El Bronco</t>
        </is>
      </c>
      <c r="B173" s="10" t="inlineStr">
        <is>
          <t>Restaurante étnico</t>
        </is>
      </c>
      <c r="C173" s="11" t="inlineStr">
        <is>
          <t>Comida</t>
        </is>
      </c>
      <c r="D173" s="11" t="inlineStr">
        <is>
          <t>Sunset Park</t>
        </is>
      </c>
      <c r="E173" s="11" t="inlineStr">
        <is>
          <t>Brooklyn</t>
        </is>
      </c>
      <c r="F173" s="12" t="n">
        <v>0</v>
      </c>
      <c r="G173" s="12" t="n">
        <v>0</v>
      </c>
      <c r="H173" s="13">
        <f>IF(AND(F173=2,G173=2),"AMBOS",IF(AND(F173=2,G173&lt;2),"solo JP",IF(AND(F173&lt;2,G173=2),"solo Thais","-")))</f>
        <v/>
      </c>
      <c r="I173" s="14" t="n">
        <v>12</v>
      </c>
      <c r="J173" s="15" t="n">
        <v>0.75</v>
      </c>
      <c r="K173" s="13" t="inlineStr">
        <is>
          <t>no</t>
        </is>
      </c>
      <c r="L173" s="16" t="inlineStr">
        <is>
          <t>—</t>
        </is>
      </c>
      <c r="M173" s="11" t="inlineStr">
        <is>
          <t>—</t>
        </is>
      </c>
      <c r="N173" s="16" t="inlineStr">
        <is>
          <t>—</t>
        </is>
      </c>
      <c r="O173" s="16" t="inlineStr">
        <is>
          <t>—</t>
        </is>
      </c>
      <c r="P173" s="16" t="inlineStr">
        <is>
          <t>45 St (R)</t>
        </is>
      </c>
      <c r="Q173" s="16" t="inlineStr">
        <is>
          <t>Paso de food truck a local. Lengua, al pastor, cabeza, cueritos. Es el taco de barrio, no el de menu bilingue.</t>
        </is>
      </c>
      <c r="R173" s="16" t="inlineStr">
        <is>
          <t>4324 4th Ave, Brooklyn</t>
        </is>
      </c>
      <c r="S173" s="16" t="inlineStr">
        <is>
          <t>—</t>
        </is>
      </c>
      <c r="T173" s="18" t="inlineStr">
        <is>
          <t>Abrir ↗</t>
        </is>
      </c>
      <c r="U173" s="21" t="inlineStr">
        <is>
          <t>otros</t>
        </is>
      </c>
      <c r="V173" s="20" t="inlineStr"/>
    </row>
    <row r="174" ht="46" customHeight="1">
      <c r="A174" s="9" t="inlineStr">
        <is>
          <t>Tanoreen</t>
        </is>
      </c>
      <c r="B174" s="10" t="inlineStr">
        <is>
          <t>Restaurante étnico</t>
        </is>
      </c>
      <c r="C174" s="11" t="inlineStr">
        <is>
          <t>Comida</t>
        </is>
      </c>
      <c r="D174" s="11" t="inlineStr">
        <is>
          <t>Bay Ridge</t>
        </is>
      </c>
      <c r="E174" s="11" t="inlineStr">
        <is>
          <t>Brooklyn</t>
        </is>
      </c>
      <c r="F174" s="12" t="n">
        <v>2</v>
      </c>
      <c r="G174" s="12" t="n">
        <v>2</v>
      </c>
      <c r="H174" s="13">
        <f>IF(AND(F174=2,G174=2),"AMBOS",IF(AND(F174=2,G174&lt;2),"solo JP",IF(AND(F174&lt;2,G174=2),"solo Thais","-")))</f>
        <v/>
      </c>
      <c r="I174" s="14" t="n">
        <v>35</v>
      </c>
      <c r="J174" s="15" t="n">
        <v>1.5</v>
      </c>
      <c r="K174" s="13" t="inlineStr">
        <is>
          <t>no</t>
        </is>
      </c>
      <c r="L174" s="16" t="inlineStr">
        <is>
          <t>—</t>
        </is>
      </c>
      <c r="M174" s="11" t="inlineStr">
        <is>
          <t>—</t>
        </is>
      </c>
      <c r="N174" s="16" t="inlineStr">
        <is>
          <t>—</t>
        </is>
      </c>
      <c r="O174" s="16" t="inlineStr">
        <is>
          <t>—</t>
        </is>
      </c>
      <c r="P174" s="16" t="inlineStr">
        <is>
          <t>86 St (R)</t>
        </is>
      </c>
      <c r="Q174" s="16" t="inlineStr">
        <is>
          <t>Palestino, en el Michelin Guide. Coliflor frita con tahini y halloumi frito. La chef Rawia Bishara es una institucion.</t>
        </is>
      </c>
      <c r="R174" s="16" t="inlineStr">
        <is>
          <t>7523 3rd Ave, Brooklyn</t>
        </is>
      </c>
      <c r="S174" s="16" t="inlineStr">
        <is>
          <t>—</t>
        </is>
      </c>
      <c r="T174" s="18" t="inlineStr">
        <is>
          <t>Abrir ↗</t>
        </is>
      </c>
      <c r="U174" s="19" t="inlineStr">
        <is>
          <t>lista google</t>
        </is>
      </c>
      <c r="V174" s="20" t="inlineStr"/>
    </row>
    <row r="175" ht="46" customHeight="1">
      <c r="A175" s="9" t="inlineStr">
        <is>
          <t>Taverna Kyclades</t>
        </is>
      </c>
      <c r="B175" s="10" t="inlineStr">
        <is>
          <t>Restaurante étnico</t>
        </is>
      </c>
      <c r="C175" s="11" t="inlineStr">
        <is>
          <t>Comida</t>
        </is>
      </c>
      <c r="D175" s="11" t="inlineStr">
        <is>
          <t>Astoria</t>
        </is>
      </c>
      <c r="E175" s="11" t="inlineStr">
        <is>
          <t>Queens</t>
        </is>
      </c>
      <c r="F175" s="12" t="n">
        <v>0</v>
      </c>
      <c r="G175" s="12" t="n">
        <v>0</v>
      </c>
      <c r="H175" s="13">
        <f>IF(AND(F175=2,G175=2),"AMBOS",IF(AND(F175=2,G175&lt;2),"solo JP",IF(AND(F175&lt;2,G175=2),"solo Thais","-")))</f>
        <v/>
      </c>
      <c r="I175" s="14" t="n">
        <v>40</v>
      </c>
      <c r="J175" s="15" t="n">
        <v>1.5</v>
      </c>
      <c r="K175" s="13" t="inlineStr">
        <is>
          <t>no</t>
        </is>
      </c>
      <c r="L175" s="16" t="inlineStr">
        <is>
          <t>—</t>
        </is>
      </c>
      <c r="M175" s="11" t="inlineStr">
        <is>
          <t>—</t>
        </is>
      </c>
      <c r="N175" s="16" t="inlineStr">
        <is>
          <t>—</t>
        </is>
      </c>
      <c r="O175" s="16" t="inlineStr">
        <is>
          <t>—</t>
        </is>
      </c>
      <c r="P175" s="16" t="inlineStr">
        <is>
          <t>30 Av (N,W)</t>
        </is>
      </c>
      <c r="Q175" s="16" t="inlineStr">
        <is>
          <t>Pescado griego a la parrilla, entero, con limon. La referencia del barrio desde hace decadas y en el Michelin Guide. No toman reserva: hay cola.</t>
        </is>
      </c>
      <c r="R175" s="16" t="inlineStr">
        <is>
          <t>33-07 Ditmars Blvd, Astoria</t>
        </is>
      </c>
      <c r="S175" s="16" t="inlineStr">
        <is>
          <t>—</t>
        </is>
      </c>
      <c r="T175" s="18" t="inlineStr">
        <is>
          <t>Abrir ↗</t>
        </is>
      </c>
      <c r="U175" s="21" t="inlineStr">
        <is>
          <t>otros</t>
        </is>
      </c>
      <c r="V175" s="20" t="inlineStr"/>
    </row>
    <row r="176" ht="46" customHeight="1">
      <c r="A176" s="9" t="inlineStr">
        <is>
          <t>Trattoria Tra Di Noi</t>
        </is>
      </c>
      <c r="B176" s="10" t="inlineStr">
        <is>
          <t>Restaurante étnico</t>
        </is>
      </c>
      <c r="C176" s="11" t="inlineStr">
        <is>
          <t>Comida</t>
        </is>
      </c>
      <c r="D176" s="11" t="inlineStr">
        <is>
          <t>Belmont</t>
        </is>
      </c>
      <c r="E176" s="11" t="inlineStr">
        <is>
          <t>Bronx</t>
        </is>
      </c>
      <c r="F176" s="12" t="n">
        <v>1</v>
      </c>
      <c r="G176" s="12" t="n">
        <v>1</v>
      </c>
      <c r="H176" s="13">
        <f>IF(AND(F176=2,G176=2),"AMBOS",IF(AND(F176=2,G176&lt;2),"solo JP",IF(AND(F176&lt;2,G176=2),"solo Thais","-")))</f>
        <v/>
      </c>
      <c r="I176" s="14" t="n">
        <v>65</v>
      </c>
      <c r="J176" s="15" t="n">
        <v>1.5</v>
      </c>
      <c r="K176" s="13" t="inlineStr">
        <is>
          <t>no</t>
        </is>
      </c>
      <c r="L176" s="16" t="inlineStr">
        <is>
          <t>—</t>
        </is>
      </c>
      <c r="M176" s="11" t="inlineStr">
        <is>
          <t>—</t>
        </is>
      </c>
      <c r="N176" s="16" t="inlineStr">
        <is>
          <t>—</t>
        </is>
      </c>
      <c r="O176" s="16" t="inlineStr">
        <is>
          <t>—</t>
        </is>
      </c>
      <c r="P176" s="16" t="inlineStr">
        <is>
          <t>Fordham Rd (B,D)</t>
        </is>
      </c>
      <c r="Q176"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6" s="16" t="inlineStr">
        <is>
          <t>622 E 187th St, Bronx</t>
        </is>
      </c>
      <c r="S176" s="16" t="inlineStr">
        <is>
          <t>—</t>
        </is>
      </c>
      <c r="T176" s="18" t="inlineStr">
        <is>
          <t>Abrir ↗</t>
        </is>
      </c>
      <c r="U176" s="21" t="inlineStr">
        <is>
          <t>otros</t>
        </is>
      </c>
      <c r="V176" s="20" t="inlineStr"/>
    </row>
    <row r="177" ht="46" customHeight="1">
      <c r="A177" s="9" t="inlineStr">
        <is>
          <t>Uncle Lou</t>
        </is>
      </c>
      <c r="B177" s="10" t="inlineStr">
        <is>
          <t>Restaurante étnico</t>
        </is>
      </c>
      <c r="C177" s="11" t="inlineStr">
        <is>
          <t>Comida</t>
        </is>
      </c>
      <c r="D177" s="11" t="inlineStr">
        <is>
          <t>Chinatown</t>
        </is>
      </c>
      <c r="E177" s="11" t="inlineStr">
        <is>
          <t>Manhattan</t>
        </is>
      </c>
      <c r="F177" s="12" t="n">
        <v>1</v>
      </c>
      <c r="G177" s="12" t="n">
        <v>1</v>
      </c>
      <c r="H177" s="13">
        <f>IF(AND(F177=2,G177=2),"AMBOS",IF(AND(F177=2,G177&lt;2),"solo JP",IF(AND(F177&lt;2,G177=2),"solo Thais","-")))</f>
        <v/>
      </c>
      <c r="I177" s="14" t="n">
        <v>37</v>
      </c>
      <c r="J177" s="15" t="n">
        <v>1</v>
      </c>
      <c r="K177" s="13" t="inlineStr">
        <is>
          <t>no</t>
        </is>
      </c>
      <c r="L177" s="16" t="inlineStr">
        <is>
          <t>—</t>
        </is>
      </c>
      <c r="M177" s="11" t="inlineStr">
        <is>
          <t>—</t>
        </is>
      </c>
      <c r="N177" s="16" t="inlineStr">
        <is>
          <t>—</t>
        </is>
      </c>
      <c r="O177" s="16" t="inlineStr">
        <is>
          <t>—</t>
        </is>
      </c>
      <c r="P177" s="16" t="inlineStr">
        <is>
          <t>Canal St (J,N,Q,R,W,6)</t>
        </is>
      </c>
      <c r="Q177" s="16" t="inlineStr">
        <is>
          <t>cantonés de Louis Wong, Critic's Pick del NYT. El pollo al ajo de piel crocante es por lo que va la gente; también wonton, siu mai y chow mei fun con vieiras y sepia frita. Mesas redondas con lazy susan y tres generaciones de familias chinas comiendo.</t>
        </is>
      </c>
      <c r="R177" s="16" t="inlineStr">
        <is>
          <t>73 Mulberry St</t>
        </is>
      </c>
      <c r="S177" s="16" t="inlineStr">
        <is>
          <t>—</t>
        </is>
      </c>
      <c r="T177" s="18" t="inlineStr">
        <is>
          <t>Abrir ↗</t>
        </is>
      </c>
      <c r="U177" s="21" t="inlineStr">
        <is>
          <t>otros</t>
        </is>
      </c>
      <c r="V177" s="20" t="inlineStr"/>
    </row>
    <row r="178" ht="46" customHeight="1">
      <c r="A178" s="9" t="inlineStr">
        <is>
          <t>Peter Luger Steak House</t>
        </is>
      </c>
      <c r="B178" s="10" t="inlineStr">
        <is>
          <t>Steakhouse clásico</t>
        </is>
      </c>
      <c r="C178" s="11" t="inlineStr">
        <is>
          <t>Comida</t>
        </is>
      </c>
      <c r="D178" s="11" t="inlineStr">
        <is>
          <t>Williamsburg</t>
        </is>
      </c>
      <c r="E178" s="11" t="inlineStr">
        <is>
          <t>Brooklyn</t>
        </is>
      </c>
      <c r="F178" s="12" t="n">
        <v>2</v>
      </c>
      <c r="G178" s="12" t="n">
        <v>2</v>
      </c>
      <c r="H178" s="13">
        <f>IF(AND(F178=2,G178=2),"AMBOS",IF(AND(F178=2,G178&lt;2),"solo JP",IF(AND(F178&lt;2,G178=2),"solo Thais","-")))</f>
        <v/>
      </c>
      <c r="I178" s="14" t="n">
        <v>110</v>
      </c>
      <c r="J178" s="15" t="n">
        <v>1.75</v>
      </c>
      <c r="K178" s="13" t="inlineStr">
        <is>
          <t>SÍ</t>
        </is>
      </c>
      <c r="L178" s="16" t="inlineStr">
        <is>
          <t>—</t>
        </is>
      </c>
      <c r="M178" s="11" t="inlineStr">
        <is>
          <t>—</t>
        </is>
      </c>
      <c r="N178" s="16" t="inlineStr">
        <is>
          <t>—</t>
        </is>
      </c>
      <c r="O178" s="16" t="inlineStr">
        <is>
          <t>Resy - reservar YA: los sabados se agotan con semanas</t>
        </is>
      </c>
      <c r="P178" s="16" t="inlineStr">
        <is>
          <t>Marcy Av (J,Z)</t>
        </is>
      </c>
      <c r="Q178" s="16" t="inlineStr">
        <is>
          <t>El steakhouse de 1887 con la carne dry-aged en el sotano: sigue siendo EL porterhouse contra el que se mide todo lo demas. Sala alemana, ruidosa, sin vueltas.</t>
        </is>
      </c>
      <c r="R178" s="16" t="inlineStr">
        <is>
          <t>178 Broadway, Brooklyn</t>
        </is>
      </c>
      <c r="S178" s="17" t="inlineStr">
        <is>
          <t>Día 8 · sáb 5/9</t>
        </is>
      </c>
      <c r="T178" s="18" t="inlineStr">
        <is>
          <t>Abrir ↗</t>
        </is>
      </c>
      <c r="U178" s="19" t="inlineStr">
        <is>
          <t>lista google</t>
        </is>
      </c>
      <c r="V178" s="20" t="inlineStr">
        <is>
          <t>SÍ</t>
        </is>
      </c>
    </row>
    <row r="179" ht="46" customHeight="1">
      <c r="A179" s="9" t="inlineStr">
        <is>
          <t>Bar Bayeux</t>
        </is>
      </c>
      <c r="B179" s="10" t="inlineStr">
        <is>
          <t>Bar con música</t>
        </is>
      </c>
      <c r="C179" s="11" t="inlineStr">
        <is>
          <t>Música</t>
        </is>
      </c>
      <c r="D179" s="11" t="inlineStr">
        <is>
          <t>Prospect Lefferts Gardens</t>
        </is>
      </c>
      <c r="E179" s="11" t="inlineStr">
        <is>
          <t>Brooklyn</t>
        </is>
      </c>
      <c r="F179" s="12" t="n">
        <v>1</v>
      </c>
      <c r="G179" s="12" t="n">
        <v>1</v>
      </c>
      <c r="H179" s="13">
        <f>IF(AND(F179=2,G179=2),"AMBOS",IF(AND(F179=2,G179&lt;2),"solo JP",IF(AND(F179&lt;2,G179=2),"solo Thais","-")))</f>
        <v/>
      </c>
      <c r="I179" s="14" t="n">
        <v>0</v>
      </c>
      <c r="J179" s="15" t="n">
        <v>2</v>
      </c>
      <c r="K179" s="13" t="inlineStr">
        <is>
          <t>no</t>
        </is>
      </c>
      <c r="L179" s="16" t="inlineStr">
        <is>
          <t>—</t>
        </is>
      </c>
      <c r="M179" s="11" t="inlineStr">
        <is>
          <t>—</t>
        </is>
      </c>
      <c r="N179" s="16" t="inlineStr">
        <is>
          <t>—</t>
        </is>
      </c>
      <c r="O179" s="16" t="inlineStr">
        <is>
          <t>—</t>
        </is>
      </c>
      <c r="P179" s="16" t="inlineStr">
        <is>
          <t>Sterling St (2,5)</t>
        </is>
      </c>
      <c r="Q179" s="16" t="inlineStr">
        <is>
          <t>Wine bar de barrio con jazz de verdad y sin entrada. El mas barato de la lista.</t>
        </is>
      </c>
      <c r="R179" s="16" t="inlineStr">
        <is>
          <t>1066 Nostrand Ave, Brooklyn</t>
        </is>
      </c>
      <c r="S179" s="16" t="inlineStr">
        <is>
          <t>—</t>
        </is>
      </c>
      <c r="T179" s="18" t="inlineStr">
        <is>
          <t>Abrir ↗</t>
        </is>
      </c>
      <c r="U179" s="19" t="inlineStr">
        <is>
          <t>lista google</t>
        </is>
      </c>
      <c r="V179" s="20" t="inlineStr"/>
    </row>
    <row r="180" ht="46" customHeight="1">
      <c r="A180" s="9" t="inlineStr">
        <is>
          <t>Bar LunAtico</t>
        </is>
      </c>
      <c r="B180" s="10" t="inlineStr">
        <is>
          <t>Bar con música</t>
        </is>
      </c>
      <c r="C180" s="11" t="inlineStr">
        <is>
          <t>Música</t>
        </is>
      </c>
      <c r="D180" s="11" t="inlineStr">
        <is>
          <t>Bedford-Stuyvesant</t>
        </is>
      </c>
      <c r="E180" s="11" t="inlineStr">
        <is>
          <t>Brooklyn</t>
        </is>
      </c>
      <c r="F180" s="12" t="n">
        <v>1</v>
      </c>
      <c r="G180" s="12" t="n">
        <v>1</v>
      </c>
      <c r="H180" s="13">
        <f>IF(AND(F180=2,G180=2),"AMBOS",IF(AND(F180=2,G180&lt;2),"solo JP",IF(AND(F180&lt;2,G180=2),"solo Thais","-")))</f>
        <v/>
      </c>
      <c r="I180" s="14" t="n">
        <v>10</v>
      </c>
      <c r="J180" s="15" t="n">
        <v>2.5</v>
      </c>
      <c r="K180" s="13" t="inlineStr">
        <is>
          <t>no</t>
        </is>
      </c>
      <c r="L180" s="16" t="inlineStr">
        <is>
          <t>—</t>
        </is>
      </c>
      <c r="M180" s="11" t="inlineStr">
        <is>
          <t>—</t>
        </is>
      </c>
      <c r="N180" s="16" t="inlineStr">
        <is>
          <t>—</t>
        </is>
      </c>
      <c r="O180" s="16" t="inlineStr">
        <is>
          <t>—</t>
        </is>
      </c>
      <c r="P180" s="16" t="inlineStr">
        <is>
          <t>Halsey St (J), Kingston-Throop (C)</t>
        </is>
      </c>
      <c r="Q180" s="16" t="inlineStr">
        <is>
          <t>Bar de barrio de musicos, no de publico. Dos sets todas las noches (21:00 y 22:15), cocina y cocteleria completas. Es la mejor relacion musica/precio de la ciudad. LLEVAR EFECTIVO.</t>
        </is>
      </c>
      <c r="R180" s="16" t="inlineStr">
        <is>
          <t>486 Halsey St, Brooklyn</t>
        </is>
      </c>
      <c r="S180" s="16" t="inlineStr">
        <is>
          <t>—</t>
        </is>
      </c>
      <c r="T180" s="18" t="inlineStr">
        <is>
          <t>Abrir ↗</t>
        </is>
      </c>
      <c r="U180" s="19" t="inlineStr">
        <is>
          <t>lista google</t>
        </is>
      </c>
      <c r="V180" s="20" t="inlineStr"/>
    </row>
    <row r="181" ht="46" customHeight="1">
      <c r="A181" s="9" t="inlineStr">
        <is>
          <t>Cafe Wha?</t>
        </is>
      </c>
      <c r="B181" s="10" t="inlineStr">
        <is>
          <t>Bar con música</t>
        </is>
      </c>
      <c r="C181" s="11" t="inlineStr">
        <is>
          <t>Música</t>
        </is>
      </c>
      <c r="D181" s="11" t="inlineStr">
        <is>
          <t>Greenwich Village</t>
        </is>
      </c>
      <c r="E181" s="11" t="inlineStr">
        <is>
          <t>Manhattan</t>
        </is>
      </c>
      <c r="F181" s="12" t="n">
        <v>2</v>
      </c>
      <c r="G181" s="12" t="n">
        <v>2</v>
      </c>
      <c r="H181" s="13">
        <f>IF(AND(F181=2,G181=2),"AMBOS",IF(AND(F181=2,G181&lt;2),"solo JP",IF(AND(F181&lt;2,G181=2),"solo Thais","-")))</f>
        <v/>
      </c>
      <c r="I181" s="14" t="n">
        <v>20</v>
      </c>
      <c r="J181" s="15" t="n">
        <v>1.5</v>
      </c>
      <c r="K181" s="13" t="inlineStr">
        <is>
          <t>SÍ</t>
        </is>
      </c>
      <c r="L181" s="16" t="inlineStr">
        <is>
          <t>—</t>
        </is>
      </c>
      <c r="M181" s="11" t="inlineStr">
        <is>
          <t>—</t>
        </is>
      </c>
      <c r="N181" s="16" t="inlineStr">
        <is>
          <t>—</t>
        </is>
      </c>
      <c r="O181" s="16" t="inlineStr">
        <is>
          <t>Eventbrite - la reserva NO garantiza admision: TODOS presentes 23:30 o liberan la mesa</t>
        </is>
      </c>
      <c r="P181" s="16" t="inlineStr">
        <is>
          <t>W 4 St (A,C,E,B,D,F,M), Christopher St (1)</t>
        </is>
      </c>
      <c r="Q181" s="16" t="inlineStr">
        <is>
          <t>El sotano del Village donde debutaron Dylan, Hendrix, Springsteen y Bill Cosby. La house band de fin de semana es una maquina de soul y funk. Sigue siendo un club de barrio, no un museo.</t>
        </is>
      </c>
      <c r="R181" s="16" t="inlineStr">
        <is>
          <t>115 MacDougal St</t>
        </is>
      </c>
      <c r="S181" s="17" t="inlineStr">
        <is>
          <t>Día 8 · sáb 5/9</t>
        </is>
      </c>
      <c r="T181" s="18" t="inlineStr">
        <is>
          <t>Abrir ↗</t>
        </is>
      </c>
      <c r="U181" s="19" t="inlineStr">
        <is>
          <t>lista google</t>
        </is>
      </c>
      <c r="V181" s="20" t="inlineStr">
        <is>
          <t>SÍ</t>
        </is>
      </c>
    </row>
    <row r="182" ht="46" customHeight="1">
      <c r="A182" s="9" t="inlineStr">
        <is>
          <t>Rudy's Bar &amp; Grill</t>
        </is>
      </c>
      <c r="B182" s="10" t="inlineStr">
        <is>
          <t>Bar con música</t>
        </is>
      </c>
      <c r="C182" s="11" t="inlineStr">
        <is>
          <t>Música</t>
        </is>
      </c>
      <c r="D182" s="11" t="inlineStr">
        <is>
          <t>Hell's Kitchen</t>
        </is>
      </c>
      <c r="E182" s="11" t="inlineStr">
        <is>
          <t>Manhattan</t>
        </is>
      </c>
      <c r="F182" s="12" t="n">
        <v>1</v>
      </c>
      <c r="G182" s="12" t="n">
        <v>1</v>
      </c>
      <c r="H182" s="13">
        <f>IF(AND(F182=2,G182=2),"AMBOS",IF(AND(F182=2,G182&lt;2),"solo JP",IF(AND(F182&lt;2,G182=2),"solo Thais","-")))</f>
        <v/>
      </c>
      <c r="I182" s="14" t="n">
        <v>10</v>
      </c>
      <c r="J182" s="15" t="n">
        <v>1</v>
      </c>
      <c r="K182" s="13" t="inlineStr">
        <is>
          <t>no</t>
        </is>
      </c>
      <c r="L182" s="16" t="inlineStr">
        <is>
          <t>—</t>
        </is>
      </c>
      <c r="M182" s="11" t="inlineStr">
        <is>
          <t>—</t>
        </is>
      </c>
      <c r="N182" s="16" t="inlineStr">
        <is>
          <t>—</t>
        </is>
      </c>
      <c r="O182" s="16" t="inlineStr">
        <is>
          <t>—</t>
        </is>
      </c>
      <c r="P182" s="16" t="inlineStr">
        <is>
          <t>50 St (C,E)</t>
        </is>
      </c>
      <c r="Q182" s="16" t="inlineStr">
        <is>
          <t>Dive bar de 1933 con el cerdo gigante en la puerta: cerveza barata y HOT DOGS GRATIS con la consumición.</t>
        </is>
      </c>
      <c r="R182" s="16" t="inlineStr">
        <is>
          <t>627 9th Ave</t>
        </is>
      </c>
      <c r="S182" s="16" t="inlineStr">
        <is>
          <t>—</t>
        </is>
      </c>
      <c r="T182" s="18" t="inlineStr">
        <is>
          <t>Abrir ↗</t>
        </is>
      </c>
      <c r="U182" s="19" t="inlineStr">
        <is>
          <t>lista google</t>
        </is>
      </c>
      <c r="V182" s="20" t="inlineStr"/>
    </row>
    <row r="183" ht="46" customHeight="1">
      <c r="A183" s="9" t="inlineStr">
        <is>
          <t>Bill's Place</t>
        </is>
      </c>
      <c r="B183" s="10" t="inlineStr">
        <is>
          <t>Club de jazz</t>
        </is>
      </c>
      <c r="C183" s="11" t="inlineStr">
        <is>
          <t>Música</t>
        </is>
      </c>
      <c r="D183" s="11" t="inlineStr">
        <is>
          <t>Harlem</t>
        </is>
      </c>
      <c r="E183" s="11" t="inlineStr">
        <is>
          <t>Manhattan</t>
        </is>
      </c>
      <c r="F183" s="12" t="n">
        <v>2</v>
      </c>
      <c r="G183" s="12" t="n">
        <v>2</v>
      </c>
      <c r="H183" s="13">
        <f>IF(AND(F183=2,G183=2),"AMBOS",IF(AND(F183=2,G183&lt;2),"solo JP",IF(AND(F183&lt;2,G183=2),"solo Thais","-")))</f>
        <v/>
      </c>
      <c r="I183" s="14" t="n">
        <v>35</v>
      </c>
      <c r="J183" s="15" t="n">
        <v>1.75</v>
      </c>
      <c r="K183" s="13" t="inlineStr">
        <is>
          <t>no</t>
        </is>
      </c>
      <c r="L183" s="16" t="inlineStr">
        <is>
          <t>—</t>
        </is>
      </c>
      <c r="M183" s="11" t="inlineStr">
        <is>
          <t>—</t>
        </is>
      </c>
      <c r="N183" s="16" t="inlineStr">
        <is>
          <t>—</t>
        </is>
      </c>
      <c r="O183" s="16" t="inlineStr">
        <is>
          <t>OBLIGATORIA - sala diminuta, comprar el set en billsplaceharlem.com</t>
        </is>
      </c>
      <c r="P183" s="16" t="inlineStr">
        <is>
          <t>135 St (2,3)</t>
        </is>
      </c>
      <c r="Q183"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83" s="16" t="inlineStr">
        <is>
          <t>148 W 133rd St</t>
        </is>
      </c>
      <c r="S183" s="16" t="inlineStr">
        <is>
          <t>—</t>
        </is>
      </c>
      <c r="T183" s="18" t="inlineStr">
        <is>
          <t>Abrir ↗</t>
        </is>
      </c>
      <c r="U183" s="21" t="inlineStr">
        <is>
          <t>otros</t>
        </is>
      </c>
      <c r="V183" s="20" t="inlineStr"/>
    </row>
    <row r="184" ht="46" customHeight="1">
      <c r="A184" s="9" t="inlineStr">
        <is>
          <t>Birdland</t>
        </is>
      </c>
      <c r="B184" s="10" t="inlineStr">
        <is>
          <t>Club de jazz</t>
        </is>
      </c>
      <c r="C184" s="11" t="inlineStr">
        <is>
          <t>Música</t>
        </is>
      </c>
      <c r="D184" s="11" t="inlineStr">
        <is>
          <t>Midtown</t>
        </is>
      </c>
      <c r="E184" s="11" t="inlineStr">
        <is>
          <t>Manhattan</t>
        </is>
      </c>
      <c r="F184" s="12" t="n">
        <v>2</v>
      </c>
      <c r="G184" s="12" t="n">
        <v>2</v>
      </c>
      <c r="H184" s="13">
        <f>IF(AND(F184=2,G184=2),"AMBOS",IF(AND(F184=2,G184&lt;2),"solo JP",IF(AND(F184&lt;2,G184=2),"solo Thais","-")))</f>
        <v/>
      </c>
      <c r="I184" s="14" t="n">
        <v>45</v>
      </c>
      <c r="J184" s="15" t="n">
        <v>2</v>
      </c>
      <c r="K184" s="13" t="inlineStr">
        <is>
          <t>no</t>
        </is>
      </c>
      <c r="L184" s="16" t="inlineStr">
        <is>
          <t>—</t>
        </is>
      </c>
      <c r="M184" s="11" t="inlineStr">
        <is>
          <t>—</t>
        </is>
      </c>
      <c r="N184" s="16" t="inlineStr">
        <is>
          <t>—</t>
        </is>
      </c>
      <c r="O184" s="16" t="inlineStr">
        <is>
          <t>TicketWeb - unico vendedor autorizado</t>
        </is>
      </c>
      <c r="P184" s="16" t="inlineStr">
        <is>
          <t>42 St-Port Authority (A,C,E)</t>
        </is>
      </c>
      <c r="Q184" s="16" t="inlineStr">
        <is>
          <t>Menos intimo que el Vanguard, mas programacion. Los LUNES: Vince Giordano &amp; the Nighthawks, jazz de los anos 20-30 con instrumentos de epoca. Justo el lunes 31, que es el dia que Broadway esta oscuro.</t>
        </is>
      </c>
      <c r="R184" s="16" t="inlineStr">
        <is>
          <t>315 W 44th St</t>
        </is>
      </c>
      <c r="S184" s="17" t="inlineStr">
        <is>
          <t>Día 1 · sáb 29/8, Día 3 · lun 31/8</t>
        </is>
      </c>
      <c r="T184" s="18" t="inlineStr">
        <is>
          <t>Abrir ↗</t>
        </is>
      </c>
      <c r="U184" s="19" t="inlineStr">
        <is>
          <t>lista google</t>
        </is>
      </c>
      <c r="V184" s="20" t="inlineStr">
        <is>
          <t>SÍ</t>
        </is>
      </c>
    </row>
    <row r="185" ht="46" customHeight="1">
      <c r="A185" s="9" t="inlineStr">
        <is>
          <t>Blue Note</t>
        </is>
      </c>
      <c r="B185" s="10" t="inlineStr">
        <is>
          <t>Club de jazz</t>
        </is>
      </c>
      <c r="C185" s="11" t="inlineStr">
        <is>
          <t>Música</t>
        </is>
      </c>
      <c r="D185" s="11" t="inlineStr">
        <is>
          <t>Greenwich Village</t>
        </is>
      </c>
      <c r="E185" s="11" t="inlineStr">
        <is>
          <t>Manhattan</t>
        </is>
      </c>
      <c r="F185" s="12" t="n">
        <v>1</v>
      </c>
      <c r="G185" s="12" t="n">
        <v>0</v>
      </c>
      <c r="H185" s="13">
        <f>IF(AND(F185=2,G185=2),"AMBOS",IF(AND(F185=2,G185&lt;2),"solo JP",IF(AND(F185&lt;2,G185=2),"solo Thais","-")))</f>
        <v/>
      </c>
      <c r="I185" s="14" t="n">
        <v>45</v>
      </c>
      <c r="J185" s="15" t="n">
        <v>2</v>
      </c>
      <c r="K185" s="13" t="inlineStr">
        <is>
          <t>SÍ</t>
        </is>
      </c>
      <c r="L185" s="16" t="inlineStr">
        <is>
          <t>—</t>
        </is>
      </c>
      <c r="M185" s="11" t="inlineStr">
        <is>
          <t>—</t>
        </is>
      </c>
      <c r="N185" s="16" t="inlineStr">
        <is>
          <t>—</t>
        </is>
      </c>
      <c r="O185" s="16" t="inlineStr">
        <is>
          <t>—</t>
        </is>
      </c>
      <c r="P185" s="16" t="inlineStr">
        <is>
          <t>W 4 St (A,B,C,D,E,F,M)</t>
        </is>
      </c>
      <c r="Q185" s="16" t="inlineStr">
        <is>
          <t>El mas grande y comercial de los clubes historicos (250 personas). 29-30 ago: MonoNeon. 4-5 sep: Chief Adjuah.</t>
        </is>
      </c>
      <c r="R185" s="16" t="inlineStr">
        <is>
          <t>131 W 3rd St</t>
        </is>
      </c>
      <c r="S185" s="16" t="inlineStr">
        <is>
          <t>—</t>
        </is>
      </c>
      <c r="T185" s="18" t="inlineStr">
        <is>
          <t>Abrir ↗</t>
        </is>
      </c>
      <c r="U185" s="19" t="inlineStr">
        <is>
          <t>lista google</t>
        </is>
      </c>
      <c r="V185" s="20" t="inlineStr"/>
    </row>
    <row r="186" ht="46" customHeight="1">
      <c r="A186" s="9" t="inlineStr">
        <is>
          <t>Dizzy's Club (Jazz at Lincoln Center)</t>
        </is>
      </c>
      <c r="B186" s="10" t="inlineStr">
        <is>
          <t>Club de jazz</t>
        </is>
      </c>
      <c r="C186" s="11" t="inlineStr">
        <is>
          <t>Música</t>
        </is>
      </c>
      <c r="D186" s="11" t="inlineStr">
        <is>
          <t>Columbus Circle</t>
        </is>
      </c>
      <c r="E186" s="11" t="inlineStr">
        <is>
          <t>Manhattan</t>
        </is>
      </c>
      <c r="F186" s="12" t="n">
        <v>2</v>
      </c>
      <c r="G186" s="12" t="n">
        <v>2</v>
      </c>
      <c r="H186" s="13">
        <f>IF(AND(F186=2,G186=2),"AMBOS",IF(AND(F186=2,G186&lt;2),"solo JP",IF(AND(F186&lt;2,G186=2),"solo Thais","-")))</f>
        <v/>
      </c>
      <c r="I186" s="14" t="n">
        <v>45</v>
      </c>
      <c r="J186" s="15" t="n">
        <v>2</v>
      </c>
      <c r="K186" s="13" t="inlineStr">
        <is>
          <t>no</t>
        </is>
      </c>
      <c r="L186" s="16" t="inlineStr">
        <is>
          <t>—</t>
        </is>
      </c>
      <c r="M186" s="11" t="inlineStr">
        <is>
          <t>—</t>
        </is>
      </c>
      <c r="N186" s="16" t="inlineStr">
        <is>
          <t>—</t>
        </is>
      </c>
      <c r="O186" s="16" t="inlineStr">
        <is>
          <t>—</t>
        </is>
      </c>
      <c r="P186" s="16" t="inlineStr">
        <is>
          <t>59 St-Columbus Circle (1,A,B,C,D)</t>
        </is>
      </c>
      <c r="Q186" s="16" t="inlineStr">
        <is>
          <t>Ventanales de piso a techo sobre Central Park detras del escenario. El truco es el set Late Night de jueves a sabado: mismo lugar, una fraccion del precio.</t>
        </is>
      </c>
      <c r="R186" s="16" t="inlineStr">
        <is>
          <t>10 Columbus Circle, piso 5</t>
        </is>
      </c>
      <c r="S186" s="17" t="inlineStr">
        <is>
          <t>Día 6 · jue 3/9</t>
        </is>
      </c>
      <c r="T186" s="18" t="inlineStr">
        <is>
          <t>Abrir ↗</t>
        </is>
      </c>
      <c r="U186" s="19" t="inlineStr">
        <is>
          <t>lista google</t>
        </is>
      </c>
      <c r="V186" s="20" t="inlineStr"/>
    </row>
    <row r="187" ht="46" customHeight="1">
      <c r="A187" s="9" t="inlineStr">
        <is>
          <t>Mezzrow</t>
        </is>
      </c>
      <c r="B187" s="10" t="inlineStr">
        <is>
          <t>Club de jazz</t>
        </is>
      </c>
      <c r="C187" s="11" t="inlineStr">
        <is>
          <t>Música</t>
        </is>
      </c>
      <c r="D187" s="11" t="inlineStr">
        <is>
          <t>West Village</t>
        </is>
      </c>
      <c r="E187" s="11" t="inlineStr">
        <is>
          <t>Manhattan</t>
        </is>
      </c>
      <c r="F187" s="12" t="n">
        <v>1</v>
      </c>
      <c r="G187" s="12" t="n">
        <v>1</v>
      </c>
      <c r="H187" s="13">
        <f>IF(AND(F187=2,G187=2),"AMBOS",IF(AND(F187=2,G187&lt;2),"solo JP",IF(AND(F187&lt;2,G187=2),"solo Thais","-")))</f>
        <v/>
      </c>
      <c r="I187" s="14" t="n">
        <v>25</v>
      </c>
      <c r="J187" s="15" t="n">
        <v>1.5</v>
      </c>
      <c r="K187" s="13" t="inlineStr">
        <is>
          <t>no</t>
        </is>
      </c>
      <c r="L187" s="16" t="inlineStr">
        <is>
          <t>—</t>
        </is>
      </c>
      <c r="M187" s="11" t="inlineStr">
        <is>
          <t>—</t>
        </is>
      </c>
      <c r="N187" s="16" t="inlineStr">
        <is>
          <t>—</t>
        </is>
      </c>
      <c r="O187" s="16" t="inlineStr">
        <is>
          <t>reservar</t>
        </is>
      </c>
      <c r="P187" s="16" t="inlineStr">
        <is>
          <t>Christopher St (1)</t>
        </is>
      </c>
      <c r="Q187" s="16" t="inlineStr">
        <is>
          <t>35 asientos, sala de escucha centrada en el piano. El mas intimo de la ciudad. Entre semana se consigue; los fines de semana se agota.</t>
        </is>
      </c>
      <c r="R187" s="16" t="inlineStr">
        <is>
          <t>163 W 10th St</t>
        </is>
      </c>
      <c r="S187" s="16" t="inlineStr">
        <is>
          <t>—</t>
        </is>
      </c>
      <c r="T187" s="18" t="inlineStr">
        <is>
          <t>Abrir ↗</t>
        </is>
      </c>
      <c r="U187" s="19" t="inlineStr">
        <is>
          <t>lista google</t>
        </is>
      </c>
      <c r="V187" s="20" t="inlineStr"/>
    </row>
    <row r="188" ht="46" customHeight="1">
      <c r="A188" s="9" t="inlineStr">
        <is>
          <t>Ornithology Jazz Club</t>
        </is>
      </c>
      <c r="B188" s="10" t="inlineStr">
        <is>
          <t>Club de jazz</t>
        </is>
      </c>
      <c r="C188" s="11" t="inlineStr">
        <is>
          <t>Música</t>
        </is>
      </c>
      <c r="D188" s="11" t="inlineStr">
        <is>
          <t>Bushwick</t>
        </is>
      </c>
      <c r="E188" s="11" t="inlineStr">
        <is>
          <t>Brooklyn</t>
        </is>
      </c>
      <c r="F188" s="12" t="n">
        <v>1</v>
      </c>
      <c r="G188" s="12" t="n">
        <v>1</v>
      </c>
      <c r="H188" s="13">
        <f>IF(AND(F188=2,G188=2),"AMBOS",IF(AND(F188=2,G188&lt;2),"solo JP",IF(AND(F188&lt;2,G188=2),"solo Thais","-")))</f>
        <v/>
      </c>
      <c r="I188" s="14" t="n">
        <v>20</v>
      </c>
      <c r="J188" s="15" t="n">
        <v>2</v>
      </c>
      <c r="K188" s="13" t="inlineStr">
        <is>
          <t>no</t>
        </is>
      </c>
      <c r="L188" s="16" t="inlineStr">
        <is>
          <t>—</t>
        </is>
      </c>
      <c r="M188" s="11" t="inlineStr">
        <is>
          <t>—</t>
        </is>
      </c>
      <c r="N188" s="16" t="inlineStr">
        <is>
          <t>—</t>
        </is>
      </c>
      <c r="O188" s="16" t="inlineStr">
        <is>
          <t>—</t>
        </is>
      </c>
      <c r="P188" s="16" t="inlineStr">
        <is>
          <t>Jefferson St (L)</t>
        </is>
      </c>
      <c r="Q188" s="16" t="inlineStr">
        <is>
          <t>75 asientos y regla estricta de sala de escucha: no se habla durante los sets. Es la alternativa joven al Vanguard.</t>
        </is>
      </c>
      <c r="R188" s="16" t="inlineStr">
        <is>
          <t>6 Suydam St, Brooklyn</t>
        </is>
      </c>
      <c r="S188" s="16" t="inlineStr">
        <is>
          <t>—</t>
        </is>
      </c>
      <c r="T188" s="18" t="inlineStr">
        <is>
          <t>Abrir ↗</t>
        </is>
      </c>
      <c r="U188" s="19" t="inlineStr">
        <is>
          <t>lista google</t>
        </is>
      </c>
      <c r="V188" s="20" t="inlineStr"/>
    </row>
    <row r="189" ht="46" customHeight="1">
      <c r="A189" s="9" t="inlineStr">
        <is>
          <t>Smalls Jazz Club</t>
        </is>
      </c>
      <c r="B189" s="10" t="inlineStr">
        <is>
          <t>Club de jazz</t>
        </is>
      </c>
      <c r="C189" s="11" t="inlineStr">
        <is>
          <t>Música</t>
        </is>
      </c>
      <c r="D189" s="11" t="inlineStr">
        <is>
          <t>West Village</t>
        </is>
      </c>
      <c r="E189" s="11" t="inlineStr">
        <is>
          <t>Manhattan</t>
        </is>
      </c>
      <c r="F189" s="12" t="n">
        <v>2</v>
      </c>
      <c r="G189" s="12" t="n">
        <v>2</v>
      </c>
      <c r="H189" s="13">
        <f>IF(AND(F189=2,G189=2),"AMBOS",IF(AND(F189=2,G189&lt;2),"solo JP",IF(AND(F189&lt;2,G189=2),"solo Thais","-")))</f>
        <v/>
      </c>
      <c r="I189" s="14" t="n">
        <v>25</v>
      </c>
      <c r="J189" s="15" t="n">
        <v>2</v>
      </c>
      <c r="K189" s="13" t="inlineStr">
        <is>
          <t>no</t>
        </is>
      </c>
      <c r="L189" s="16" t="inlineStr">
        <is>
          <t>—</t>
        </is>
      </c>
      <c r="M189" s="11" t="inlineStr">
        <is>
          <t>—</t>
        </is>
      </c>
      <c r="N189" s="16" t="inlineStr">
        <is>
          <t>—</t>
        </is>
      </c>
      <c r="O189" s="16" t="inlineStr">
        <is>
          <t>—</t>
        </is>
      </c>
      <c r="P189" s="16" t="inlineStr">
        <is>
          <t>Christopher St (1)</t>
        </is>
      </c>
      <c r="Q189" s="16" t="inlineStr">
        <is>
          <t>60 asientos, sotano. Entre semana se entra caminando. Lo mejor que tiene son las jam sessions de madrugada de jueves a sabado, desde la 1:00 AM: ahi tocan los musicos que salieron de trabajar.</t>
        </is>
      </c>
      <c r="R189" s="16" t="inlineStr">
        <is>
          <t>183 W 10th St</t>
        </is>
      </c>
      <c r="S189" s="17" t="inlineStr">
        <is>
          <t>Día 4 · mar 1/9</t>
        </is>
      </c>
      <c r="T189" s="18" t="inlineStr">
        <is>
          <t>Abrir ↗</t>
        </is>
      </c>
      <c r="U189" s="19" t="inlineStr">
        <is>
          <t>lista google</t>
        </is>
      </c>
      <c r="V189" s="20" t="inlineStr"/>
    </row>
    <row r="190" ht="46" customHeight="1">
      <c r="A190" s="9" t="inlineStr">
        <is>
          <t>Village Vanguard</t>
        </is>
      </c>
      <c r="B190" s="10" t="inlineStr">
        <is>
          <t>Club de jazz</t>
        </is>
      </c>
      <c r="C190" s="11" t="inlineStr">
        <is>
          <t>Música</t>
        </is>
      </c>
      <c r="D190" s="11" t="inlineStr">
        <is>
          <t>West Village</t>
        </is>
      </c>
      <c r="E190" s="11" t="inlineStr">
        <is>
          <t>Manhattan</t>
        </is>
      </c>
      <c r="F190" s="12" t="n">
        <v>2</v>
      </c>
      <c r="G190" s="12" t="n">
        <v>2</v>
      </c>
      <c r="H190" s="13">
        <f>IF(AND(F190=2,G190=2),"AMBOS",IF(AND(F190=2,G190&lt;2),"solo JP",IF(AND(F190&lt;2,G190=2),"solo Thais","-")))</f>
        <v/>
      </c>
      <c r="I190" s="14" t="n">
        <v>45</v>
      </c>
      <c r="J190" s="15" t="n">
        <v>2</v>
      </c>
      <c r="K190" s="13" t="inlineStr">
        <is>
          <t>no</t>
        </is>
      </c>
      <c r="L190" s="16" t="inlineStr">
        <is>
          <t>—</t>
        </is>
      </c>
      <c r="M190" s="11" t="inlineStr">
        <is>
          <t>—</t>
        </is>
      </c>
      <c r="N190" s="16" t="inlineStr">
        <is>
          <t>—</t>
        </is>
      </c>
      <c r="O190" s="16" t="inlineStr">
        <is>
          <t>HECHA: 2 entradas GA del viernes 4/9, set 22:00 (#18741454 y #18741456). El acomodo del segundo set arranca 21:30 y es por orden de llegada.</t>
        </is>
      </c>
      <c r="P190" s="16" t="inlineStr">
        <is>
          <t>14 St (1,2,3)</t>
        </is>
      </c>
      <c r="Q190" s="16" t="inlineStr">
        <is>
          <t>El club de jazz en funcionamiento continuo mas antiguo del mundo. 123 asientos, sotano triangular, acustica legendaria. DEL 1 AL 6 DE SEPTIEMBRE: John Patitucci Trio con Chris Potter y Brian Blade. Si hay una sola noche de musica en el viaje, es esta.</t>
        </is>
      </c>
      <c r="R190" s="16" t="inlineStr">
        <is>
          <t>178 7th Ave South</t>
        </is>
      </c>
      <c r="S190" s="17" t="inlineStr">
        <is>
          <t>Día 7 · vie 4/9</t>
        </is>
      </c>
      <c r="T190" s="18" t="inlineStr">
        <is>
          <t>Abrir ↗</t>
        </is>
      </c>
      <c r="U190" s="19" t="inlineStr">
        <is>
          <t>lista google</t>
        </is>
      </c>
      <c r="V190" s="20" t="inlineStr">
        <is>
          <t>SÍ</t>
        </is>
      </c>
    </row>
    <row r="191" ht="46" customHeight="1">
      <c r="A191" s="9" t="inlineStr">
        <is>
          <t>Barbes</t>
        </is>
      </c>
      <c r="B191" s="10" t="inlineStr">
        <is>
          <t>Música del mundo</t>
        </is>
      </c>
      <c r="C191" s="11" t="inlineStr">
        <is>
          <t>Música</t>
        </is>
      </c>
      <c r="D191" s="11" t="inlineStr">
        <is>
          <t>Park Slope</t>
        </is>
      </c>
      <c r="E191" s="11" t="inlineStr">
        <is>
          <t>Brooklyn</t>
        </is>
      </c>
      <c r="F191" s="12" t="n">
        <v>1</v>
      </c>
      <c r="G191" s="12" t="n">
        <v>1</v>
      </c>
      <c r="H191" s="13">
        <f>IF(AND(F191=2,G191=2),"AMBOS",IF(AND(F191=2,G191&lt;2),"solo JP",IF(AND(F191&lt;2,G191=2),"solo Thais","-")))</f>
        <v/>
      </c>
      <c r="I191" s="14" t="n">
        <v>15</v>
      </c>
      <c r="J191" s="15" t="n">
        <v>2</v>
      </c>
      <c r="K191" s="13" t="inlineStr">
        <is>
          <t>no</t>
        </is>
      </c>
      <c r="L191" s="16" t="inlineStr">
        <is>
          <t>—</t>
        </is>
      </c>
      <c r="M191" s="11" t="inlineStr">
        <is>
          <t>—</t>
        </is>
      </c>
      <c r="N191" s="16" t="inlineStr">
        <is>
          <t>—</t>
        </is>
      </c>
      <c r="O191" s="16" t="inlineStr">
        <is>
          <t>—</t>
        </is>
      </c>
      <c r="P191" s="16" t="inlineStr">
        <is>
          <t>7 Av (F,G)</t>
        </is>
      </c>
      <c r="Q191" s="16" t="inlineStr">
        <is>
          <t>No es jazz: musica latina, balcanica, brasilena y de Africa occidental. La programacion es de otro nivel y la trastienda es minuscula. Llegar temprano.</t>
        </is>
      </c>
      <c r="R191" s="16" t="inlineStr">
        <is>
          <t>376 9th St, Brooklyn</t>
        </is>
      </c>
      <c r="S191" s="16" t="inlineStr">
        <is>
          <t>—</t>
        </is>
      </c>
      <c r="T191" s="18" t="inlineStr">
        <is>
          <t>Abrir ↗</t>
        </is>
      </c>
      <c r="U191" s="19" t="inlineStr">
        <is>
          <t>lista google</t>
        </is>
      </c>
      <c r="V191" s="20" t="inlineStr"/>
    </row>
    <row r="192" ht="46" customHeight="1">
      <c r="A192" s="9" t="inlineStr">
        <is>
          <t>Nublu</t>
        </is>
      </c>
      <c r="B192" s="10" t="inlineStr">
        <is>
          <t>Venue alternativo</t>
        </is>
      </c>
      <c r="C192" s="11" t="inlineStr">
        <is>
          <t>Música</t>
        </is>
      </c>
      <c r="D192" s="11" t="inlineStr">
        <is>
          <t>East Village</t>
        </is>
      </c>
      <c r="E192" s="11" t="inlineStr">
        <is>
          <t>Manhattan</t>
        </is>
      </c>
      <c r="F192" s="12" t="n">
        <v>1</v>
      </c>
      <c r="G192" s="12" t="n">
        <v>1</v>
      </c>
      <c r="H192" s="13">
        <f>IF(AND(F192=2,G192=2),"AMBOS",IF(AND(F192=2,G192&lt;2),"solo JP",IF(AND(F192&lt;2,G192=2),"solo Thais","-")))</f>
        <v/>
      </c>
      <c r="I192" s="14" t="n">
        <v>20</v>
      </c>
      <c r="J192" s="15" t="n">
        <v>2.5</v>
      </c>
      <c r="K192" s="13" t="inlineStr">
        <is>
          <t>no</t>
        </is>
      </c>
      <c r="L192" s="16" t="inlineStr">
        <is>
          <t>—</t>
        </is>
      </c>
      <c r="M192" s="11" t="inlineStr">
        <is>
          <t>—</t>
        </is>
      </c>
      <c r="N192" s="16" t="inlineStr">
        <is>
          <t>—</t>
        </is>
      </c>
      <c r="O192" s="16" t="inlineStr">
        <is>
          <t>—</t>
        </is>
      </c>
      <c r="P192" s="16" t="inlineStr">
        <is>
          <t>1 Av (L)</t>
        </is>
      </c>
      <c r="Q192" s="16" t="inlineStr">
        <is>
          <t>Jazz experimental, afrobeat y electronica turca. Musica en vivo desde las 19:00, DJs hasta las 4:00. 'Producer Mondays' todos los lunes a las 22:00.</t>
        </is>
      </c>
      <c r="R192" s="16" t="inlineStr">
        <is>
          <t>151 Avenue C, piso 2</t>
        </is>
      </c>
      <c r="S192" s="17" t="inlineStr">
        <is>
          <t>Día 2 · dom 30/8</t>
        </is>
      </c>
      <c r="T192" s="18" t="inlineStr">
        <is>
          <t>Abrir ↗</t>
        </is>
      </c>
      <c r="U192" s="19" t="inlineStr">
        <is>
          <t>lista google</t>
        </is>
      </c>
      <c r="V192" s="20" t="inlineStr"/>
    </row>
    <row r="193" ht="46" customHeight="1">
      <c r="A193" s="9" t="inlineStr">
        <is>
          <t>FDR Four Freedoms Park</t>
        </is>
      </c>
      <c r="B193" s="10" t="inlineStr">
        <is>
          <t>Arquitectura moderna</t>
        </is>
      </c>
      <c r="C193" s="11" t="inlineStr">
        <is>
          <t>Arquitectura</t>
        </is>
      </c>
      <c r="D193" s="11" t="inlineStr">
        <is>
          <t>Roosevelt Island</t>
        </is>
      </c>
      <c r="E193" s="11" t="inlineStr">
        <is>
          <t>Manhattan</t>
        </is>
      </c>
      <c r="F193" s="12" t="n">
        <v>2</v>
      </c>
      <c r="G193" s="12" t="n">
        <v>2</v>
      </c>
      <c r="H193" s="13">
        <f>IF(AND(F193=2,G193=2),"AMBOS",IF(AND(F193=2,G193&lt;2),"solo JP",IF(AND(F193&lt;2,G193=2),"solo Thais","-")))</f>
        <v/>
      </c>
      <c r="I193" s="14" t="n">
        <v>0</v>
      </c>
      <c r="J193" s="15" t="n">
        <v>1</v>
      </c>
      <c r="K193" s="13" t="inlineStr">
        <is>
          <t>no</t>
        </is>
      </c>
      <c r="L193" s="16" t="inlineStr">
        <is>
          <t>—</t>
        </is>
      </c>
      <c r="M193" s="11" t="inlineStr">
        <is>
          <t>—</t>
        </is>
      </c>
      <c r="N193" s="16" t="inlineStr">
        <is>
          <t>—</t>
        </is>
      </c>
      <c r="O193" s="16" t="inlineStr">
        <is>
          <t>—</t>
        </is>
      </c>
      <c r="P193" s="16" t="inlineStr">
        <is>
          <t>Tramway o Roosevelt Island (F)</t>
        </is>
      </c>
      <c r="Q193" s="16" t="inlineStr">
        <is>
          <t>Ultima obra de Louis Kahn, terminada 38 anos despues de su muerte: granito, platanos y una 'sala' abierta al rio apuntando a Manhattan. Arquitectura moderna de primer orden, gratis y vacia.</t>
        </is>
      </c>
      <c r="R193" s="16" t="inlineStr">
        <is>
          <t>1 FDR Four Freedoms Park, Roosevelt Island</t>
        </is>
      </c>
      <c r="S193" s="17" t="inlineStr">
        <is>
          <t>Día 9 · dom 6/9</t>
        </is>
      </c>
      <c r="T193" s="18" t="inlineStr">
        <is>
          <t>Abrir ↗</t>
        </is>
      </c>
      <c r="U193" s="21" t="inlineStr">
        <is>
          <t>otros</t>
        </is>
      </c>
      <c r="V193" s="20" t="inlineStr"/>
    </row>
    <row r="194" ht="46" customHeight="1">
      <c r="A194" s="9" t="inlineStr">
        <is>
          <t>Haughwout Building</t>
        </is>
      </c>
      <c r="B194" s="10" t="inlineStr">
        <is>
          <t>Arquitectura moderna</t>
        </is>
      </c>
      <c r="C194" s="11" t="inlineStr">
        <is>
          <t>Arquitectura</t>
        </is>
      </c>
      <c r="D194" s="11" t="inlineStr">
        <is>
          <t>SoHo</t>
        </is>
      </c>
      <c r="E194" s="11" t="inlineStr">
        <is>
          <t>Manhattan</t>
        </is>
      </c>
      <c r="F194" s="12" t="n">
        <v>1</v>
      </c>
      <c r="G194" s="12" t="n">
        <v>1</v>
      </c>
      <c r="H194" s="13">
        <f>IF(AND(F194=2,G194=2),"AMBOS",IF(AND(F194=2,G194&lt;2),"solo JP",IF(AND(F194&lt;2,G194=2),"solo Thais","-")))</f>
        <v/>
      </c>
      <c r="I194" s="14" t="n">
        <v>0</v>
      </c>
      <c r="J194" s="15" t="n">
        <v>0.2</v>
      </c>
      <c r="K194" s="13" t="inlineStr">
        <is>
          <t>no</t>
        </is>
      </c>
      <c r="L194" s="16" t="inlineStr">
        <is>
          <t>—</t>
        </is>
      </c>
      <c r="M194" s="11" t="inlineStr">
        <is>
          <t>—</t>
        </is>
      </c>
      <c r="N194" s="16" t="inlineStr">
        <is>
          <t>—</t>
        </is>
      </c>
      <c r="O194" s="16" t="inlineStr">
        <is>
          <t>—</t>
        </is>
      </c>
      <c r="P194" s="16" t="inlineStr">
        <is>
          <t>Canal St (N,Q,R,W,6)</t>
        </is>
      </c>
      <c r="Q194" s="16" t="inlineStr">
        <is>
          <t>1857: el primer edificio del mundo con ascensor Otis. Fachada de hierro fundido que parece un palacio veneciano y casi nadie levanta la vista.</t>
        </is>
      </c>
      <c r="R194" s="16" t="inlineStr">
        <is>
          <t>488 Broadway</t>
        </is>
      </c>
      <c r="S194" s="16" t="inlineStr">
        <is>
          <t>—</t>
        </is>
      </c>
      <c r="T194" s="18" t="inlineStr">
        <is>
          <t>Abrir ↗</t>
        </is>
      </c>
      <c r="U194" s="21" t="inlineStr">
        <is>
          <t>otros</t>
        </is>
      </c>
      <c r="V194" s="20" t="inlineStr"/>
    </row>
    <row r="195" ht="46" customHeight="1">
      <c r="A195" s="9" t="inlineStr">
        <is>
          <t>Hudson Yards</t>
        </is>
      </c>
      <c r="B195" s="10" t="inlineStr">
        <is>
          <t>Arquitectura moderna</t>
        </is>
      </c>
      <c r="C195" s="11" t="inlineStr">
        <is>
          <t>Arquitectura</t>
        </is>
      </c>
      <c r="D195" s="11" t="inlineStr">
        <is>
          <t>Hudson Yards</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34 St-Hudson Yards (7)</t>
        </is>
      </c>
      <c r="Q195" s="16" t="inlineStr">
        <is>
          <t>El complejo entero: el Vessel, The Shed y el mall. Es el arranque natural del High Line.</t>
        </is>
      </c>
      <c r="R195" s="16" t="inlineStr">
        <is>
          <t>20 Hudson Yards</t>
        </is>
      </c>
      <c r="S195" s="16" t="inlineStr">
        <is>
          <t>—</t>
        </is>
      </c>
      <c r="T195" s="18" t="inlineStr">
        <is>
          <t>Abrir ↗</t>
        </is>
      </c>
      <c r="U195" s="19" t="inlineStr">
        <is>
          <t>lista google</t>
        </is>
      </c>
      <c r="V195" s="20" t="inlineStr"/>
    </row>
    <row r="196" ht="46" customHeight="1">
      <c r="A196" s="9" t="inlineStr">
        <is>
          <t>Lever House</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0.2</v>
      </c>
      <c r="K196" s="13" t="inlineStr">
        <is>
          <t>no</t>
        </is>
      </c>
      <c r="L196" s="16" t="inlineStr">
        <is>
          <t>—</t>
        </is>
      </c>
      <c r="M196" s="11" t="inlineStr">
        <is>
          <t>—</t>
        </is>
      </c>
      <c r="N196" s="16" t="inlineStr">
        <is>
          <t>—</t>
        </is>
      </c>
      <c r="O196" s="16" t="inlineStr">
        <is>
          <t>—</t>
        </is>
      </c>
      <c r="P196" s="16" t="inlineStr">
        <is>
          <t>51 St (6)</t>
        </is>
      </c>
      <c r="Q196" s="16" t="inlineStr">
        <is>
          <t>1952: el primer rascacielos de muro cortina de vidrio de Park Avenue. Cambio como se construye una ciudad.</t>
        </is>
      </c>
      <c r="R196" s="16" t="inlineStr">
        <is>
          <t>390 Park Ave</t>
        </is>
      </c>
      <c r="S196" s="16" t="inlineStr">
        <is>
          <t>—</t>
        </is>
      </c>
      <c r="T196" s="18" t="inlineStr">
        <is>
          <t>Abrir ↗</t>
        </is>
      </c>
      <c r="U196" s="21" t="inlineStr">
        <is>
          <t>otros</t>
        </is>
      </c>
      <c r="V196" s="20" t="inlineStr"/>
    </row>
    <row r="197" ht="46" customHeight="1">
      <c r="A197" s="9" t="inlineStr">
        <is>
          <t>Lincoln Center (campus y plaza)</t>
        </is>
      </c>
      <c r="B197" s="10" t="inlineStr">
        <is>
          <t>Arquitectura moderna</t>
        </is>
      </c>
      <c r="C197" s="11" t="inlineStr">
        <is>
          <t>Arquitectura</t>
        </is>
      </c>
      <c r="D197" s="11" t="inlineStr">
        <is>
          <t>Upper West Side</t>
        </is>
      </c>
      <c r="E197" s="11" t="inlineStr">
        <is>
          <t>Manhattan</t>
        </is>
      </c>
      <c r="F197" s="12" t="n">
        <v>2</v>
      </c>
      <c r="G197" s="12" t="n">
        <v>2</v>
      </c>
      <c r="H197" s="13">
        <f>IF(AND(F197=2,G197=2),"AMBOS",IF(AND(F197=2,G197&lt;2),"solo JP",IF(AND(F197&lt;2,G197=2),"solo Thais","-")))</f>
        <v/>
      </c>
      <c r="I197" s="14" t="n">
        <v>0</v>
      </c>
      <c r="J197" s="15" t="n">
        <v>0.5</v>
      </c>
      <c r="K197" s="13" t="inlineStr">
        <is>
          <t>SÍ</t>
        </is>
      </c>
      <c r="L197" s="16" t="inlineStr">
        <is>
          <t>—</t>
        </is>
      </c>
      <c r="M197" s="11" t="inlineStr">
        <is>
          <t>—</t>
        </is>
      </c>
      <c r="N197" s="16" t="inlineStr">
        <is>
          <t>—</t>
        </is>
      </c>
      <c r="O197" s="16" t="inlineStr">
        <is>
          <t>—</t>
        </is>
      </c>
      <c r="P197" s="16" t="inlineStr">
        <is>
          <t>66 St-Lincoln Center (1)</t>
        </is>
      </c>
      <c r="Q197" s="16" t="inlineStr">
        <is>
          <t>La plaza de Revson iluminada de noche, los chandeliers del Met Opera a traves del vidrio y el espejo de agua con el Henry Moore. De noche, vacia, es puro cine. A 10 cuadras de The Beacon.</t>
        </is>
      </c>
      <c r="R197" s="16" t="inlineStr">
        <is>
          <t>Columbus Ave entre 62 y 66</t>
        </is>
      </c>
      <c r="S197" s="17" t="inlineStr">
        <is>
          <t>Día 6 · jue 3/9</t>
        </is>
      </c>
      <c r="T197" s="18" t="inlineStr">
        <is>
          <t>Abrir ↗</t>
        </is>
      </c>
      <c r="U197" s="19" t="inlineStr">
        <is>
          <t>lista google</t>
        </is>
      </c>
      <c r="V197" s="20" t="inlineStr"/>
    </row>
    <row r="198" ht="46" customHeight="1">
      <c r="A198" s="9" t="inlineStr">
        <is>
          <t>Little Island</t>
        </is>
      </c>
      <c r="B198" s="10" t="inlineStr">
        <is>
          <t>Arquitectura moderna</t>
        </is>
      </c>
      <c r="C198" s="11" t="inlineStr">
        <is>
          <t>Arquitectura</t>
        </is>
      </c>
      <c r="D198" s="11" t="inlineStr">
        <is>
          <t>Meatpacking</t>
        </is>
      </c>
      <c r="E198" s="11" t="inlineStr">
        <is>
          <t>Manhattan</t>
        </is>
      </c>
      <c r="F198" s="12" t="n">
        <v>2</v>
      </c>
      <c r="G198" s="12" t="n">
        <v>1</v>
      </c>
      <c r="H198" s="13">
        <f>IF(AND(F198=2,G198=2),"AMBOS",IF(AND(F198=2,G198&lt;2),"solo JP",IF(AND(F198&lt;2,G198=2),"solo Thais","-")))</f>
        <v/>
      </c>
      <c r="I198" s="14" t="n">
        <v>0</v>
      </c>
      <c r="J198" s="15" t="n">
        <v>1</v>
      </c>
      <c r="K198" s="13" t="inlineStr">
        <is>
          <t>SÍ</t>
        </is>
      </c>
      <c r="L198" s="16" t="inlineStr">
        <is>
          <t>—</t>
        </is>
      </c>
      <c r="M198" s="11" t="inlineStr">
        <is>
          <t>—</t>
        </is>
      </c>
      <c r="N198" s="16" t="inlineStr">
        <is>
          <t>—</t>
        </is>
      </c>
      <c r="O198" s="16" t="inlineStr">
        <is>
          <t>—</t>
        </is>
      </c>
      <c r="P198" s="16" t="inlineStr">
        <is>
          <t>14 St (A,C,E), 8 Av (L)</t>
        </is>
      </c>
      <c r="Q198" s="16" t="inlineStr">
        <is>
          <t>Parque flotante de Heatherwick sobre 132 'macetas' de hormigon de distinta altura. Gratis; en temporada alta puede pedir entrada con horario para la tarde-noche. Pegado al extremo sur del High Line.</t>
        </is>
      </c>
      <c r="R198" s="16" t="inlineStr">
        <is>
          <t>Pier 55, Hudson River Park, W 13th St</t>
        </is>
      </c>
      <c r="S198" s="17" t="inlineStr">
        <is>
          <t>Día 7 · vie 4/9</t>
        </is>
      </c>
      <c r="T198" s="18" t="inlineStr">
        <is>
          <t>Abrir ↗</t>
        </is>
      </c>
      <c r="U198" s="21" t="inlineStr">
        <is>
          <t>otros</t>
        </is>
      </c>
      <c r="V198" s="20" t="inlineStr"/>
    </row>
    <row r="199" ht="46" customHeight="1">
      <c r="A199" s="9" t="inlineStr">
        <is>
          <t>Oculus / WTC Transportation Hub</t>
        </is>
      </c>
      <c r="B199" s="10" t="inlineStr">
        <is>
          <t>Arquitectura moderna</t>
        </is>
      </c>
      <c r="C199" s="11" t="inlineStr">
        <is>
          <t>Arquitectura</t>
        </is>
      </c>
      <c r="D199" s="11" t="inlineStr">
        <is>
          <t>Financial District</t>
        </is>
      </c>
      <c r="E199" s="11" t="inlineStr">
        <is>
          <t>Manhattan</t>
        </is>
      </c>
      <c r="F199" s="12" t="n">
        <v>2</v>
      </c>
      <c r="G199" s="12" t="n">
        <v>0</v>
      </c>
      <c r="H199" s="13">
        <f>IF(AND(F199=2,G199=2),"AMBOS",IF(AND(F199=2,G199&lt;2),"solo JP",IF(AND(F199&lt;2,G199=2),"solo Thais","-")))</f>
        <v/>
      </c>
      <c r="I199" s="14" t="n">
        <v>0</v>
      </c>
      <c r="J199" s="15" t="n">
        <v>0.35</v>
      </c>
      <c r="K199" s="13" t="inlineStr">
        <is>
          <t>SÍ</t>
        </is>
      </c>
      <c r="L199" s="16" t="inlineStr">
        <is>
          <t>—</t>
        </is>
      </c>
      <c r="M199" s="11" t="inlineStr">
        <is>
          <t>—</t>
        </is>
      </c>
      <c r="N199" s="16" t="inlineStr">
        <is>
          <t>—</t>
        </is>
      </c>
      <c r="O199" s="16" t="inlineStr">
        <is>
          <t>—</t>
        </is>
      </c>
      <c r="P199" s="16" t="inlineStr">
        <is>
          <t>WTC Cortlandt (1), Fulton St</t>
        </is>
      </c>
      <c r="Q199" s="16" t="inlineStr">
        <is>
          <t>Calatrava. Se puede discutir si es bueno o si costo cuatro mil millones de dolares de mas, pero hay que verlo. Se cruza caminando camino al 9/11 Memorial.</t>
        </is>
      </c>
      <c r="R199" s="16" t="inlineStr">
        <is>
          <t>Church St &amp; Fulton St</t>
        </is>
      </c>
      <c r="S199" s="17" t="inlineStr">
        <is>
          <t>Día 6 · jue 3/9</t>
        </is>
      </c>
      <c r="T199" s="18" t="inlineStr">
        <is>
          <t>Abrir ↗</t>
        </is>
      </c>
      <c r="U199" s="19" t="inlineStr">
        <is>
          <t>lista google</t>
        </is>
      </c>
      <c r="V199" s="20" t="inlineStr">
        <is>
          <t>SÍ</t>
        </is>
      </c>
    </row>
    <row r="200" ht="46" customHeight="1">
      <c r="A200" s="9" t="inlineStr">
        <is>
          <t>Rockefeller Center</t>
        </is>
      </c>
      <c r="B200" s="10" t="inlineStr">
        <is>
          <t>Arquitectura moderna</t>
        </is>
      </c>
      <c r="C200" s="11" t="inlineStr">
        <is>
          <t>Arquitectura</t>
        </is>
      </c>
      <c r="D200" s="11" t="inlineStr">
        <is>
          <t>Midtown</t>
        </is>
      </c>
      <c r="E200" s="11" t="inlineStr">
        <is>
          <t>Manhattan</t>
        </is>
      </c>
      <c r="F200" s="12" t="n">
        <v>2</v>
      </c>
      <c r="G200" s="12" t="n">
        <v>1</v>
      </c>
      <c r="H200" s="13">
        <f>IF(AND(F200=2,G200=2),"AMBOS",IF(AND(F200=2,G200&lt;2),"solo JP",IF(AND(F200&lt;2,G200=2),"solo Thais","-")))</f>
        <v/>
      </c>
      <c r="I200" s="14" t="n">
        <v>0</v>
      </c>
      <c r="J200" s="15" t="n">
        <v>0.75</v>
      </c>
      <c r="K200" s="13" t="inlineStr">
        <is>
          <t>SÍ</t>
        </is>
      </c>
      <c r="L200" s="16" t="inlineStr">
        <is>
          <t>—</t>
        </is>
      </c>
      <c r="M200" s="11" t="inlineStr">
        <is>
          <t>—</t>
        </is>
      </c>
      <c r="N200" s="16" t="inlineStr">
        <is>
          <t>—</t>
        </is>
      </c>
      <c r="O200" s="16" t="inlineStr">
        <is>
          <t>—</t>
        </is>
      </c>
      <c r="P200" s="16" t="inlineStr">
        <is>
          <t>47-50 Sts-Rockefeller Ctr (B,D,F,M)</t>
        </is>
      </c>
      <c r="Q200" s="16" t="inlineStr">
        <is>
          <t>El conjunto art déco a nivel de calle: la plaza hundida, el Atlas y el mural de Prometeo. Gratis; el Top of the Rock es aparte.</t>
        </is>
      </c>
      <c r="R200" s="16" t="inlineStr">
        <is>
          <t>45 Rockefeller Plaza</t>
        </is>
      </c>
      <c r="S200" s="16" t="inlineStr">
        <is>
          <t>—</t>
        </is>
      </c>
      <c r="T200" s="18" t="inlineStr">
        <is>
          <t>Abrir ↗</t>
        </is>
      </c>
      <c r="U200" s="19" t="inlineStr">
        <is>
          <t>lista google</t>
        </is>
      </c>
      <c r="V200" s="20" t="inlineStr"/>
    </row>
    <row r="201" ht="46" customHeight="1">
      <c r="A201" s="9" t="inlineStr">
        <is>
          <t>Seagram Building</t>
        </is>
      </c>
      <c r="B201" s="10" t="inlineStr">
        <is>
          <t>Arquitectura moderna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t>
        </is>
      </c>
      <c r="Q201" s="16" t="inlineStr">
        <is>
          <t>Mies van der Rohe, 1958. La plaza vacia de adelante fue tan influyente como el edificio.</t>
        </is>
      </c>
      <c r="R201" s="16" t="inlineStr">
        <is>
          <t>375 Park Ave</t>
        </is>
      </c>
      <c r="S201" s="16" t="inlineStr">
        <is>
          <t>—</t>
        </is>
      </c>
      <c r="T201" s="18" t="inlineStr">
        <is>
          <t>Abrir ↗</t>
        </is>
      </c>
      <c r="U201" s="21" t="inlineStr">
        <is>
          <t>otros</t>
        </is>
      </c>
      <c r="V201" s="20" t="inlineStr"/>
    </row>
    <row r="202" ht="46" customHeight="1">
      <c r="A202" s="9" t="inlineStr">
        <is>
          <t>TWA Hotel (terminal de Saarinen)</t>
        </is>
      </c>
      <c r="B202" s="10" t="inlineStr">
        <is>
          <t>Arquitectura moderna</t>
        </is>
      </c>
      <c r="C202" s="11" t="inlineStr">
        <is>
          <t>Arquitectura</t>
        </is>
      </c>
      <c r="D202" s="11" t="inlineStr">
        <is>
          <t>JFK Airport</t>
        </is>
      </c>
      <c r="E202" s="11" t="inlineStr">
        <is>
          <t>Queens</t>
        </is>
      </c>
      <c r="F202" s="12" t="n">
        <v>0</v>
      </c>
      <c r="G202" s="12" t="n">
        <v>0</v>
      </c>
      <c r="H202" s="13">
        <f>IF(AND(F202=2,G202=2),"AMBOS",IF(AND(F202=2,G202&lt;2),"solo JP",IF(AND(F202&lt;2,G202=2),"solo Thais","-")))</f>
        <v/>
      </c>
      <c r="I202" s="14" t="n">
        <v>9</v>
      </c>
      <c r="J202" s="15" t="n">
        <v>3</v>
      </c>
      <c r="K202" s="13" t="inlineStr">
        <is>
          <t>no</t>
        </is>
      </c>
      <c r="L202" s="16" t="inlineStr">
        <is>
          <t>—</t>
        </is>
      </c>
      <c r="M202" s="11" t="inlineStr">
        <is>
          <t>—</t>
        </is>
      </c>
      <c r="N202" s="16" t="inlineStr">
        <is>
          <t>—</t>
        </is>
      </c>
      <c r="O202" s="16" t="inlineStr">
        <is>
          <t>—</t>
        </is>
      </c>
      <c r="P202" s="16" t="inlineStr">
        <is>
          <t>A o E a Howard Beach/Jamaica + AirTrain</t>
        </is>
      </c>
      <c r="Q202" s="16" t="inlineStr">
        <is>
          <t>La terminal de Eero Saarinen de 1962 restaurada entera: la Sunken Lounge, el tubo de conexion y un Lockheed Constellation de 1958 convertido en bar. No hace falta ser huesped ni pagar entrada.</t>
        </is>
      </c>
      <c r="R202" s="16" t="inlineStr">
        <is>
          <t>One Idlewild Dr, JFK</t>
        </is>
      </c>
      <c r="S202" s="16" t="inlineStr">
        <is>
          <t>—</t>
        </is>
      </c>
      <c r="T202" s="18" t="inlineStr">
        <is>
          <t>Abrir ↗</t>
        </is>
      </c>
      <c r="U202" s="21" t="inlineStr">
        <is>
          <t>otros</t>
        </is>
      </c>
      <c r="V202" s="20" t="inlineStr"/>
    </row>
    <row r="203" ht="46" customHeight="1">
      <c r="A203" s="9" t="inlineStr">
        <is>
          <t>The Vessel</t>
        </is>
      </c>
      <c r="B203" s="10" t="inlineStr">
        <is>
          <t>Arquitectura moderna</t>
        </is>
      </c>
      <c r="C203" s="11" t="inlineStr">
        <is>
          <t>Arquitectura</t>
        </is>
      </c>
      <c r="D203" s="11" t="inlineStr">
        <is>
          <t>Hudson Yards</t>
        </is>
      </c>
      <c r="E203" s="11" t="inlineStr">
        <is>
          <t>Manhattan</t>
        </is>
      </c>
      <c r="F203" s="12" t="n">
        <v>2</v>
      </c>
      <c r="G203" s="12" t="n">
        <v>2</v>
      </c>
      <c r="H203" s="13">
        <f>IF(AND(F203=2,G203=2),"AMBOS",IF(AND(F203=2,G203&lt;2),"solo JP",IF(AND(F203&lt;2,G203=2),"solo Thais","-")))</f>
        <v/>
      </c>
      <c r="I203" s="14" t="n">
        <v>10</v>
      </c>
      <c r="J203" s="15" t="n">
        <v>0.75</v>
      </c>
      <c r="K203" s="13" t="inlineStr">
        <is>
          <t>no</t>
        </is>
      </c>
      <c r="L203" s="16" t="inlineStr">
        <is>
          <t>lunes a domingo: 10:00–21:00</t>
        </is>
      </c>
      <c r="M203" s="11" t="inlineStr">
        <is>
          <t>—</t>
        </is>
      </c>
      <c r="N203" s="16" t="inlineStr">
        <is>
          <t>—</t>
        </is>
      </c>
      <c r="O203" s="16" t="inlineStr">
        <is>
          <t>timed ticket online (hay en el dia, pero mejor asegurar)</t>
        </is>
      </c>
      <c r="P203" s="16" t="inlineStr">
        <is>
          <t>34 St-Hudson Yards (7)</t>
        </is>
      </c>
      <c r="Q203" s="16" t="inlineStr">
        <is>
          <t>La escalera infinita de Heatherwick: 154 tramos entrelazados, 2.500 escalones. Subirla es la unica forma de entenderla, y esta al pie del arranque del High Line.</t>
        </is>
      </c>
      <c r="R203" s="16" t="inlineStr">
        <is>
          <t>20 Hudson Yards</t>
        </is>
      </c>
      <c r="S203" s="17" t="inlineStr">
        <is>
          <t>Día 7 · vie 4/9</t>
        </is>
      </c>
      <c r="T203" s="18" t="inlineStr">
        <is>
          <t>Abrir ↗</t>
        </is>
      </c>
      <c r="U203" s="19" t="inlineStr">
        <is>
          <t>lista google</t>
        </is>
      </c>
      <c r="V203" s="20" t="inlineStr">
        <is>
          <t>SÍ</t>
        </is>
      </c>
    </row>
    <row r="204" ht="46" customHeight="1">
      <c r="A204" s="9" t="inlineStr">
        <is>
          <t>6½ Avenue</t>
        </is>
      </c>
      <c r="B204" s="10" t="inlineStr">
        <is>
          <t>Casa y calle histórica</t>
        </is>
      </c>
      <c r="C204" s="11" t="inlineStr">
        <is>
          <t>Arquitectura</t>
        </is>
      </c>
      <c r="D204" s="11" t="inlineStr">
        <is>
          <t>Midtown</t>
        </is>
      </c>
      <c r="E204" s="11" t="inlineStr">
        <is>
          <t>Manhattan</t>
        </is>
      </c>
      <c r="F204" s="12" t="n">
        <v>1</v>
      </c>
      <c r="G204" s="12" t="n">
        <v>1</v>
      </c>
      <c r="H204" s="13">
        <f>IF(AND(F204=2,G204=2),"AMBOS",IF(AND(F204=2,G204&lt;2),"solo JP",IF(AND(F204&lt;2,G204=2),"solo Thais","-")))</f>
        <v/>
      </c>
      <c r="I204" s="14" t="n">
        <v>0</v>
      </c>
      <c r="J204" s="15" t="n">
        <v>0.4</v>
      </c>
      <c r="K204" s="13" t="inlineStr">
        <is>
          <t>no</t>
        </is>
      </c>
      <c r="L204" s="16" t="inlineStr">
        <is>
          <t>—</t>
        </is>
      </c>
      <c r="M204" s="11" t="inlineStr">
        <is>
          <t>—</t>
        </is>
      </c>
      <c r="N204" s="16" t="inlineStr">
        <is>
          <t>—</t>
        </is>
      </c>
      <c r="O204" s="16" t="inlineStr">
        <is>
          <t>—</t>
        </is>
      </c>
      <c r="P204" s="16" t="inlineStr">
        <is>
          <t>57 St (F), 7 Av (B,D,E)</t>
        </is>
      </c>
      <c r="Q204" s="16" t="inlineStr">
        <is>
          <t>la única avenida fraccionaria de la grilla de Nueva York, oficializada con cartel de calle por el Departamento de Transporte en julio de 2012.</t>
        </is>
      </c>
      <c r="R204" s="16" t="inlineStr">
        <is>
          <t>6 1/2 Ave &amp; W 53rd St</t>
        </is>
      </c>
      <c r="S204" s="16" t="inlineStr">
        <is>
          <t>—</t>
        </is>
      </c>
      <c r="T204" s="18" t="inlineStr">
        <is>
          <t>Abrir ↗</t>
        </is>
      </c>
      <c r="U204" s="21" t="inlineStr">
        <is>
          <t>otros</t>
        </is>
      </c>
      <c r="V204" s="20" t="inlineStr"/>
    </row>
    <row r="205" ht="46" customHeight="1">
      <c r="A205" s="9" t="inlineStr">
        <is>
          <t>75½ Bedford Street</t>
        </is>
      </c>
      <c r="B205" s="10" t="inlineStr">
        <is>
          <t>Casa y calle histórica</t>
        </is>
      </c>
      <c r="C205" s="11" t="inlineStr">
        <is>
          <t>Arquitectura</t>
        </is>
      </c>
      <c r="D205" s="11" t="inlineStr">
        <is>
          <t>West Village</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Christopher St (1)</t>
        </is>
      </c>
      <c r="Q205" s="16" t="inlineStr">
        <is>
          <t>2,90 metros de ancho en el frente, 2,60 adentro y 60 centímetros en su punto más angosto: la casa más flaca de Nueva York, construida en 1873 sobre lo que era la entrada de carruajes de la casa de al lado. Vivieron ahí Edna St.</t>
        </is>
      </c>
      <c r="R205" s="16" t="inlineStr">
        <is>
          <t>75 Bedford St</t>
        </is>
      </c>
      <c r="S205" s="16" t="inlineStr">
        <is>
          <t>—</t>
        </is>
      </c>
      <c r="T205" s="18" t="inlineStr">
        <is>
          <t>Abrir ↗</t>
        </is>
      </c>
      <c r="U205" s="21" t="inlineStr">
        <is>
          <t>otros</t>
        </is>
      </c>
      <c r="V205" s="20" t="inlineStr"/>
    </row>
    <row r="206" ht="46" customHeight="1">
      <c r="A206" s="9" t="inlineStr">
        <is>
          <t>Amster Yard (Instituto Cervantes)</t>
        </is>
      </c>
      <c r="B206" s="10" t="inlineStr">
        <is>
          <t>Casa y calle histórica</t>
        </is>
      </c>
      <c r="C206" s="11" t="inlineStr">
        <is>
          <t>Arquitectura</t>
        </is>
      </c>
      <c r="D206" s="11" t="inlineStr">
        <is>
          <t>Midtown East</t>
        </is>
      </c>
      <c r="E206" s="11" t="inlineStr">
        <is>
          <t>Manhattan</t>
        </is>
      </c>
      <c r="F206" s="12" t="n">
        <v>1</v>
      </c>
      <c r="G206" s="12" t="n">
        <v>1</v>
      </c>
      <c r="H206" s="13">
        <f>IF(AND(F206=2,G206=2),"AMBOS",IF(AND(F206=2,G206&lt;2),"solo JP",IF(AND(F206&lt;2,G206=2),"solo Thais","-")))</f>
        <v/>
      </c>
      <c r="I206" s="14" t="n">
        <v>0</v>
      </c>
      <c r="J206" s="15" t="n">
        <v>0.3</v>
      </c>
      <c r="K206" s="13" t="inlineStr">
        <is>
          <t>no</t>
        </is>
      </c>
      <c r="L206" s="16" t="inlineStr">
        <is>
          <t>—</t>
        </is>
      </c>
      <c r="M206" s="11" t="inlineStr">
        <is>
          <t>—</t>
        </is>
      </c>
      <c r="N206" s="16" t="inlineStr">
        <is>
          <t>—</t>
        </is>
      </c>
      <c r="O206" s="16" t="inlineStr">
        <is>
          <t>—</t>
        </is>
      </c>
      <c r="P206" s="16" t="inlineStr">
        <is>
          <t>51 St (6), Lexington Av-53 St (E,M)</t>
        </is>
      </c>
      <c r="Q206" s="16" t="inlineStr">
        <is>
          <t>un patio en L escondido detrás de una fila de conventillos, que el decorador James Amster armó entre 1944 y 1946 juntando varios fondos de casa. Isamu Noguchi tuvo su taller acá.</t>
        </is>
      </c>
      <c r="R206" s="16" t="inlineStr">
        <is>
          <t>211 E 49th St</t>
        </is>
      </c>
      <c r="S206" s="16" t="inlineStr">
        <is>
          <t>—</t>
        </is>
      </c>
      <c r="T206" s="18" t="inlineStr">
        <is>
          <t>Abrir ↗</t>
        </is>
      </c>
      <c r="U206" s="21" t="inlineStr">
        <is>
          <t>otros</t>
        </is>
      </c>
      <c r="V206" s="20" t="inlineStr"/>
    </row>
    <row r="207" ht="46" customHeight="1">
      <c r="A207" s="9" t="inlineStr">
        <is>
          <t>Apollo Theater</t>
        </is>
      </c>
      <c r="B207" s="10" t="inlineStr">
        <is>
          <t>Casa y calle histórica</t>
        </is>
      </c>
      <c r="C207" s="11" t="inlineStr">
        <is>
          <t>Arquitectura</t>
        </is>
      </c>
      <c r="D207" s="11" t="inlineStr">
        <is>
          <t>Harlem</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125 St (A,B,C,D)</t>
        </is>
      </c>
      <c r="Q207" s="16" t="inlineStr">
        <is>
          <t>1934: la Amateur Night que lanzo a Ella Fitzgerald y James Brown. La marquesina se ve desde la vereda.</t>
        </is>
      </c>
      <c r="R207" s="16" t="inlineStr">
        <is>
          <t>253 W 125th St</t>
        </is>
      </c>
      <c r="S207" s="16" t="inlineStr">
        <is>
          <t>—</t>
        </is>
      </c>
      <c r="T207" s="18" t="inlineStr">
        <is>
          <t>Abrir ↗</t>
        </is>
      </c>
      <c r="U207" s="21" t="inlineStr">
        <is>
          <t>otros</t>
        </is>
      </c>
      <c r="V207" s="20" t="inlineStr"/>
    </row>
    <row r="208" ht="46" customHeight="1">
      <c r="A208" s="9" t="inlineStr">
        <is>
          <t>Cannon's Walk</t>
        </is>
      </c>
      <c r="B208" s="10" t="inlineStr">
        <is>
          <t>Casa y calle histórica</t>
        </is>
      </c>
      <c r="C208" s="11" t="inlineStr">
        <is>
          <t>Arquitectura</t>
        </is>
      </c>
      <c r="D208" s="11" t="inlineStr">
        <is>
          <t>South Street Seaport</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Fulton St (2,3,4,5,A,C,J,Z)</t>
        </is>
      </c>
      <c r="Q208" s="16" t="inlineStr">
        <is>
          <t>Callejón adoquinado del Seaport entre edificios del siglo XIX. Atajo con encanto.</t>
        </is>
      </c>
      <c r="R208" s="16" t="inlineStr"/>
      <c r="S208" s="16" t="inlineStr">
        <is>
          <t>—</t>
        </is>
      </c>
      <c r="T208" s="18" t="inlineStr">
        <is>
          <t>Abrir ↗</t>
        </is>
      </c>
      <c r="U208" s="19" t="inlineStr">
        <is>
          <t>lista google</t>
        </is>
      </c>
      <c r="V208" s="20" t="inlineStr"/>
    </row>
    <row r="209" ht="46" customHeight="1">
      <c r="A209" s="9" t="inlineStr">
        <is>
          <t>Charging Bull</t>
        </is>
      </c>
      <c r="B209" s="10" t="inlineStr">
        <is>
          <t>Casa y calle histórica</t>
        </is>
      </c>
      <c r="C209" s="11" t="inlineStr">
        <is>
          <t>Arquitectura</t>
        </is>
      </c>
      <c r="D209" s="11" t="inlineStr">
        <is>
          <t>Financial District</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Bowling Green (4,5)</t>
        </is>
      </c>
      <c r="Q209" s="16" t="inlineStr">
        <is>
          <t>El toro de 1989 que aparecio una noche sin permiso. Con Fearless Girl enfrente, a dos cuadras.</t>
        </is>
      </c>
      <c r="R209" s="16" t="inlineStr">
        <is>
          <t>Broadway y Morris St</t>
        </is>
      </c>
      <c r="S209" s="16" t="inlineStr">
        <is>
          <t>—</t>
        </is>
      </c>
      <c r="T209" s="18" t="inlineStr">
        <is>
          <t>Abrir ↗</t>
        </is>
      </c>
      <c r="U209" s="21" t="inlineStr">
        <is>
          <t>otros</t>
        </is>
      </c>
      <c r="V209" s="20" t="inlineStr"/>
    </row>
    <row r="210" ht="46" customHeight="1">
      <c r="A210" s="9" t="inlineStr">
        <is>
          <t>Cushman Row</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0.2</v>
      </c>
      <c r="K210" s="13" t="inlineStr">
        <is>
          <t>no</t>
        </is>
      </c>
      <c r="L210" s="16" t="inlineStr">
        <is>
          <t>—</t>
        </is>
      </c>
      <c r="M210" s="11" t="inlineStr">
        <is>
          <t>—</t>
        </is>
      </c>
      <c r="N210" s="16" t="inlineStr">
        <is>
          <t>—</t>
        </is>
      </c>
      <c r="O210" s="16" t="inlineStr">
        <is>
          <t>—</t>
        </is>
      </c>
      <c r="P210" s="16" t="inlineStr">
        <is>
          <t>23 St (C,E)</t>
        </is>
      </c>
      <c r="Q210" s="16" t="inlineStr">
        <is>
          <t>Don Alonzo Cushman construyó estas seis casas en 1839-40 en tierra que le compró a Clement Clarke Moore, el que escribió "'Twas the night before Christmas".</t>
        </is>
      </c>
      <c r="R210" s="16" t="inlineStr">
        <is>
          <t>406 W 20th St</t>
        </is>
      </c>
      <c r="S210" s="16" t="inlineStr">
        <is>
          <t>—</t>
        </is>
      </c>
      <c r="T210" s="18" t="inlineStr">
        <is>
          <t>Abrir ↗</t>
        </is>
      </c>
      <c r="U210" s="21" t="inlineStr">
        <is>
          <t>otros</t>
        </is>
      </c>
      <c r="V210" s="20" t="inlineStr"/>
    </row>
    <row r="211" ht="46" customHeight="1">
      <c r="A211" s="9" t="inlineStr">
        <is>
          <t>Doyers St</t>
        </is>
      </c>
      <c r="B211" s="10" t="inlineStr">
        <is>
          <t>Casa y calle histórica</t>
        </is>
      </c>
      <c r="C211" s="11" t="inlineStr">
        <is>
          <t>Arquitectura</t>
        </is>
      </c>
      <c r="D211" s="11" t="inlineStr">
        <is>
          <t>Chinatown</t>
        </is>
      </c>
      <c r="E211" s="11" t="inlineStr">
        <is>
          <t>Manhattan</t>
        </is>
      </c>
      <c r="F211" s="12" t="n">
        <v>1</v>
      </c>
      <c r="G211" s="12" t="n">
        <v>1</v>
      </c>
      <c r="H211" s="13">
        <f>IF(AND(F211=2,G211=2),"AMBOS",IF(AND(F211=2,G211&lt;2),"solo JP",IF(AND(F211&lt;2,G211=2),"solo Thais","-")))</f>
        <v/>
      </c>
      <c r="I211" s="14" t="n">
        <v>0</v>
      </c>
      <c r="J211" s="15" t="n">
        <v>0.25</v>
      </c>
      <c r="K211" s="13" t="inlineStr">
        <is>
          <t>no</t>
        </is>
      </c>
      <c r="L211" s="16" t="inlineStr">
        <is>
          <t>—</t>
        </is>
      </c>
      <c r="M211" s="11" t="inlineStr">
        <is>
          <t>—</t>
        </is>
      </c>
      <c r="N211" s="16" t="inlineStr">
        <is>
          <t>—</t>
        </is>
      </c>
      <c r="O211" s="16" t="inlineStr">
        <is>
          <t>—</t>
        </is>
      </c>
      <c r="P211" s="16" t="inlineStr">
        <is>
          <t>Canal St (6,N,Q,R,W,J,Z)</t>
        </is>
      </c>
      <c r="Q211" s="16" t="inlineStr">
        <is>
          <t>La curva imposible del 'Bloody Angle', con el mural. Media cuadra que resume Chinatown.</t>
        </is>
      </c>
      <c r="R211" s="16" t="inlineStr"/>
      <c r="S211" s="16" t="inlineStr">
        <is>
          <t>—</t>
        </is>
      </c>
      <c r="T211" s="18" t="inlineStr">
        <is>
          <t>Abrir ↗</t>
        </is>
      </c>
      <c r="U211" s="19" t="inlineStr">
        <is>
          <t>lista google</t>
        </is>
      </c>
      <c r="V211" s="20" t="inlineStr"/>
    </row>
    <row r="212" ht="46" customHeight="1">
      <c r="A212" s="9" t="inlineStr">
        <is>
          <t>Fraunces Tavern</t>
        </is>
      </c>
      <c r="B212" s="10" t="inlineStr">
        <is>
          <t>Casa y calle histórica</t>
        </is>
      </c>
      <c r="C212" s="11" t="inlineStr">
        <is>
          <t>Arquitectura</t>
        </is>
      </c>
      <c r="D212" s="11" t="inlineStr">
        <is>
          <t>Financial District</t>
        </is>
      </c>
      <c r="E212" s="11" t="inlineStr">
        <is>
          <t>Manhattan</t>
        </is>
      </c>
      <c r="F212" s="12" t="n">
        <v>1</v>
      </c>
      <c r="G212" s="12" t="n">
        <v>1</v>
      </c>
      <c r="H212" s="13">
        <f>IF(AND(F212=2,G212=2),"AMBOS",IF(AND(F212=2,G212&lt;2),"solo JP",IF(AND(F212&lt;2,G212=2),"solo Thais","-")))</f>
        <v/>
      </c>
      <c r="I212" s="14" t="n">
        <v>20</v>
      </c>
      <c r="J212" s="15" t="n">
        <v>1</v>
      </c>
      <c r="K212" s="13" t="inlineStr">
        <is>
          <t>no</t>
        </is>
      </c>
      <c r="L212" s="16" t="inlineStr">
        <is>
          <t>—</t>
        </is>
      </c>
      <c r="M212" s="11" t="inlineStr">
        <is>
          <t>—</t>
        </is>
      </c>
      <c r="N212" s="16" t="inlineStr">
        <is>
          <t>—</t>
        </is>
      </c>
      <c r="O212" s="16" t="inlineStr">
        <is>
          <t>—</t>
        </is>
      </c>
      <c r="P212" s="16" t="inlineStr">
        <is>
          <t>Broad St (J,Z)</t>
        </is>
      </c>
      <c r="Q212" s="16" t="inlineStr">
        <is>
          <t>La taberna de 1762 donde Washington se despidió de sus oficiales. Museo arriba, bar funcionando abajo.</t>
        </is>
      </c>
      <c r="R212" s="16" t="inlineStr">
        <is>
          <t>54 Pearl St</t>
        </is>
      </c>
      <c r="S212" s="16" t="inlineStr">
        <is>
          <t>—</t>
        </is>
      </c>
      <c r="T212" s="18" t="inlineStr">
        <is>
          <t>Abrir ↗</t>
        </is>
      </c>
      <c r="U212" s="19" t="inlineStr">
        <is>
          <t>lista google</t>
        </is>
      </c>
      <c r="V212" s="20" t="inlineStr"/>
    </row>
    <row r="213" ht="46" customHeight="1">
      <c r="A213" s="9" t="inlineStr">
        <is>
          <t>Grove Court</t>
        </is>
      </c>
      <c r="B213" s="10" t="inlineStr">
        <is>
          <t>Casa y calle histórica</t>
        </is>
      </c>
      <c r="C213" s="11" t="inlineStr">
        <is>
          <t>Arquitectura</t>
        </is>
      </c>
      <c r="D213" s="11" t="inlineStr">
        <is>
          <t>West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Christopher St (1)</t>
        </is>
      </c>
      <c r="Q213" s="16" t="inlineStr">
        <is>
          <t>Seis casitas de 1854 alrededor de un patio privado. La postal del West Village que no sale en las guias.</t>
        </is>
      </c>
      <c r="R213" s="16" t="inlineStr">
        <is>
          <t>10-12 Grove St</t>
        </is>
      </c>
      <c r="S213" s="16" t="inlineStr">
        <is>
          <t>—</t>
        </is>
      </c>
      <c r="T213" s="18" t="inlineStr">
        <is>
          <t>Abrir ↗</t>
        </is>
      </c>
      <c r="U213" s="21" t="inlineStr">
        <is>
          <t>otros</t>
        </is>
      </c>
      <c r="V213" s="20" t="inlineStr"/>
    </row>
    <row r="214" ht="46" customHeight="1">
      <c r="A214" s="9" t="inlineStr">
        <is>
          <t>Henderson Place</t>
        </is>
      </c>
      <c r="B214" s="10" t="inlineStr">
        <is>
          <t>Casa y calle histórica</t>
        </is>
      </c>
      <c r="C214" s="11" t="inlineStr">
        <is>
          <t>Arquitectura</t>
        </is>
      </c>
      <c r="D214" s="11" t="inlineStr">
        <is>
          <t>Upper East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86 St (4,5,6) + M86</t>
        </is>
      </c>
      <c r="Q214"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14" s="16" t="inlineStr">
        <is>
          <t>Henderson Pl, E 86th St</t>
        </is>
      </c>
      <c r="S214" s="16" t="inlineStr">
        <is>
          <t>—</t>
        </is>
      </c>
      <c r="T214" s="18" t="inlineStr">
        <is>
          <t>Abrir ↗</t>
        </is>
      </c>
      <c r="U214" s="21" t="inlineStr">
        <is>
          <t>otros</t>
        </is>
      </c>
      <c r="V214" s="20" t="inlineStr"/>
    </row>
    <row r="215" ht="46" customHeight="1">
      <c r="A215" s="9" t="inlineStr">
        <is>
          <t>Hotel Chelsea</t>
        </is>
      </c>
      <c r="B215" s="10" t="inlineStr">
        <is>
          <t>Casa y calle histórica</t>
        </is>
      </c>
      <c r="C215" s="11" t="inlineStr">
        <is>
          <t>Arquitectura</t>
        </is>
      </c>
      <c r="D215" s="11" t="inlineStr">
        <is>
          <t>Chelsea</t>
        </is>
      </c>
      <c r="E215" s="11" t="inlineStr">
        <is>
          <t>Manhattan</t>
        </is>
      </c>
      <c r="F215" s="12" t="n">
        <v>1</v>
      </c>
      <c r="G215" s="12" t="n">
        <v>1</v>
      </c>
      <c r="H215" s="13">
        <f>IF(AND(F215=2,G215=2),"AMBOS",IF(AND(F215=2,G215&lt;2),"solo JP",IF(AND(F215&lt;2,G215=2),"solo Thais","-")))</f>
        <v/>
      </c>
      <c r="I215" s="14" t="n">
        <v>0</v>
      </c>
      <c r="J215" s="15" t="n">
        <v>0.3</v>
      </c>
      <c r="K215" s="13" t="inlineStr">
        <is>
          <t>no</t>
        </is>
      </c>
      <c r="L215" s="16" t="inlineStr">
        <is>
          <t>—</t>
        </is>
      </c>
      <c r="M215" s="11" t="inlineStr">
        <is>
          <t>—</t>
        </is>
      </c>
      <c r="N215" s="16" t="inlineStr">
        <is>
          <t>—</t>
        </is>
      </c>
      <c r="O215" s="16" t="inlineStr">
        <is>
          <t>—</t>
        </is>
      </c>
      <c r="P215" s="16" t="inlineStr">
        <is>
          <t>23 St (1,C,E,F,M)</t>
        </is>
      </c>
      <c r="Q215" s="16" t="inlineStr">
        <is>
          <t>Donde vivieron Dylan, Patti Smith, Warhol y Leonard Cohen. Reabrio como hotel; el lobby se puede ver.</t>
        </is>
      </c>
      <c r="R215" s="16" t="inlineStr">
        <is>
          <t>222 W 23rd St</t>
        </is>
      </c>
      <c r="S215" s="16" t="inlineStr">
        <is>
          <t>—</t>
        </is>
      </c>
      <c r="T215" s="18" t="inlineStr">
        <is>
          <t>Abrir ↗</t>
        </is>
      </c>
      <c r="U215" s="21" t="inlineStr">
        <is>
          <t>otros</t>
        </is>
      </c>
      <c r="V215" s="20" t="inlineStr"/>
    </row>
    <row r="216" ht="46" customHeight="1">
      <c r="A216" s="9" t="inlineStr">
        <is>
          <t>Irish Hunger Memorial</t>
        </is>
      </c>
      <c r="B216" s="10" t="inlineStr">
        <is>
          <t>Casa y calle histórica</t>
        </is>
      </c>
      <c r="C216" s="11" t="inlineStr">
        <is>
          <t>Arquitectura</t>
        </is>
      </c>
      <c r="D216" s="11" t="inlineStr">
        <is>
          <t>Battery Park City</t>
        </is>
      </c>
      <c r="E216" s="11" t="inlineStr">
        <is>
          <t>Manhattan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Chambers St (1,2,3)</t>
        </is>
      </c>
      <c r="Q216" s="16" t="inlineStr">
        <is>
          <t>media hectárea de campo irlandés levantada y trasplantada a Manhattan, con una casa de piedra real de la época de la hambruna donada por la familia Slack de Attymass, condado de Mayo, desarmada y rearmada acá piedra por piedra.</t>
        </is>
      </c>
      <c r="R216" s="16" t="inlineStr">
        <is>
          <t>Vesey St &amp; North End Ave</t>
        </is>
      </c>
      <c r="S216" s="16" t="inlineStr">
        <is>
          <t>—</t>
        </is>
      </c>
      <c r="T216" s="18" t="inlineStr">
        <is>
          <t>Abrir ↗</t>
        </is>
      </c>
      <c r="U216" s="21" t="inlineStr">
        <is>
          <t>otros</t>
        </is>
      </c>
      <c r="V216" s="20" t="inlineStr"/>
    </row>
    <row r="217" ht="46" customHeight="1">
      <c r="A217" s="9" t="inlineStr">
        <is>
          <t>Jane's Carousel</t>
        </is>
      </c>
      <c r="B217" s="10" t="inlineStr">
        <is>
          <t>Casa y calle histórica</t>
        </is>
      </c>
      <c r="C217" s="11" t="inlineStr">
        <is>
          <t>Arquitectura</t>
        </is>
      </c>
      <c r="D217" s="11" t="inlineStr">
        <is>
          <t>DUMBO</t>
        </is>
      </c>
      <c r="E217" s="11" t="inlineStr">
        <is>
          <t>Brooklyn</t>
        </is>
      </c>
      <c r="F217" s="12" t="n">
        <v>1</v>
      </c>
      <c r="G217" s="12" t="n">
        <v>1</v>
      </c>
      <c r="H217" s="13">
        <f>IF(AND(F217=2,G217=2),"AMBOS",IF(AND(F217=2,G217&lt;2),"solo JP",IF(AND(F217&lt;2,G217=2),"solo Thais","-")))</f>
        <v/>
      </c>
      <c r="I217" s="14" t="n">
        <v>2</v>
      </c>
      <c r="J217" s="15" t="n">
        <v>0.4</v>
      </c>
      <c r="K217" s="13" t="inlineStr">
        <is>
          <t>no</t>
        </is>
      </c>
      <c r="L217" s="16" t="inlineStr">
        <is>
          <t>—</t>
        </is>
      </c>
      <c r="M217" s="11" t="inlineStr">
        <is>
          <t>—</t>
        </is>
      </c>
      <c r="N217" s="16" t="inlineStr">
        <is>
          <t>—</t>
        </is>
      </c>
      <c r="O217" s="16" t="inlineStr">
        <is>
          <t>—</t>
        </is>
      </c>
      <c r="P217" s="16" t="inlineStr">
        <is>
          <t>High St (A,C), York St (F)</t>
        </is>
      </c>
      <c r="Q217" s="16" t="inlineStr">
        <is>
          <t>Calesita de 1922 restaurada, dentro de una caja de vidrio de Jean Nouvel frente al skyline. Dos dolares.</t>
        </is>
      </c>
      <c r="R217" s="16" t="inlineStr">
        <is>
          <t>Brooklyn Bridge Park, Old Dock St</t>
        </is>
      </c>
      <c r="S217" s="16" t="inlineStr">
        <is>
          <t>—</t>
        </is>
      </c>
      <c r="T217" s="18" t="inlineStr">
        <is>
          <t>Abrir ↗</t>
        </is>
      </c>
      <c r="U217" s="21" t="inlineStr">
        <is>
          <t>otros</t>
        </is>
      </c>
      <c r="V217" s="20" t="inlineStr"/>
    </row>
    <row r="218" ht="46" customHeight="1">
      <c r="A218" s="9" t="inlineStr">
        <is>
          <t>Patchin Place</t>
        </is>
      </c>
      <c r="B218" s="10" t="inlineStr">
        <is>
          <t>Casa y calle histórica</t>
        </is>
      </c>
      <c r="C218" s="11" t="inlineStr">
        <is>
          <t>Arquitectura</t>
        </is>
      </c>
      <c r="D218" s="11" t="inlineStr">
        <is>
          <t>Greenwich Village</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W 4 St (A,C,E,B,D,F,M)</t>
        </is>
      </c>
      <c r="Q218" s="16" t="inlineStr">
        <is>
          <t>diez casitas de 1848 en un callejón con portón de 1929, justo enfrente de la Jefferson Market Library que ya tienen agendada. E.E. Cummings vivió en el número 4 durante cuarenta años; Djuna Barnes, en el 5, del otro lado del callejón.</t>
        </is>
      </c>
      <c r="R218" s="16" t="inlineStr">
        <is>
          <t>Patchin Place, W 10th St</t>
        </is>
      </c>
      <c r="S218" s="16" t="inlineStr">
        <is>
          <t>—</t>
        </is>
      </c>
      <c r="T218" s="18" t="inlineStr">
        <is>
          <t>Abrir ↗</t>
        </is>
      </c>
      <c r="U218" s="21" t="inlineStr">
        <is>
          <t>otros</t>
        </is>
      </c>
      <c r="V218" s="20" t="inlineStr"/>
    </row>
    <row r="219" ht="46" customHeight="1">
      <c r="A219" s="9" t="inlineStr">
        <is>
          <t>Pomander Walk</t>
        </is>
      </c>
      <c r="B219" s="10" t="inlineStr">
        <is>
          <t>Casa y calle histórica</t>
        </is>
      </c>
      <c r="C219" s="11" t="inlineStr">
        <is>
          <t>Arquitectura</t>
        </is>
      </c>
      <c r="D219" s="11" t="inlineStr">
        <is>
          <t>Upper West Side</t>
        </is>
      </c>
      <c r="E219" s="11" t="inlineStr">
        <is>
          <t>Manhattan</t>
        </is>
      </c>
      <c r="F219" s="12" t="n">
        <v>1</v>
      </c>
      <c r="G219" s="12" t="n">
        <v>1</v>
      </c>
      <c r="H219" s="13">
        <f>IF(AND(F219=2,G219=2),"AMBOS",IF(AND(F219=2,G219&lt;2),"solo JP",IF(AND(F219&lt;2,G219=2),"solo Thais","-")))</f>
        <v/>
      </c>
      <c r="I219" s="14" t="n">
        <v>0</v>
      </c>
      <c r="J219" s="15" t="n">
        <v>0.2</v>
      </c>
      <c r="K219" s="13" t="inlineStr">
        <is>
          <t>no</t>
        </is>
      </c>
      <c r="L219" s="16" t="inlineStr">
        <is>
          <t>—</t>
        </is>
      </c>
      <c r="M219" s="11" t="inlineStr">
        <is>
          <t>—</t>
        </is>
      </c>
      <c r="N219" s="16" t="inlineStr">
        <is>
          <t>—</t>
        </is>
      </c>
      <c r="O219" s="16" t="inlineStr">
        <is>
          <t>—</t>
        </is>
      </c>
      <c r="P219" s="16" t="inlineStr">
        <is>
          <t>96 St (1,2,3)</t>
        </is>
      </c>
      <c r="Q219" s="16" t="inlineStr">
        <is>
          <t>27 casas Tudor de dos pisos con fachadas pastel y jardincitos, en un pasaje privado en el medio de la manzana.</t>
        </is>
      </c>
      <c r="R219" s="16" t="inlineStr">
        <is>
          <t>261 W 94th St</t>
        </is>
      </c>
      <c r="S219" s="16" t="inlineStr">
        <is>
          <t>—</t>
        </is>
      </c>
      <c r="T219" s="18" t="inlineStr">
        <is>
          <t>Abrir ↗</t>
        </is>
      </c>
      <c r="U219" s="21" t="inlineStr">
        <is>
          <t>otros</t>
        </is>
      </c>
      <c r="V219" s="20" t="inlineStr"/>
    </row>
    <row r="220" ht="46" customHeight="1">
      <c r="A220" s="9" t="inlineStr">
        <is>
          <t>Prince St</t>
        </is>
      </c>
      <c r="B220" s="10" t="inlineStr">
        <is>
          <t>Casa y calle histórica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Prince St (N,R,W)</t>
        </is>
      </c>
      <c r="Q220" s="16" t="inlineStr">
        <is>
          <t>El eje comercial del SoHo, entre fachadas de hierro fundido y puestos de arte en la vereda.</t>
        </is>
      </c>
      <c r="R220" s="16" t="inlineStr"/>
      <c r="S220" s="16" t="inlineStr">
        <is>
          <t>—</t>
        </is>
      </c>
      <c r="T220" s="18" t="inlineStr">
        <is>
          <t>Abrir ↗</t>
        </is>
      </c>
      <c r="U220" s="19" t="inlineStr">
        <is>
          <t>lista google</t>
        </is>
      </c>
      <c r="V220" s="20" t="inlineStr"/>
    </row>
    <row r="221" ht="46" customHeight="1">
      <c r="A221" s="9" t="inlineStr">
        <is>
          <t>Roosevelt Island Lighthouse</t>
        </is>
      </c>
      <c r="B221" s="10" t="inlineStr">
        <is>
          <t>Casa y calle histórica</t>
        </is>
      </c>
      <c r="C221" s="11" t="inlineStr">
        <is>
          <t>Arquitectura</t>
        </is>
      </c>
      <c r="D221" s="11" t="inlineStr">
        <is>
          <t>Roosevelt Island</t>
        </is>
      </c>
      <c r="E221" s="11" t="inlineStr">
        <is>
          <t>Manhattan</t>
        </is>
      </c>
      <c r="F221" s="12" t="n">
        <v>2</v>
      </c>
      <c r="G221" s="12" t="n">
        <v>2</v>
      </c>
      <c r="H221" s="13">
        <f>IF(AND(F221=2,G221=2),"AMBOS",IF(AND(F221=2,G221&lt;2),"solo JP",IF(AND(F221&lt;2,G221=2),"solo Thais","-")))</f>
        <v/>
      </c>
      <c r="I221" s="14" t="n">
        <v>0</v>
      </c>
      <c r="J221" s="15" t="n">
        <v>0.4</v>
      </c>
      <c r="K221" s="13" t="inlineStr">
        <is>
          <t>no</t>
        </is>
      </c>
      <c r="L221" s="16" t="inlineStr">
        <is>
          <t>—</t>
        </is>
      </c>
      <c r="M221" s="11" t="inlineStr">
        <is>
          <t>—</t>
        </is>
      </c>
      <c r="N221" s="16" t="inlineStr">
        <is>
          <t>—</t>
        </is>
      </c>
      <c r="O221" s="16" t="inlineStr">
        <is>
          <t>—</t>
        </is>
      </c>
      <c r="P221" s="16" t="inlineStr">
        <is>
          <t>Teleférico o F a Roosevelt Island</t>
        </is>
      </c>
      <c r="Q221" s="16" t="inlineStr">
        <is>
          <t>Faro de 1872 en la punta NORTE de la isla (el FDR Park está en la sur): 20 minutos de caminata y casi nadie.</t>
        </is>
      </c>
      <c r="R221" s="16" t="inlineStr"/>
      <c r="S221" s="16" t="inlineStr">
        <is>
          <t>—</t>
        </is>
      </c>
      <c r="T221" s="18" t="inlineStr">
        <is>
          <t>Abrir ↗</t>
        </is>
      </c>
      <c r="U221" s="19" t="inlineStr">
        <is>
          <t>lista google</t>
        </is>
      </c>
      <c r="V221" s="20" t="inlineStr"/>
    </row>
    <row r="222" ht="46" customHeight="1">
      <c r="A222" s="9" t="inlineStr">
        <is>
          <t>Smallpox Memorial Hospital</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0.3</v>
      </c>
      <c r="K222" s="13" t="inlineStr">
        <is>
          <t>no</t>
        </is>
      </c>
      <c r="L222" s="16" t="inlineStr">
        <is>
          <t>—</t>
        </is>
      </c>
      <c r="M222" s="11" t="inlineStr">
        <is>
          <t>—</t>
        </is>
      </c>
      <c r="N222" s="16" t="inlineStr">
        <is>
          <t>—</t>
        </is>
      </c>
      <c r="O222" s="16" t="inlineStr">
        <is>
          <t>—</t>
        </is>
      </c>
      <c r="P222" s="16" t="inlineStr">
        <is>
          <t>Teleférico o F a Roosevelt Island</t>
        </is>
      </c>
      <c r="Q222" s="16" t="inlineStr">
        <is>
          <t>La única ruina oficialmente protegida de NY: hospital gótico de 1856, iluminado de noche. Se pasa camino al FDR Park.</t>
        </is>
      </c>
      <c r="R222" s="16" t="inlineStr"/>
      <c r="S222" s="16" t="inlineStr">
        <is>
          <t>—</t>
        </is>
      </c>
      <c r="T222" s="18" t="inlineStr">
        <is>
          <t>Abrir ↗</t>
        </is>
      </c>
      <c r="U222" s="19" t="inlineStr">
        <is>
          <t>lista google</t>
        </is>
      </c>
      <c r="V222" s="20" t="inlineStr"/>
    </row>
    <row r="223" ht="46" customHeight="1">
      <c r="A223" s="9" t="inlineStr">
        <is>
          <t>Sniffen Court</t>
        </is>
      </c>
      <c r="B223" s="10" t="inlineStr">
        <is>
          <t>Casa y calle histórica</t>
        </is>
      </c>
      <c r="C223" s="11" t="inlineStr">
        <is>
          <t>Arquitectura</t>
        </is>
      </c>
      <c r="D223" s="11" t="inlineStr">
        <is>
          <t>Murray Hill</t>
        </is>
      </c>
      <c r="E223" s="11" t="inlineStr">
        <is>
          <t>Manhattan</t>
        </is>
      </c>
      <c r="F223" s="12" t="n">
        <v>1</v>
      </c>
      <c r="G223" s="12" t="n">
        <v>1</v>
      </c>
      <c r="H223" s="13">
        <f>IF(AND(F223=2,G223=2),"AMBOS",IF(AND(F223=2,G223&lt;2),"solo JP",IF(AND(F223&lt;2,G223=2),"solo Thais","-")))</f>
        <v/>
      </c>
      <c r="I223" s="14" t="n">
        <v>0</v>
      </c>
      <c r="J223" s="15" t="n">
        <v>0.2</v>
      </c>
      <c r="K223" s="13" t="inlineStr">
        <is>
          <t>no</t>
        </is>
      </c>
      <c r="L223" s="16" t="inlineStr">
        <is>
          <t>—</t>
        </is>
      </c>
      <c r="M223" s="11" t="inlineStr">
        <is>
          <t>—</t>
        </is>
      </c>
      <c r="N223" s="16" t="inlineStr">
        <is>
          <t>—</t>
        </is>
      </c>
      <c r="O223" s="16" t="inlineStr">
        <is>
          <t>—</t>
        </is>
      </c>
      <c r="P223" s="16" t="inlineStr">
        <is>
          <t>33 St (6)</t>
        </is>
      </c>
      <c r="Q223" s="16" t="inlineStr">
        <is>
          <t>diez caballerizas de ladrillo de 1863-64, construidas por John Sniffen y convertidas en casas en los años 20. Es el callejón privado más intacto de Manhattan y no se ve desde ningún lado salvo parado justo enfrente.</t>
        </is>
      </c>
      <c r="R223" s="16" t="inlineStr">
        <is>
          <t>150 E 36th St</t>
        </is>
      </c>
      <c r="S223" s="16" t="inlineStr">
        <is>
          <t>—</t>
        </is>
      </c>
      <c r="T223" s="18" t="inlineStr">
        <is>
          <t>Abrir ↗</t>
        </is>
      </c>
      <c r="U223" s="21" t="inlineStr">
        <is>
          <t>otros</t>
        </is>
      </c>
      <c r="V223" s="20" t="inlineStr"/>
    </row>
    <row r="224" ht="46" customHeight="1">
      <c r="A224" s="9" t="inlineStr">
        <is>
          <t>Stone St</t>
        </is>
      </c>
      <c r="B224" s="10" t="inlineStr">
        <is>
          <t>Casa y calle histórica</t>
        </is>
      </c>
      <c r="C224" s="11" t="inlineStr">
        <is>
          <t>Arquitectura</t>
        </is>
      </c>
      <c r="D224" s="11" t="inlineStr">
        <is>
          <t>Financial District</t>
        </is>
      </c>
      <c r="E224" s="11" t="inlineStr">
        <is>
          <t>Manhattan</t>
        </is>
      </c>
      <c r="F224" s="12" t="n">
        <v>2</v>
      </c>
      <c r="G224" s="12" t="n">
        <v>1</v>
      </c>
      <c r="H224" s="13">
        <f>IF(AND(F224=2,G224=2),"AMBOS",IF(AND(F224=2,G224&lt;2),"solo JP",IF(AND(F224&lt;2,G224=2),"solo Thais","-")))</f>
        <v/>
      </c>
      <c r="I224" s="14" t="n">
        <v>0</v>
      </c>
      <c r="J224" s="15" t="n">
        <v>0.5</v>
      </c>
      <c r="K224" s="13" t="inlineStr">
        <is>
          <t>no</t>
        </is>
      </c>
      <c r="L224" s="16" t="inlineStr">
        <is>
          <t>—</t>
        </is>
      </c>
      <c r="M224" s="11" t="inlineStr">
        <is>
          <t>—</t>
        </is>
      </c>
      <c r="N224" s="16" t="inlineStr">
        <is>
          <t>—</t>
        </is>
      </c>
      <c r="O224" s="16" t="inlineStr">
        <is>
          <t>—</t>
        </is>
      </c>
      <c r="P224" s="16" t="inlineStr">
        <is>
          <t>Broad St (J,Z)</t>
        </is>
      </c>
      <c r="Q224" s="16" t="inlineStr">
        <is>
          <t>Calle adoquinada peatonal, con las mesas de los bares afuera. De 5 a 8 PM es el after office más lindo de FiDi.</t>
        </is>
      </c>
      <c r="R224" s="16" t="inlineStr"/>
      <c r="S224" s="17" t="inlineStr">
        <is>
          <t>Día 6 · jue 3/9</t>
        </is>
      </c>
      <c r="T224" s="18" t="inlineStr">
        <is>
          <t>Abrir ↗</t>
        </is>
      </c>
      <c r="U224" s="19" t="inlineStr">
        <is>
          <t>lista google</t>
        </is>
      </c>
      <c r="V224" s="20" t="inlineStr">
        <is>
          <t>SÍ</t>
        </is>
      </c>
    </row>
    <row r="225" ht="46" customHeight="1">
      <c r="A225" s="9" t="inlineStr">
        <is>
          <t>Stonewall National Monument</t>
        </is>
      </c>
      <c r="B225" s="10" t="inlineStr">
        <is>
          <t>Casa y calle histórica</t>
        </is>
      </c>
      <c r="C225" s="11" t="inlineStr">
        <is>
          <t>Arquitectura</t>
        </is>
      </c>
      <c r="D225" s="11" t="inlineStr">
        <is>
          <t>West Village</t>
        </is>
      </c>
      <c r="E225" s="11" t="inlineStr">
        <is>
          <t>Manhattan</t>
        </is>
      </c>
      <c r="F225" s="12" t="n">
        <v>1</v>
      </c>
      <c r="G225" s="12" t="n">
        <v>1</v>
      </c>
      <c r="H225" s="13">
        <f>IF(AND(F225=2,G225=2),"AMBOS",IF(AND(F225=2,G225&lt;2),"solo JP",IF(AND(F225&lt;2,G225=2),"solo Thais","-")))</f>
        <v/>
      </c>
      <c r="I225" s="14" t="n">
        <v>0</v>
      </c>
      <c r="J225" s="15" t="n">
        <v>0.4</v>
      </c>
      <c r="K225" s="13" t="inlineStr">
        <is>
          <t>no</t>
        </is>
      </c>
      <c r="L225" s="16" t="inlineStr">
        <is>
          <t>—</t>
        </is>
      </c>
      <c r="M225" s="11" t="inlineStr">
        <is>
          <t>—</t>
        </is>
      </c>
      <c r="N225" s="16" t="inlineStr">
        <is>
          <t>—</t>
        </is>
      </c>
      <c r="O225" s="16" t="inlineStr">
        <is>
          <t>—</t>
        </is>
      </c>
      <c r="P225" s="16" t="inlineStr">
        <is>
          <t>Christopher St (1)</t>
        </is>
      </c>
      <c r="Q225" s="16" t="inlineStr">
        <is>
          <t>Donde arranco todo en 1969. Primer monumento nacional de EE.UU. dedicado a los derechos LGBT; el bar sigue funcionando al lado.</t>
        </is>
      </c>
      <c r="R225" s="16" t="inlineStr">
        <is>
          <t>53 Christopher St</t>
        </is>
      </c>
      <c r="S225" s="16" t="inlineStr">
        <is>
          <t>—</t>
        </is>
      </c>
      <c r="T225" s="18" t="inlineStr">
        <is>
          <t>Abrir ↗</t>
        </is>
      </c>
      <c r="U225" s="21" t="inlineStr">
        <is>
          <t>otros</t>
        </is>
      </c>
      <c r="V225" s="20" t="inlineStr"/>
    </row>
    <row r="226" ht="46" customHeight="1">
      <c r="A226" s="9" t="inlineStr">
        <is>
          <t>Strivers' Row</t>
        </is>
      </c>
      <c r="B226" s="10" t="inlineStr">
        <is>
          <t>Casa y calle histórica</t>
        </is>
      </c>
      <c r="C226" s="11" t="inlineStr">
        <is>
          <t>Arquitectura</t>
        </is>
      </c>
      <c r="D226" s="11" t="inlineStr">
        <is>
          <t>Harlem</t>
        </is>
      </c>
      <c r="E226" s="11" t="inlineStr">
        <is>
          <t>Manhattan</t>
        </is>
      </c>
      <c r="F226" s="12" t="n">
        <v>0</v>
      </c>
      <c r="G226" s="12" t="n">
        <v>0</v>
      </c>
      <c r="H226" s="13">
        <f>IF(AND(F226=2,G226=2),"AMBOS",IF(AND(F226=2,G226&lt;2),"solo JP",IF(AND(F226&lt;2,G226=2),"solo Thais","-")))</f>
        <v/>
      </c>
      <c r="I226" s="14" t="n">
        <v>0</v>
      </c>
      <c r="J226" s="15" t="n">
        <v>0.5</v>
      </c>
      <c r="K226" s="13" t="inlineStr">
        <is>
          <t>no</t>
        </is>
      </c>
      <c r="L226" s="16" t="inlineStr">
        <is>
          <t>—</t>
        </is>
      </c>
      <c r="M226" s="11" t="inlineStr">
        <is>
          <t>—</t>
        </is>
      </c>
      <c r="N226" s="16" t="inlineStr">
        <is>
          <t>—</t>
        </is>
      </c>
      <c r="O226" s="16" t="inlineStr">
        <is>
          <t>—</t>
        </is>
      </c>
      <c r="P226" s="16" t="inlineStr">
        <is>
          <t>135 St (B,C)</t>
        </is>
      </c>
      <c r="Q226" s="16" t="inlineStr">
        <is>
          <t>Dos cuadras de casas de 1891 disenadas por tres estudios distintos, con callejones traseros para caballos. Es la mejor arquitectura residencial de Manhattan y no hay nadie mirandola.</t>
        </is>
      </c>
      <c r="R226" s="16" t="inlineStr">
        <is>
          <t>W 138th-139th St entre Adam Clayton Powell y Frederick Douglass</t>
        </is>
      </c>
      <c r="S226" s="16" t="inlineStr">
        <is>
          <t>—</t>
        </is>
      </c>
      <c r="T226" s="18" t="inlineStr">
        <is>
          <t>Abrir ↗</t>
        </is>
      </c>
      <c r="U226" s="21" t="inlineStr">
        <is>
          <t>otros</t>
        </is>
      </c>
      <c r="V226" s="20" t="inlineStr"/>
    </row>
    <row r="227" ht="46" customHeight="1">
      <c r="A227" s="9" t="inlineStr">
        <is>
          <t>The Girl Puzzle (Nellie Bly)</t>
        </is>
      </c>
      <c r="B227" s="10" t="inlineStr">
        <is>
          <t>Casa y calle histórica</t>
        </is>
      </c>
      <c r="C227" s="11" t="inlineStr">
        <is>
          <t>Arquitectura</t>
        </is>
      </c>
      <c r="D227" s="11" t="inlineStr">
        <is>
          <t>Roosevelt Island</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Roosevelt Island (F) + Red Bus</t>
        </is>
      </c>
      <c r="Q227" s="16" t="inlineStr">
        <is>
          <t>cinco caras de bronce de tres metros, de Amanda Matthews, inauguradas en diciembre de 2021 — algunas partidas en pedazos, otras con las grietas reparadas a la vista.</t>
        </is>
      </c>
      <c r="R227" s="16" t="inlineStr">
        <is>
          <t>Lighthouse Park, Roosevelt Island</t>
        </is>
      </c>
      <c r="S227" s="16" t="inlineStr">
        <is>
          <t>—</t>
        </is>
      </c>
      <c r="T227" s="18" t="inlineStr">
        <is>
          <t>Abrir ↗</t>
        </is>
      </c>
      <c r="U227" s="21" t="inlineStr">
        <is>
          <t>otros</t>
        </is>
      </c>
      <c r="V227" s="20" t="inlineStr"/>
    </row>
    <row r="228" ht="46" customHeight="1">
      <c r="A228" s="9" t="inlineStr">
        <is>
          <t>The Octagon</t>
        </is>
      </c>
      <c r="B228" s="10" t="inlineStr">
        <is>
          <t>Casa y calle histórica</t>
        </is>
      </c>
      <c r="C228" s="11" t="inlineStr">
        <is>
          <t>Arquitectura</t>
        </is>
      </c>
      <c r="D228" s="11" t="inlineStr">
        <is>
          <t>Roosevelt Island</t>
        </is>
      </c>
      <c r="E228" s="11" t="inlineStr">
        <is>
          <t>Manhattan</t>
        </is>
      </c>
      <c r="F228" s="12" t="n">
        <v>1</v>
      </c>
      <c r="G228" s="12" t="n">
        <v>1</v>
      </c>
      <c r="H228" s="13">
        <f>IF(AND(F228=2,G228=2),"AMBOS",IF(AND(F228=2,G228&lt;2),"solo JP",IF(AND(F228&lt;2,G228=2),"solo Thais","-")))</f>
        <v/>
      </c>
      <c r="I228" s="14" t="n">
        <v>0</v>
      </c>
      <c r="J228" s="15" t="n">
        <v>0.3</v>
      </c>
      <c r="K228" s="13" t="inlineStr">
        <is>
          <t>no</t>
        </is>
      </c>
      <c r="L228" s="16" t="inlineStr">
        <is>
          <t>—</t>
        </is>
      </c>
      <c r="M228" s="11" t="inlineStr">
        <is>
          <t>—</t>
        </is>
      </c>
      <c r="N228" s="16" t="inlineStr">
        <is>
          <t>—</t>
        </is>
      </c>
      <c r="O228" s="16" t="inlineStr">
        <is>
          <t>—</t>
        </is>
      </c>
      <c r="P228" s="16" t="inlineStr">
        <is>
          <t>Roosevelt Island (F)</t>
        </is>
      </c>
      <c r="Q228" s="16" t="inlineStr">
        <is>
          <t>es la entrada original del New York City Lunatic Asylum, de Alexander Jackson Davis, inaugurado en 1841 — el manicomio que Nellie Bly denunció.</t>
        </is>
      </c>
      <c r="R228" s="16" t="inlineStr">
        <is>
          <t>888 Main St, Roosevelt Island</t>
        </is>
      </c>
      <c r="S228" s="16" t="inlineStr">
        <is>
          <t>—</t>
        </is>
      </c>
      <c r="T228" s="18" t="inlineStr">
        <is>
          <t>Abrir ↗</t>
        </is>
      </c>
      <c r="U228" s="21" t="inlineStr">
        <is>
          <t>otros</t>
        </is>
      </c>
      <c r="V228" s="20" t="inlineStr"/>
    </row>
    <row r="229" ht="46" customHeight="1">
      <c r="A229" s="9" t="inlineStr">
        <is>
          <t>Vander Ende-Onderdonk House</t>
        </is>
      </c>
      <c r="B229" s="10" t="inlineStr">
        <is>
          <t>Casa y calle histórica</t>
        </is>
      </c>
      <c r="C229" s="11" t="inlineStr">
        <is>
          <t>Arquitectura</t>
        </is>
      </c>
      <c r="D229" s="11" t="inlineStr">
        <is>
          <t>Ridgewood</t>
        </is>
      </c>
      <c r="E229" s="11" t="inlineStr">
        <is>
          <t>Queens</t>
        </is>
      </c>
      <c r="F229" s="12" t="n">
        <v>0</v>
      </c>
      <c r="G229" s="12" t="n">
        <v>0</v>
      </c>
      <c r="H229" s="13">
        <f>IF(AND(F229=2,G229=2),"AMBOS",IF(AND(F229=2,G229&lt;2),"solo JP",IF(AND(F229&lt;2,G229=2),"solo Thais","-")))</f>
        <v/>
      </c>
      <c r="I229" s="14" t="n">
        <v>5</v>
      </c>
      <c r="J229" s="15" t="n">
        <v>0.75</v>
      </c>
      <c r="K229" s="13" t="inlineStr">
        <is>
          <t>no</t>
        </is>
      </c>
      <c r="L229" s="16" t="inlineStr">
        <is>
          <t>—</t>
        </is>
      </c>
      <c r="M229" s="11" t="inlineStr">
        <is>
          <t>—</t>
        </is>
      </c>
      <c r="N229" s="16" t="inlineStr">
        <is>
          <t>—</t>
        </is>
      </c>
      <c r="O229" s="16" t="inlineStr">
        <is>
          <t>—</t>
        </is>
      </c>
      <c r="P229" s="16" t="inlineStr">
        <is>
          <t>Jefferson St (L)</t>
        </is>
      </c>
      <c r="Q229" s="16" t="inlineStr">
        <is>
          <t>Casa de piedra holandesa de 1709, la construccion mas antigua de la ciudad, rodeada de galpones industriales. El contraste es todo el punto.</t>
        </is>
      </c>
      <c r="R229" s="16" t="inlineStr">
        <is>
          <t>1820 Flushing Ave, Ridgewood</t>
        </is>
      </c>
      <c r="S229" s="16" t="inlineStr">
        <is>
          <t>—</t>
        </is>
      </c>
      <c r="T229" s="18" t="inlineStr">
        <is>
          <t>Abrir ↗</t>
        </is>
      </c>
      <c r="U229" s="21" t="inlineStr">
        <is>
          <t>otros</t>
        </is>
      </c>
      <c r="V229" s="20" t="inlineStr"/>
    </row>
    <row r="230" ht="46" customHeight="1">
      <c r="A230" s="9" t="inlineStr">
        <is>
          <t>Wall St</t>
        </is>
      </c>
      <c r="B230" s="10" t="inlineStr">
        <is>
          <t>Casa y calle histórica</t>
        </is>
      </c>
      <c r="C230" s="11" t="inlineStr">
        <is>
          <t>Arquitectura</t>
        </is>
      </c>
      <c r="D230" s="11" t="inlineStr">
        <is>
          <t>Financial District</t>
        </is>
      </c>
      <c r="E230" s="11" t="inlineStr">
        <is>
          <t>Manhattan</t>
        </is>
      </c>
      <c r="F230" s="12" t="n">
        <v>2</v>
      </c>
      <c r="G230" s="12" t="n">
        <v>1</v>
      </c>
      <c r="H230" s="13">
        <f>IF(AND(F230=2,G230=2),"AMBOS",IF(AND(F230=2,G230&lt;2),"solo JP",IF(AND(F230&lt;2,G230=2),"solo Thais","-")))</f>
        <v/>
      </c>
      <c r="I230" s="14" t="n">
        <v>0</v>
      </c>
      <c r="J230" s="15" t="n">
        <v>0.4</v>
      </c>
      <c r="K230" s="13" t="inlineStr">
        <is>
          <t>SÍ</t>
        </is>
      </c>
      <c r="L230" s="16" t="inlineStr">
        <is>
          <t>—</t>
        </is>
      </c>
      <c r="M230" s="11" t="inlineStr">
        <is>
          <t>—</t>
        </is>
      </c>
      <c r="N230" s="16" t="inlineStr">
        <is>
          <t>—</t>
        </is>
      </c>
      <c r="O230" s="16" t="inlineStr">
        <is>
          <t>—</t>
        </is>
      </c>
      <c r="P230" s="16" t="inlineStr">
        <is>
          <t>Wall St (4,5)</t>
        </is>
      </c>
      <c r="Q230" s="16" t="inlineStr">
        <is>
          <t>El cañón de piedra: la Bolsa, Federal Hall y Trinity al fondo. Se ve en veinte minutos.</t>
        </is>
      </c>
      <c r="R230" s="16" t="inlineStr"/>
      <c r="S230" s="16" t="inlineStr">
        <is>
          <t>—</t>
        </is>
      </c>
      <c r="T230" s="18" t="inlineStr">
        <is>
          <t>Abrir ↗</t>
        </is>
      </c>
      <c r="U230" s="19" t="inlineStr">
        <is>
          <t>lista google</t>
        </is>
      </c>
      <c r="V230" s="20" t="inlineStr"/>
    </row>
    <row r="231" ht="46" customHeight="1">
      <c r="A231" s="9" t="inlineStr">
        <is>
          <t>Washington Mews</t>
        </is>
      </c>
      <c r="B231" s="10" t="inlineStr">
        <is>
          <t>Casa y calle histórica</t>
        </is>
      </c>
      <c r="C231" s="11" t="inlineStr">
        <is>
          <t>Arquitectura</t>
        </is>
      </c>
      <c r="D231" s="11" t="inlineStr">
        <is>
          <t>Greenwich Village</t>
        </is>
      </c>
      <c r="E231" s="11" t="inlineStr">
        <is>
          <t>Manhattan</t>
        </is>
      </c>
      <c r="F231" s="12" t="n">
        <v>1</v>
      </c>
      <c r="G231" s="12" t="n">
        <v>1</v>
      </c>
      <c r="H231" s="13">
        <f>IF(AND(F231=2,G231=2),"AMBOS",IF(AND(F231=2,G231&lt;2),"solo JP",IF(AND(F231&lt;2,G231=2),"solo Thais","-")))</f>
        <v/>
      </c>
      <c r="I231" s="14" t="n">
        <v>0</v>
      </c>
      <c r="J231" s="15" t="n">
        <v>0.2</v>
      </c>
      <c r="K231" s="13" t="inlineStr">
        <is>
          <t>no</t>
        </is>
      </c>
      <c r="L231" s="16" t="inlineStr">
        <is>
          <t>—</t>
        </is>
      </c>
      <c r="M231" s="11" t="inlineStr">
        <is>
          <t>—</t>
        </is>
      </c>
      <c r="N231" s="16" t="inlineStr">
        <is>
          <t>—</t>
        </is>
      </c>
      <c r="O231" s="16" t="inlineStr">
        <is>
          <t>—</t>
        </is>
      </c>
      <c r="P231" s="16" t="inlineStr">
        <is>
          <t>8 St-NYU (N,R,W)</t>
        </is>
      </c>
      <c r="Q231" s="16" t="inlineStr">
        <is>
          <t>Callejon adoquinado de caballerizas reconvertidas, cerrado al transito. Dos minutos de desvio desde Washington Square.</t>
        </is>
      </c>
      <c r="R231" s="16" t="inlineStr">
        <is>
          <t>Washington Mews, entre 5th Ave y University Pl</t>
        </is>
      </c>
      <c r="S231" s="16" t="inlineStr">
        <is>
          <t>—</t>
        </is>
      </c>
      <c r="T231" s="18" t="inlineStr">
        <is>
          <t>Abrir ↗</t>
        </is>
      </c>
      <c r="U231" s="21" t="inlineStr">
        <is>
          <t>otros</t>
        </is>
      </c>
      <c r="V231" s="20" t="inlineStr"/>
    </row>
    <row r="232" ht="46" customHeight="1">
      <c r="A232" s="9" t="inlineStr">
        <is>
          <t>Washington St (la foto de DUMBO)</t>
        </is>
      </c>
      <c r="B232" s="10" t="inlineStr">
        <is>
          <t>Casa y calle histórica</t>
        </is>
      </c>
      <c r="C232" s="11" t="inlineStr">
        <is>
          <t>Arquitectura</t>
        </is>
      </c>
      <c r="D232" s="11" t="inlineStr">
        <is>
          <t>DUMBO</t>
        </is>
      </c>
      <c r="E232" s="11" t="inlineStr">
        <is>
          <t>Brooklyn</t>
        </is>
      </c>
      <c r="F232" s="12" t="n">
        <v>1</v>
      </c>
      <c r="G232" s="12" t="n">
        <v>1</v>
      </c>
      <c r="H232" s="13">
        <f>IF(AND(F232=2,G232=2),"AMBOS",IF(AND(F232=2,G232&lt;2),"solo JP",IF(AND(F232&lt;2,G232=2),"solo Thais","-")))</f>
        <v/>
      </c>
      <c r="I232" s="14" t="n">
        <v>0</v>
      </c>
      <c r="J232" s="15" t="n">
        <v>0.25</v>
      </c>
      <c r="K232" s="13" t="inlineStr">
        <is>
          <t>SÍ</t>
        </is>
      </c>
      <c r="L232" s="16" t="inlineStr">
        <is>
          <t>—</t>
        </is>
      </c>
      <c r="M232" s="11" t="inlineStr">
        <is>
          <t>—</t>
        </is>
      </c>
      <c r="N232" s="16" t="inlineStr">
        <is>
          <t>—</t>
        </is>
      </c>
      <c r="O232" s="16" t="inlineStr">
        <is>
          <t>—</t>
        </is>
      </c>
      <c r="P232" s="16" t="inlineStr">
        <is>
          <t>High St (A,C), York St (F)</t>
        </is>
      </c>
      <c r="Q232" s="16" t="inlineStr">
        <is>
          <t>El encuadre exacto del puente de Manhattan entre los edificios. Llegar temprano o hay cola para la foto.</t>
        </is>
      </c>
      <c r="R232" s="16" t="inlineStr">
        <is>
          <t>Washington St &amp; Water St</t>
        </is>
      </c>
      <c r="S232" s="16" t="inlineStr">
        <is>
          <t>—</t>
        </is>
      </c>
      <c r="T232" s="18" t="inlineStr">
        <is>
          <t>Abrir ↗</t>
        </is>
      </c>
      <c r="U232" s="19" t="inlineStr">
        <is>
          <t>lista google</t>
        </is>
      </c>
      <c r="V232" s="20" t="inlineStr"/>
    </row>
    <row r="233" ht="46" customHeight="1">
      <c r="A233" s="9" t="inlineStr">
        <is>
          <t>Westbeth Artists Housing</t>
        </is>
      </c>
      <c r="B233" s="10" t="inlineStr">
        <is>
          <t>Casa y calle histórica</t>
        </is>
      </c>
      <c r="C233" s="11" t="inlineStr">
        <is>
          <t>Arquitectura</t>
        </is>
      </c>
      <c r="D233" s="11" t="inlineStr">
        <is>
          <t>West Village</t>
        </is>
      </c>
      <c r="E233" s="11" t="inlineStr">
        <is>
          <t>Manhattan</t>
        </is>
      </c>
      <c r="F233" s="12" t="n">
        <v>1</v>
      </c>
      <c r="G233" s="12" t="n">
        <v>1</v>
      </c>
      <c r="H233" s="13">
        <f>IF(AND(F233=2,G233=2),"AMBOS",IF(AND(F233=2,G233&lt;2),"solo JP",IF(AND(F233&lt;2,G233=2),"solo Thais","-")))</f>
        <v/>
      </c>
      <c r="I233" s="14" t="n">
        <v>0</v>
      </c>
      <c r="J233" s="15" t="n">
        <v>0.4</v>
      </c>
      <c r="K233" s="13" t="inlineStr">
        <is>
          <t>no</t>
        </is>
      </c>
      <c r="L233" s="16" t="inlineStr">
        <is>
          <t>—</t>
        </is>
      </c>
      <c r="M233" s="11" t="inlineStr">
        <is>
          <t>—</t>
        </is>
      </c>
      <c r="N233" s="16" t="inlineStr">
        <is>
          <t>—</t>
        </is>
      </c>
      <c r="O233" s="16" t="inlineStr">
        <is>
          <t>—</t>
        </is>
      </c>
      <c r="P233" s="16" t="inlineStr">
        <is>
          <t>14 St (A,C,E), 8 Av (L)</t>
        </is>
      </c>
      <c r="Q233" s="16" t="inlineStr">
        <is>
          <t>acá estaban los Bell Labs. En este edificio se inventó el transistor, se hizo la primera transmisión de televisión y Claude Shannon escribió la teoría de la información.</t>
        </is>
      </c>
      <c r="R233" s="16" t="inlineStr">
        <is>
          <t>55 Bethune St</t>
        </is>
      </c>
      <c r="S233" s="16" t="inlineStr">
        <is>
          <t>—</t>
        </is>
      </c>
      <c r="T233" s="18" t="inlineStr">
        <is>
          <t>Abrir ↗</t>
        </is>
      </c>
      <c r="U233" s="21" t="inlineStr">
        <is>
          <t>otros</t>
        </is>
      </c>
      <c r="V233" s="20" t="inlineStr"/>
    </row>
    <row r="234" ht="46" customHeight="1">
      <c r="A234" s="9" t="inlineStr">
        <is>
          <t>Ford Foundation Atrium</t>
        </is>
      </c>
      <c r="B234" s="10" t="inlineStr">
        <is>
          <t>Interior monumental</t>
        </is>
      </c>
      <c r="C234" s="11" t="inlineStr">
        <is>
          <t>Arquitectura</t>
        </is>
      </c>
      <c r="D234" s="11" t="inlineStr">
        <is>
          <t>Midtown East</t>
        </is>
      </c>
      <c r="E234" s="11" t="inlineStr">
        <is>
          <t>Manhattan</t>
        </is>
      </c>
      <c r="F234" s="12" t="n">
        <v>2</v>
      </c>
      <c r="G234" s="12" t="n">
        <v>2</v>
      </c>
      <c r="H234" s="13">
        <f>IF(AND(F234=2,G234=2),"AMBOS",IF(AND(F234=2,G234&lt;2),"solo JP",IF(AND(F234&lt;2,G234=2),"solo Thais","-")))</f>
        <v/>
      </c>
      <c r="I234" s="14" t="n">
        <v>0</v>
      </c>
      <c r="J234" s="15" t="n">
        <v>0.75</v>
      </c>
      <c r="K234" s="13" t="inlineStr">
        <is>
          <t>no</t>
        </is>
      </c>
      <c r="L234" s="16" t="inlineStr">
        <is>
          <t>lunes a viernes: 11:00–18:00 · sábado a domingo: cerrado</t>
        </is>
      </c>
      <c r="M234" s="11" t="inlineStr">
        <is>
          <t>fines de semana. CIERRA el 5, 6, 7 y 9 de septiembre; cierra temprano el 4</t>
        </is>
      </c>
      <c r="N234" s="16" t="inlineStr">
        <is>
          <t>—</t>
        </is>
      </c>
      <c r="O234" s="16" t="inlineStr">
        <is>
          <t>preinscripcion obligatoria</t>
        </is>
      </c>
      <c r="P234" s="16" t="inlineStr">
        <is>
          <t>Grand Central-42 St</t>
        </is>
      </c>
      <c r="Q234" s="16" t="inlineStr">
        <is>
          <t>Atrio-jardin de 12 pisos de altura de Kevin Roche (1967), con ~40 especies de arboles y espejo de agua, dentro de un edificio de oficinas. En este viaje solo se puede entrar del 31 de agosto al 3 de septiembre.</t>
        </is>
      </c>
      <c r="R234" s="16" t="inlineStr">
        <is>
          <t>320 E 43rd St</t>
        </is>
      </c>
      <c r="S234" s="17" t="inlineStr">
        <is>
          <t>Día 3 · lun 31/8</t>
        </is>
      </c>
      <c r="T234" s="18" t="inlineStr">
        <is>
          <t>Abrir ↗</t>
        </is>
      </c>
      <c r="U234" s="19" t="inlineStr">
        <is>
          <t>lista google</t>
        </is>
      </c>
      <c r="V234" s="20" t="inlineStr">
        <is>
          <t>SÍ</t>
        </is>
      </c>
    </row>
    <row r="235" ht="46" customHeight="1">
      <c r="A235" s="9" t="inlineStr">
        <is>
          <t>Globo del Daily News Building</t>
        </is>
      </c>
      <c r="B235" s="10" t="inlineStr">
        <is>
          <t>Interior monumental</t>
        </is>
      </c>
      <c r="C235" s="11" t="inlineStr">
        <is>
          <t>Arquitectura</t>
        </is>
      </c>
      <c r="D235" s="11" t="inlineStr">
        <is>
          <t>Midtown East</t>
        </is>
      </c>
      <c r="E235" s="11" t="inlineStr">
        <is>
          <t>Manhattan</t>
        </is>
      </c>
      <c r="F235" s="12" t="n">
        <v>1</v>
      </c>
      <c r="G235" s="12" t="n">
        <v>1</v>
      </c>
      <c r="H235" s="13">
        <f>IF(AND(F235=2,G235=2),"AMBOS",IF(AND(F235=2,G235&lt;2),"solo JP",IF(AND(F235&lt;2,G235=2),"solo Thais","-")))</f>
        <v/>
      </c>
      <c r="I235" s="14" t="n">
        <v>0</v>
      </c>
      <c r="J235" s="15" t="n">
        <v>0.2</v>
      </c>
      <c r="K235" s="13" t="inlineStr">
        <is>
          <t>no</t>
        </is>
      </c>
      <c r="L235" s="16" t="inlineStr">
        <is>
          <t>—</t>
        </is>
      </c>
      <c r="M235" s="11" t="inlineStr">
        <is>
          <t>—</t>
        </is>
      </c>
      <c r="N235" s="16" t="inlineStr">
        <is>
          <t>—</t>
        </is>
      </c>
      <c r="O235" s="16" t="inlineStr">
        <is>
          <t>—</t>
        </is>
      </c>
      <c r="P235" s="16" t="inlineStr">
        <is>
          <t>Grand Central-42 St (4,5,6,7,S)</t>
        </is>
      </c>
      <c r="Q235" s="16" t="inlineStr">
        <is>
          <t>el globo terráqueo interior más grande del mundo — 3,6 metros de diámetro, 1.800 kilos — girando en un pozo espejado bajo una cúpula de vidrio negro, con el piso de terrazo marcando distancias y rumbos a las grandes ciudades.</t>
        </is>
      </c>
      <c r="R235" s="16" t="inlineStr">
        <is>
          <t>220 E 42nd St</t>
        </is>
      </c>
      <c r="S235" s="16" t="inlineStr">
        <is>
          <t>—</t>
        </is>
      </c>
      <c r="T235" s="18" t="inlineStr">
        <is>
          <t>Abrir ↗</t>
        </is>
      </c>
      <c r="U235" s="21" t="inlineStr">
        <is>
          <t>otros</t>
        </is>
      </c>
      <c r="V235" s="20" t="inlineStr"/>
    </row>
    <row r="236" ht="46" customHeight="1">
      <c r="A236" s="9" t="inlineStr">
        <is>
          <t>Grand Central Terminal</t>
        </is>
      </c>
      <c r="B236" s="10" t="inlineStr">
        <is>
          <t>Interior monumental</t>
        </is>
      </c>
      <c r="C236" s="11" t="inlineStr">
        <is>
          <t>Arquitectura</t>
        </is>
      </c>
      <c r="D236" s="11" t="inlineStr">
        <is>
          <t>Midtown East</t>
        </is>
      </c>
      <c r="E236" s="11" t="inlineStr">
        <is>
          <t>Manhattan</t>
        </is>
      </c>
      <c r="F236" s="12" t="n">
        <v>2</v>
      </c>
      <c r="G236" s="12" t="n">
        <v>0</v>
      </c>
      <c r="H236" s="13">
        <f>IF(AND(F236=2,G236=2),"AMBOS",IF(AND(F236=2,G236&lt;2),"solo JP",IF(AND(F236&lt;2,G236=2),"solo Thais","-")))</f>
        <v/>
      </c>
      <c r="I236" s="14" t="n">
        <v>0</v>
      </c>
      <c r="J236" s="15" t="n">
        <v>1</v>
      </c>
      <c r="K236" s="13" t="inlineStr">
        <is>
          <t>SÍ</t>
        </is>
      </c>
      <c r="L236" s="16" t="inlineStr">
        <is>
          <t>lunes a domingo: 05:15–02:00</t>
        </is>
      </c>
      <c r="M236" s="11" t="inlineStr">
        <is>
          <t>—</t>
        </is>
      </c>
      <c r="N236" s="16" t="inlineStr">
        <is>
          <t>—</t>
        </is>
      </c>
      <c r="O236" s="16" t="inlineStr">
        <is>
          <t>—</t>
        </is>
      </c>
      <c r="P236" s="16" t="inlineStr">
        <is>
          <t>Grand Central-42 St (4,5,6,7,S)</t>
        </is>
      </c>
      <c r="Q236" s="16" t="inlineStr">
        <is>
          <t>Beaux-Arts de 1913: el techo celeste pintado al reves, la Whispering Gallery frente al Oyster Bar (dos personas en esquinas opuestas se escuchan susurrar), las escaleras de marmol. AVISO: el tour gratuito semanal esta suspendido.</t>
        </is>
      </c>
      <c r="R236" s="16" t="inlineStr">
        <is>
          <t>89 E 42nd St</t>
        </is>
      </c>
      <c r="S236" s="17" t="inlineStr">
        <is>
          <t>Día 3 · lun 31/8</t>
        </is>
      </c>
      <c r="T236" s="18" t="inlineStr">
        <is>
          <t>Abrir ↗</t>
        </is>
      </c>
      <c r="U236" s="19" t="inlineStr">
        <is>
          <t>lista google</t>
        </is>
      </c>
      <c r="V236" s="20" t="inlineStr">
        <is>
          <t>SÍ</t>
        </is>
      </c>
    </row>
    <row r="237" ht="46" customHeight="1">
      <c r="A237" s="9" t="inlineStr">
        <is>
          <t>Lobby de 70 Pine Street</t>
        </is>
      </c>
      <c r="B237" s="10" t="inlineStr">
        <is>
          <t>Interior monumental</t>
        </is>
      </c>
      <c r="C237" s="11" t="inlineStr">
        <is>
          <t>Arquitectura</t>
        </is>
      </c>
      <c r="D237" s="11" t="inlineStr">
        <is>
          <t>Financial District</t>
        </is>
      </c>
      <c r="E237" s="11" t="inlineStr">
        <is>
          <t>Manhattan</t>
        </is>
      </c>
      <c r="F237" s="12" t="n">
        <v>1</v>
      </c>
      <c r="G237" s="12" t="n">
        <v>1</v>
      </c>
      <c r="H237" s="13">
        <f>IF(AND(F237=2,G237=2),"AMBOS",IF(AND(F237=2,G237&lt;2),"solo JP",IF(AND(F237&lt;2,G237=2),"solo Thais","-")))</f>
        <v/>
      </c>
      <c r="I237" s="14" t="n">
        <v>0</v>
      </c>
      <c r="J237" s="15" t="n">
        <v>0.2</v>
      </c>
      <c r="K237" s="13" t="inlineStr">
        <is>
          <t>no</t>
        </is>
      </c>
      <c r="L237" s="16" t="inlineStr">
        <is>
          <t>—</t>
        </is>
      </c>
      <c r="M237" s="11" t="inlineStr">
        <is>
          <t>—</t>
        </is>
      </c>
      <c r="N237" s="16" t="inlineStr">
        <is>
          <t>—</t>
        </is>
      </c>
      <c r="O237" s="16" t="inlineStr">
        <is>
          <t>—</t>
        </is>
      </c>
      <c r="P237" s="16" t="inlineStr">
        <is>
          <t>Wall St (2,3)</t>
        </is>
      </c>
      <c r="Q237"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7" s="16" t="inlineStr">
        <is>
          <t>70 Pine St</t>
        </is>
      </c>
      <c r="S237" s="16" t="inlineStr">
        <is>
          <t>—</t>
        </is>
      </c>
      <c r="T237" s="18" t="inlineStr">
        <is>
          <t>Abrir ↗</t>
        </is>
      </c>
      <c r="U237" s="21" t="inlineStr">
        <is>
          <t>otros</t>
        </is>
      </c>
      <c r="V237" s="20" t="inlineStr"/>
    </row>
    <row r="238" ht="46" customHeight="1">
      <c r="A238" s="9" t="inlineStr">
        <is>
          <t>Lobby del Chanin Building</t>
        </is>
      </c>
      <c r="B238" s="10" t="inlineStr">
        <is>
          <t>Interior monumental</t>
        </is>
      </c>
      <c r="C238" s="11" t="inlineStr">
        <is>
          <t>Arquitectura</t>
        </is>
      </c>
      <c r="D238" s="11" t="inlineStr">
        <is>
          <t>Midtown East</t>
        </is>
      </c>
      <c r="E238" s="11" t="inlineStr">
        <is>
          <t>Manhattan</t>
        </is>
      </c>
      <c r="F238" s="12" t="n">
        <v>1</v>
      </c>
      <c r="G238" s="12" t="n">
        <v>1</v>
      </c>
      <c r="H238" s="13">
        <f>IF(AND(F238=2,G238=2),"AMBOS",IF(AND(F238=2,G238&lt;2),"solo JP",IF(AND(F238&lt;2,G238=2),"solo Thais","-")))</f>
        <v/>
      </c>
      <c r="I238" s="14" t="n">
        <v>0</v>
      </c>
      <c r="J238" s="15" t="n">
        <v>0.2</v>
      </c>
      <c r="K238" s="13" t="inlineStr">
        <is>
          <t>no</t>
        </is>
      </c>
      <c r="L238" s="16" t="inlineStr">
        <is>
          <t>—</t>
        </is>
      </c>
      <c r="M238" s="11" t="inlineStr">
        <is>
          <t>—</t>
        </is>
      </c>
      <c r="N238" s="16" t="inlineStr">
        <is>
          <t>—</t>
        </is>
      </c>
      <c r="O238" s="16" t="inlineStr">
        <is>
          <t>—</t>
        </is>
      </c>
      <c r="P238" s="16" t="inlineStr">
        <is>
          <t>Grand Central-42 St (4,5,6,7,S)</t>
        </is>
      </c>
      <c r="Q238" s="16" t="inlineStr">
        <is>
          <t>1929, a media cuadra de Grand Central y enfrente del Chrysler, y nadie entra.</t>
        </is>
      </c>
      <c r="R238" s="16" t="inlineStr">
        <is>
          <t>122 E 42nd St</t>
        </is>
      </c>
      <c r="S238" s="16" t="inlineStr">
        <is>
          <t>—</t>
        </is>
      </c>
      <c r="T238" s="18" t="inlineStr">
        <is>
          <t>Abrir ↗</t>
        </is>
      </c>
      <c r="U238" s="21" t="inlineStr">
        <is>
          <t>otros</t>
        </is>
      </c>
      <c r="V238" s="20" t="inlineStr"/>
    </row>
    <row r="239" ht="46" customHeight="1">
      <c r="A239" s="9" t="inlineStr">
        <is>
          <t>Lobby del Chrysler Building</t>
        </is>
      </c>
      <c r="B239" s="10" t="inlineStr">
        <is>
          <t>Interior monumental</t>
        </is>
      </c>
      <c r="C239" s="11" t="inlineStr">
        <is>
          <t>Arquitectura</t>
        </is>
      </c>
      <c r="D239" s="11" t="inlineStr">
        <is>
          <t>Midtown East</t>
        </is>
      </c>
      <c r="E239" s="11" t="inlineStr">
        <is>
          <t>Manhattan</t>
        </is>
      </c>
      <c r="F239" s="12" t="n">
        <v>2</v>
      </c>
      <c r="G239" s="12" t="n">
        <v>1</v>
      </c>
      <c r="H239" s="13">
        <f>IF(AND(F239=2,G239=2),"AMBOS",IF(AND(F239=2,G239&lt;2),"solo JP",IF(AND(F239&lt;2,G239=2),"solo Thais","-")))</f>
        <v/>
      </c>
      <c r="I239" s="14" t="n">
        <v>0</v>
      </c>
      <c r="J239" s="15" t="n">
        <v>0.35</v>
      </c>
      <c r="K239" s="13" t="inlineStr">
        <is>
          <t>no</t>
        </is>
      </c>
      <c r="L239" s="16" t="inlineStr">
        <is>
          <t>lunes a viernes: 08:00–18:00 · sábado a domingo: cerrado</t>
        </is>
      </c>
      <c r="M239" s="11" t="inlineStr">
        <is>
          <t>sabados y domingos</t>
        </is>
      </c>
      <c r="N239" s="16" t="inlineStr">
        <is>
          <t>—</t>
        </is>
      </c>
      <c r="O239" s="16" t="inlineStr">
        <is>
          <t>—</t>
        </is>
      </c>
      <c r="P239" s="16" t="inlineStr">
        <is>
          <t>Grand Central-42 St (4,5,6,7,S)</t>
        </is>
      </c>
      <c r="Q239" s="16" t="inlineStr">
        <is>
          <t>Art deco de 1930 en estado puro: mural del techo y puertas de ascensor con marqueteria de maderas exoticas. NO hay observatorio: el lobby es todo lo que se puede ver, y alcanza.</t>
        </is>
      </c>
      <c r="R239" s="16" t="inlineStr">
        <is>
          <t>405 Lexington Ave</t>
        </is>
      </c>
      <c r="S239" s="17" t="inlineStr">
        <is>
          <t>Día 3 · lun 31/8</t>
        </is>
      </c>
      <c r="T239" s="18" t="inlineStr">
        <is>
          <t>Abrir ↗</t>
        </is>
      </c>
      <c r="U239" s="21" t="inlineStr">
        <is>
          <t>otros</t>
        </is>
      </c>
      <c r="V239" s="20" t="inlineStr">
        <is>
          <t>SÍ</t>
        </is>
      </c>
    </row>
    <row r="240" ht="46" customHeight="1">
      <c r="A240" s="9" t="inlineStr">
        <is>
          <t>New York Public Library (Schwarzman)</t>
        </is>
      </c>
      <c r="B240" s="10" t="inlineStr">
        <is>
          <t>Interior monumental</t>
        </is>
      </c>
      <c r="C240" s="11" t="inlineStr">
        <is>
          <t>Arquitectura</t>
        </is>
      </c>
      <c r="D240" s="11" t="inlineStr">
        <is>
          <t>Midtown</t>
        </is>
      </c>
      <c r="E240" s="11" t="inlineStr">
        <is>
          <t>Manhattan</t>
        </is>
      </c>
      <c r="F240" s="12" t="n">
        <v>2</v>
      </c>
      <c r="G240" s="12" t="n">
        <v>0</v>
      </c>
      <c r="H240" s="13">
        <f>IF(AND(F240=2,G240=2),"AMBOS",IF(AND(F240=2,G240&lt;2),"solo JP",IF(AND(F240&lt;2,G240=2),"solo Thais","-")))</f>
        <v/>
      </c>
      <c r="I240" s="14" t="n">
        <v>0</v>
      </c>
      <c r="J240" s="15" t="n">
        <v>1.25</v>
      </c>
      <c r="K240" s="13" t="inlineStr">
        <is>
          <t>SÍ</t>
        </is>
      </c>
      <c r="L240" s="16" t="inlineStr">
        <is>
          <t>lunes: 10:00–18:00 · martes a miércoles: 10:00–20:00 · jueves a sábado: 10:00–18:00 · domingo: 13:00–17:00</t>
        </is>
      </c>
      <c r="M240" s="11" t="inlineStr">
        <is>
          <t>—</t>
        </is>
      </c>
      <c r="N240" s="16" t="inlineStr">
        <is>
          <t>—</t>
        </is>
      </c>
      <c r="O240" s="16" t="inlineStr">
        <is>
          <t>—</t>
        </is>
      </c>
      <c r="P240" s="16" t="inlineStr">
        <is>
          <t>5 Av-Bryant Pk (7,B,D,F,M)</t>
        </is>
      </c>
      <c r="Q240" s="16" t="inlineStr">
        <is>
          <t>La Rose Main Reading Room: 90 metros de largo, techos de 15. Y no es un museo: hay gente trabajando ahi. Entrar y sentarse un rato es parte de la experiencia.</t>
        </is>
      </c>
      <c r="R240" s="16" t="inlineStr">
        <is>
          <t>476 5th Ave</t>
        </is>
      </c>
      <c r="S240" s="17" t="inlineStr">
        <is>
          <t>Día 3 · lun 31/8</t>
        </is>
      </c>
      <c r="T240" s="18" t="inlineStr">
        <is>
          <t>Abrir ↗</t>
        </is>
      </c>
      <c r="U240" s="19" t="inlineStr">
        <is>
          <t>lista google</t>
        </is>
      </c>
      <c r="V240" s="20" t="inlineStr">
        <is>
          <t>SÍ</t>
        </is>
      </c>
    </row>
    <row r="241" ht="46" customHeight="1">
      <c r="A241" s="9" t="inlineStr">
        <is>
          <t>Park Avenue Armory</t>
        </is>
      </c>
      <c r="B241" s="10" t="inlineStr">
        <is>
          <t>Interior monumental</t>
        </is>
      </c>
      <c r="C241" s="11" t="inlineStr">
        <is>
          <t>Arquitectura</t>
        </is>
      </c>
      <c r="D241" s="11" t="inlineStr">
        <is>
          <t>Upper East Side</t>
        </is>
      </c>
      <c r="E241" s="11" t="inlineStr">
        <is>
          <t>Manhattan</t>
        </is>
      </c>
      <c r="F241" s="12" t="n">
        <v>1</v>
      </c>
      <c r="G241" s="12" t="n">
        <v>1</v>
      </c>
      <c r="H241" s="13">
        <f>IF(AND(F241=2,G241=2),"AMBOS",IF(AND(F241=2,G241&lt;2),"solo JP",IF(AND(F241&lt;2,G241=2),"solo Thais","-")))</f>
        <v/>
      </c>
      <c r="I241" s="14" t="n">
        <v>0</v>
      </c>
      <c r="J241" s="15" t="n">
        <v>1</v>
      </c>
      <c r="K241" s="13" t="inlineStr">
        <is>
          <t>no</t>
        </is>
      </c>
      <c r="L241" s="16" t="inlineStr">
        <is>
          <t>—</t>
        </is>
      </c>
      <c r="M241" s="11" t="inlineStr">
        <is>
          <t>—</t>
        </is>
      </c>
      <c r="N241" s="16" t="inlineStr">
        <is>
          <t>—</t>
        </is>
      </c>
      <c r="O241" s="16" t="inlineStr">
        <is>
          <t>—</t>
        </is>
      </c>
      <c r="P241" s="16" t="inlineStr">
        <is>
          <t>68 St-Hunter College (6)</t>
        </is>
      </c>
      <c r="Q241"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41" s="16" t="inlineStr">
        <is>
          <t>643 Park Ave</t>
        </is>
      </c>
      <c r="S241" s="16" t="inlineStr">
        <is>
          <t>—</t>
        </is>
      </c>
      <c r="T241" s="18" t="inlineStr">
        <is>
          <t>Abrir ↗</t>
        </is>
      </c>
      <c r="U241" s="21" t="inlineStr">
        <is>
          <t>otros</t>
        </is>
      </c>
      <c r="V241" s="20" t="inlineStr"/>
    </row>
    <row r="242" ht="46" customHeight="1">
      <c r="A242" s="9" t="inlineStr">
        <is>
          <t>Wild Table of Love</t>
        </is>
      </c>
      <c r="B242" s="10" t="inlineStr">
        <is>
          <t>Parque de esculturas</t>
        </is>
      </c>
      <c r="C242" s="11" t="inlineStr">
        <is>
          <t>Arquitectura</t>
        </is>
      </c>
      <c r="D242" s="11" t="inlineStr">
        <is>
          <t>Manhattan</t>
        </is>
      </c>
      <c r="E242" s="11" t="inlineStr">
        <is>
          <t>Manhattan</t>
        </is>
      </c>
      <c r="F242" s="12" t="n">
        <v>1</v>
      </c>
      <c r="G242" s="12" t="n">
        <v>1</v>
      </c>
      <c r="H242" s="13">
        <f>IF(AND(F242=2,G242=2),"AMBOS",IF(AND(F242=2,G242&lt;2),"solo JP",IF(AND(F242&lt;2,G242=2),"solo Thais","-")))</f>
        <v/>
      </c>
      <c r="I242" s="14" t="n">
        <v>0</v>
      </c>
      <c r="J242" s="15" t="n">
        <v>0.25</v>
      </c>
      <c r="K242" s="13" t="inlineStr">
        <is>
          <t>no</t>
        </is>
      </c>
      <c r="L242" s="16" t="inlineStr">
        <is>
          <t>—</t>
        </is>
      </c>
      <c r="M242" s="11" t="inlineStr">
        <is>
          <t>—</t>
        </is>
      </c>
      <c r="N242" s="16" t="inlineStr">
        <is>
          <t>—</t>
        </is>
      </c>
      <c r="O242" s="16" t="inlineStr">
        <is>
          <t>—</t>
        </is>
      </c>
      <c r="P242" s="16" t="inlineStr">
        <is>
          <t>-</t>
        </is>
      </c>
      <c r="Q242" s="16" t="inlineStr">
        <is>
          <t>Instalación escultórica al aire libre. Parada de foto de cinco minutos.</t>
        </is>
      </c>
      <c r="R242" s="16" t="inlineStr"/>
      <c r="S242" s="16" t="inlineStr">
        <is>
          <t>—</t>
        </is>
      </c>
      <c r="T242" s="18" t="inlineStr">
        <is>
          <t>Abrir ↗</t>
        </is>
      </c>
      <c r="U242" s="19" t="inlineStr">
        <is>
          <t>lista google</t>
        </is>
      </c>
      <c r="V242" s="20" t="inlineStr"/>
    </row>
    <row r="243" ht="46" customHeight="1">
      <c r="A243" s="9" t="inlineStr">
        <is>
          <t>Puente de Brooklyn</t>
        </is>
      </c>
      <c r="B243" s="10" t="inlineStr">
        <is>
          <t>Puente</t>
        </is>
      </c>
      <c r="C243" s="11" t="inlineStr">
        <is>
          <t>Arquitectura</t>
        </is>
      </c>
      <c r="D243" s="11" t="inlineStr">
        <is>
          <t>Civic Center</t>
        </is>
      </c>
      <c r="E243" s="11" t="inlineStr">
        <is>
          <t>Manhattan</t>
        </is>
      </c>
      <c r="F243" s="12" t="n">
        <v>2</v>
      </c>
      <c r="G243" s="12" t="n">
        <v>1</v>
      </c>
      <c r="H243" s="13">
        <f>IF(AND(F243=2,G243=2),"AMBOS",IF(AND(F243=2,G243&lt;2),"solo JP",IF(AND(F243&lt;2,G243=2),"solo Thais","-")))</f>
        <v/>
      </c>
      <c r="I243" s="14" t="n">
        <v>0</v>
      </c>
      <c r="J243" s="15" t="n">
        <v>1</v>
      </c>
      <c r="K243" s="13" t="inlineStr">
        <is>
          <t>SÍ</t>
        </is>
      </c>
      <c r="L243" s="16" t="inlineStr">
        <is>
          <t>—</t>
        </is>
      </c>
      <c r="M243" s="11" t="inlineStr">
        <is>
          <t>—</t>
        </is>
      </c>
      <c r="N243" s="16" t="inlineStr">
        <is>
          <t>—</t>
        </is>
      </c>
      <c r="O243" s="16" t="inlineStr">
        <is>
          <t>—</t>
        </is>
      </c>
      <c r="P243" s="16" t="inlineStr">
        <is>
          <t>Brooklyn Bridge-City Hall (4,5,6)</t>
        </is>
      </c>
      <c r="Q243" s="16" t="inlineStr">
        <is>
          <t>Cruzarlo a pie es el clásico que sí lo vale. Entrada peatonal frente a City Hall; después de las 16 se llena.</t>
        </is>
      </c>
      <c r="R243" s="16" t="inlineStr"/>
      <c r="S243" s="16" t="inlineStr">
        <is>
          <t>—</t>
        </is>
      </c>
      <c r="T243" s="18" t="inlineStr">
        <is>
          <t>Abrir ↗</t>
        </is>
      </c>
      <c r="U243" s="19" t="inlineStr">
        <is>
          <t>lista google</t>
        </is>
      </c>
      <c r="V243" s="20" t="inlineStr"/>
    </row>
    <row r="244" ht="46" customHeight="1">
      <c r="A244" s="9" t="inlineStr">
        <is>
          <t>Basilica of St. Patrick's Old Cathedral</t>
        </is>
      </c>
      <c r="B244" s="10" t="inlineStr">
        <is>
          <t>Templo</t>
        </is>
      </c>
      <c r="C244" s="11" t="inlineStr">
        <is>
          <t>Arquitectura</t>
        </is>
      </c>
      <c r="D244" s="11" t="inlineStr">
        <is>
          <t>Nolita</t>
        </is>
      </c>
      <c r="E244" s="11" t="inlineStr">
        <is>
          <t>Manhattan</t>
        </is>
      </c>
      <c r="F244" s="12" t="n">
        <v>2</v>
      </c>
      <c r="G244" s="12" t="n">
        <v>1</v>
      </c>
      <c r="H244" s="13">
        <f>IF(AND(F244=2,G244=2),"AMBOS",IF(AND(F244=2,G244&lt;2),"solo JP",IF(AND(F244&lt;2,G244=2),"solo Thais","-")))</f>
        <v/>
      </c>
      <c r="I244" s="14" t="n">
        <v>0</v>
      </c>
      <c r="J244" s="15" t="n">
        <v>0.5</v>
      </c>
      <c r="K244" s="13" t="inlineStr">
        <is>
          <t>no</t>
        </is>
      </c>
      <c r="L244" s="16" t="inlineStr">
        <is>
          <t>—</t>
        </is>
      </c>
      <c r="M244" s="11" t="inlineStr">
        <is>
          <t>—</t>
        </is>
      </c>
      <c r="N244" s="16" t="inlineStr">
        <is>
          <t>—</t>
        </is>
      </c>
      <c r="O244" s="16" t="inlineStr">
        <is>
          <t>—</t>
        </is>
      </c>
      <c r="P244" s="16" t="inlineStr">
        <is>
          <t>Spring St (6)</t>
        </is>
      </c>
      <c r="Q244" s="16" t="inlineStr">
        <is>
          <t>La catedral ORIGINAL de San Patricio (1815), no la de la Quinta: cementerio amurallado y catacumbas visitables. A tres cuadras del JGStay.</t>
        </is>
      </c>
      <c r="R244" s="16" t="inlineStr">
        <is>
          <t>263 Mulberry St</t>
        </is>
      </c>
      <c r="S244" s="16" t="inlineStr">
        <is>
          <t>—</t>
        </is>
      </c>
      <c r="T244" s="18" t="inlineStr">
        <is>
          <t>Abrir ↗</t>
        </is>
      </c>
      <c r="U244" s="19" t="inlineStr">
        <is>
          <t>lista google</t>
        </is>
      </c>
      <c r="V244" s="20" t="inlineStr"/>
    </row>
    <row r="245" ht="46" customHeight="1">
      <c r="A245" s="9" t="inlineStr">
        <is>
          <t>Catedral de la Transfiguración</t>
        </is>
      </c>
      <c r="B245" s="10" t="inlineStr">
        <is>
          <t>Templo</t>
        </is>
      </c>
      <c r="C245" s="11" t="inlineStr">
        <is>
          <t>Arquitectura</t>
        </is>
      </c>
      <c r="D245" s="11" t="inlineStr">
        <is>
          <t>Williamsburg</t>
        </is>
      </c>
      <c r="E245" s="11" t="inlineStr">
        <is>
          <t>Brooklyn</t>
        </is>
      </c>
      <c r="F245" s="12" t="n">
        <v>1</v>
      </c>
      <c r="G245" s="12" t="n">
        <v>1</v>
      </c>
      <c r="H245" s="13">
        <f>IF(AND(F245=2,G245=2),"AMBOS",IF(AND(F245=2,G245&lt;2),"solo JP",IF(AND(F245&lt;2,G245=2),"solo Thais","-")))</f>
        <v/>
      </c>
      <c r="I245" s="14" t="n">
        <v>0</v>
      </c>
      <c r="J245" s="15" t="n">
        <v>0.3</v>
      </c>
      <c r="K245" s="13" t="inlineStr">
        <is>
          <t>no</t>
        </is>
      </c>
      <c r="L245" s="16" t="inlineStr">
        <is>
          <t>—</t>
        </is>
      </c>
      <c r="M245" s="11" t="inlineStr">
        <is>
          <t>—</t>
        </is>
      </c>
      <c r="N245" s="16" t="inlineStr">
        <is>
          <t>—</t>
        </is>
      </c>
      <c r="O245" s="16" t="inlineStr">
        <is>
          <t>—</t>
        </is>
      </c>
      <c r="P245" s="16" t="inlineStr">
        <is>
          <t>Bedford Av (L)</t>
        </is>
      </c>
      <c r="Q245"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5" s="16" t="inlineStr">
        <is>
          <t>228 N 12th St, Brooklyn</t>
        </is>
      </c>
      <c r="S245" s="16" t="inlineStr">
        <is>
          <t>—</t>
        </is>
      </c>
      <c r="T245" s="18" t="inlineStr">
        <is>
          <t>Abrir ↗</t>
        </is>
      </c>
      <c r="U245" s="21" t="inlineStr">
        <is>
          <t>otros</t>
        </is>
      </c>
      <c r="V245" s="20" t="inlineStr"/>
    </row>
    <row r="246" ht="46" customHeight="1">
      <c r="A246" s="9" t="inlineStr">
        <is>
          <t>Cathedral of St. John the Divine</t>
        </is>
      </c>
      <c r="B246" s="10" t="inlineStr">
        <is>
          <t>Templo</t>
        </is>
      </c>
      <c r="C246" s="11" t="inlineStr">
        <is>
          <t>Arquitectura</t>
        </is>
      </c>
      <c r="D246" s="11" t="inlineStr">
        <is>
          <t>Morningside Heights</t>
        </is>
      </c>
      <c r="E246" s="11" t="inlineStr">
        <is>
          <t>Manhattan</t>
        </is>
      </c>
      <c r="F246" s="12" t="n">
        <v>1</v>
      </c>
      <c r="G246" s="12" t="n">
        <v>1</v>
      </c>
      <c r="H246" s="13">
        <f>IF(AND(F246=2,G246=2),"AMBOS",IF(AND(F246=2,G246&lt;2),"solo JP",IF(AND(F246&lt;2,G246=2),"solo Thais","-")))</f>
        <v/>
      </c>
      <c r="I246" s="14" t="n">
        <v>5</v>
      </c>
      <c r="J246" s="15" t="n">
        <v>1</v>
      </c>
      <c r="K246" s="13" t="inlineStr">
        <is>
          <t>no</t>
        </is>
      </c>
      <c r="L246" s="16" t="inlineStr">
        <is>
          <t>—</t>
        </is>
      </c>
      <c r="M246" s="11" t="inlineStr">
        <is>
          <t>—</t>
        </is>
      </c>
      <c r="N246" s="16" t="inlineStr">
        <is>
          <t>—</t>
        </is>
      </c>
      <c r="O246" s="16" t="inlineStr">
        <is>
          <t>—</t>
        </is>
      </c>
      <c r="P246" s="16" t="inlineStr">
        <is>
          <t>Cathedral Pkwy-110 St (1)</t>
        </is>
      </c>
      <c r="Q246" s="16" t="inlineStr">
        <is>
          <t>La catedral gotica mas grande del mundo, y todavia sin terminar. La nave es mas larga que dos canchas de futbol.</t>
        </is>
      </c>
      <c r="R246" s="16" t="inlineStr">
        <is>
          <t>1047 Amsterdam Ave</t>
        </is>
      </c>
      <c r="S246" s="16" t="inlineStr">
        <is>
          <t>—</t>
        </is>
      </c>
      <c r="T246" s="18" t="inlineStr">
        <is>
          <t>Abrir ↗</t>
        </is>
      </c>
      <c r="U246" s="21" t="inlineStr">
        <is>
          <t>otros</t>
        </is>
      </c>
      <c r="V246" s="20" t="inlineStr"/>
    </row>
    <row r="247" ht="46" customHeight="1">
      <c r="A247" s="9" t="inlineStr">
        <is>
          <t>Mahayana Buddhist Temple</t>
        </is>
      </c>
      <c r="B247" s="10" t="inlineStr">
        <is>
          <t>Templo</t>
        </is>
      </c>
      <c r="C247" s="11" t="inlineStr">
        <is>
          <t>Arquitectura</t>
        </is>
      </c>
      <c r="D247" s="11" t="inlineStr">
        <is>
          <t>Chinatown</t>
        </is>
      </c>
      <c r="E247" s="11" t="inlineStr">
        <is>
          <t>Manhattan</t>
        </is>
      </c>
      <c r="F247" s="12" t="n">
        <v>1</v>
      </c>
      <c r="G247" s="12" t="n">
        <v>1</v>
      </c>
      <c r="H247" s="13">
        <f>IF(AND(F247=2,G247=2),"AMBOS",IF(AND(F247=2,G247&lt;2),"solo JP",IF(AND(F247&lt;2,G247=2),"solo Thais","-")))</f>
        <v/>
      </c>
      <c r="I247" s="14" t="n">
        <v>0</v>
      </c>
      <c r="J247" s="15" t="n">
        <v>0.3</v>
      </c>
      <c r="K247" s="13" t="inlineStr">
        <is>
          <t>no</t>
        </is>
      </c>
      <c r="L247" s="16" t="inlineStr">
        <is>
          <t>—</t>
        </is>
      </c>
      <c r="M247" s="11" t="inlineStr">
        <is>
          <t>—</t>
        </is>
      </c>
      <c r="N247" s="16" t="inlineStr">
        <is>
          <t>—</t>
        </is>
      </c>
      <c r="O247" s="16" t="inlineStr">
        <is>
          <t>—</t>
        </is>
      </c>
      <c r="P247" s="16" t="inlineStr">
        <is>
          <t>Canal St (J,N,Q,R,W,6)</t>
        </is>
      </c>
      <c r="Q247" s="16" t="inlineStr">
        <is>
          <t>El Buda dorado mas grande de la ciudad, 5 metros, en lo que era un cine porno al pie del puente de Manhattan.</t>
        </is>
      </c>
      <c r="R247" s="16" t="inlineStr">
        <is>
          <t>133 Canal St</t>
        </is>
      </c>
      <c r="S247" s="16" t="inlineStr">
        <is>
          <t>—</t>
        </is>
      </c>
      <c r="T247" s="18" t="inlineStr">
        <is>
          <t>Abrir ↗</t>
        </is>
      </c>
      <c r="U247" s="21" t="inlineStr">
        <is>
          <t>otros</t>
        </is>
      </c>
      <c r="V247" s="20" t="inlineStr"/>
    </row>
    <row r="248" ht="46" customHeight="1">
      <c r="A248" s="9" t="inlineStr">
        <is>
          <t>Museum at Eldridge Street</t>
        </is>
      </c>
      <c r="B248" s="10" t="inlineStr">
        <is>
          <t>Templo</t>
        </is>
      </c>
      <c r="C248" s="11" t="inlineStr">
        <is>
          <t>Arquitectura</t>
        </is>
      </c>
      <c r="D248" s="11" t="inlineStr">
        <is>
          <t>Chinatown / LES</t>
        </is>
      </c>
      <c r="E248" s="11" t="inlineStr">
        <is>
          <t>Manhattan</t>
        </is>
      </c>
      <c r="F248" s="12" t="n">
        <v>2</v>
      </c>
      <c r="G248" s="12" t="n">
        <v>2</v>
      </c>
      <c r="H248" s="13">
        <f>IF(AND(F248=2,G248=2),"AMBOS",IF(AND(F248=2,G248&lt;2),"solo JP",IF(AND(F248&lt;2,G248=2),"solo Thais","-")))</f>
        <v/>
      </c>
      <c r="I248" s="14" t="n">
        <v>15</v>
      </c>
      <c r="J248" s="15" t="n">
        <v>1</v>
      </c>
      <c r="K248" s="13" t="inlineStr">
        <is>
          <t>no</t>
        </is>
      </c>
      <c r="L248" s="16" t="inlineStr">
        <is>
          <t>lunes a viernes: 10:00–17:00 · sábado: cerrado · domingo: 10:00–17:00</t>
        </is>
      </c>
      <c r="M248" s="11" t="inlineStr">
        <is>
          <t>SABADOS (es sinagoga)</t>
        </is>
      </c>
      <c r="N248" s="16" t="inlineStr">
        <is>
          <t>—</t>
        </is>
      </c>
      <c r="O248" s="16" t="inlineStr">
        <is>
          <t>—</t>
        </is>
      </c>
      <c r="P248" s="16" t="inlineStr">
        <is>
          <t>East Broadway (F), Grand St (B,D)</t>
        </is>
      </c>
      <c r="Q248" s="16" t="inlineStr">
        <is>
          <t>Sinagoga de 1887 restaurada por $20 millones, con un roseton nuevo de Kiki Smith. Que hoy este en el medio de Chinatown es la mitad del punto.</t>
        </is>
      </c>
      <c r="R248" s="16" t="inlineStr">
        <is>
          <t>12 Eldridge St</t>
        </is>
      </c>
      <c r="S248" s="17" t="inlineStr">
        <is>
          <t>Día 2 · dom 30/8</t>
        </is>
      </c>
      <c r="T248" s="18" t="inlineStr">
        <is>
          <t>Abrir ↗</t>
        </is>
      </c>
      <c r="U248" s="19" t="inlineStr">
        <is>
          <t>lista google</t>
        </is>
      </c>
      <c r="V248" s="20" t="inlineStr"/>
    </row>
    <row r="249" ht="46" customHeight="1">
      <c r="A249" s="9" t="inlineStr">
        <is>
          <t>Plymouth Church</t>
        </is>
      </c>
      <c r="B249" s="10" t="inlineStr">
        <is>
          <t>Templo</t>
        </is>
      </c>
      <c r="C249" s="11" t="inlineStr">
        <is>
          <t>Arquitectura</t>
        </is>
      </c>
      <c r="D249" s="11" t="inlineStr">
        <is>
          <t>Brooklyn Heights</t>
        </is>
      </c>
      <c r="E249" s="11" t="inlineStr">
        <is>
          <t>Brooklyn</t>
        </is>
      </c>
      <c r="F249" s="12" t="n">
        <v>1</v>
      </c>
      <c r="G249" s="12" t="n">
        <v>1</v>
      </c>
      <c r="H249" s="13">
        <f>IF(AND(F249=2,G249=2),"AMBOS",IF(AND(F249=2,G249&lt;2),"solo JP",IF(AND(F249&lt;2,G249=2),"solo Thais","-")))</f>
        <v/>
      </c>
      <c r="I249" s="14" t="n">
        <v>0</v>
      </c>
      <c r="J249" s="15" t="n">
        <v>0.4</v>
      </c>
      <c r="K249" s="13" t="inlineStr">
        <is>
          <t>no</t>
        </is>
      </c>
      <c r="L249" s="16" t="inlineStr">
        <is>
          <t>—</t>
        </is>
      </c>
      <c r="M249" s="11" t="inlineStr">
        <is>
          <t>—</t>
        </is>
      </c>
      <c r="N249" s="16" t="inlineStr">
        <is>
          <t>—</t>
        </is>
      </c>
      <c r="O249" s="16" t="inlineStr">
        <is>
          <t>—</t>
        </is>
      </c>
      <c r="P249" s="16" t="inlineStr">
        <is>
          <t>Clark St (2,3), High St (A,C)</t>
        </is>
      </c>
      <c r="Q249" s="16" t="inlineStr">
        <is>
          <t>Parada del Ferrocarril Subterraneo: aca Beecher remataba esclavos para liberarlos, y hablo Lincoln.</t>
        </is>
      </c>
      <c r="R249" s="16" t="inlineStr">
        <is>
          <t>57 Orange St, Brooklyn</t>
        </is>
      </c>
      <c r="S249" s="16" t="inlineStr">
        <is>
          <t>—</t>
        </is>
      </c>
      <c r="T249" s="18" t="inlineStr">
        <is>
          <t>Abrir ↗</t>
        </is>
      </c>
      <c r="U249" s="21" t="inlineStr">
        <is>
          <t>otros</t>
        </is>
      </c>
      <c r="V249" s="20" t="inlineStr"/>
    </row>
    <row r="250" ht="46" customHeight="1">
      <c r="A250" s="9" t="inlineStr">
        <is>
          <t>St. Bartholomew's Church</t>
        </is>
      </c>
      <c r="B250" s="10" t="inlineStr">
        <is>
          <t>Templo</t>
        </is>
      </c>
      <c r="C250" s="11" t="inlineStr">
        <is>
          <t>Arquitectura</t>
        </is>
      </c>
      <c r="D250" s="11" t="inlineStr">
        <is>
          <t>Midtown East</t>
        </is>
      </c>
      <c r="E250" s="11" t="inlineStr">
        <is>
          <t>Manhattan</t>
        </is>
      </c>
      <c r="F250" s="12" t="n">
        <v>1</v>
      </c>
      <c r="G250" s="12" t="n">
        <v>1</v>
      </c>
      <c r="H250" s="13">
        <f>IF(AND(F250=2,G250=2),"AMBOS",IF(AND(F250=2,G250&lt;2),"solo JP",IF(AND(F250&lt;2,G250=2),"solo Thais","-")))</f>
        <v/>
      </c>
      <c r="I250" s="14" t="n">
        <v>0</v>
      </c>
      <c r="J250" s="15" t="n">
        <v>0.4</v>
      </c>
      <c r="K250" s="13" t="inlineStr">
        <is>
          <t>no</t>
        </is>
      </c>
      <c r="L250" s="16" t="inlineStr">
        <is>
          <t>—</t>
        </is>
      </c>
      <c r="M250" s="11" t="inlineStr">
        <is>
          <t>—</t>
        </is>
      </c>
      <c r="N250" s="16" t="inlineStr">
        <is>
          <t>—</t>
        </is>
      </c>
      <c r="O250" s="16" t="inlineStr">
        <is>
          <t>—</t>
        </is>
      </c>
      <c r="P250" s="16" t="inlineStr">
        <is>
          <t>51 St (6)</t>
        </is>
      </c>
      <c r="Q250" s="16" t="inlineStr">
        <is>
          <t>Bizantino en pleno Park Avenue, con el portico que sobrevivio a la iglesia anterior. La terraza del cafe da a la avenida.</t>
        </is>
      </c>
      <c r="R250" s="16" t="inlineStr">
        <is>
          <t>325 Park Ave</t>
        </is>
      </c>
      <c r="S250" s="16" t="inlineStr">
        <is>
          <t>—</t>
        </is>
      </c>
      <c r="T250" s="18" t="inlineStr">
        <is>
          <t>Abrir ↗</t>
        </is>
      </c>
      <c r="U250" s="21" t="inlineStr">
        <is>
          <t>otros</t>
        </is>
      </c>
      <c r="V250" s="20" t="inlineStr"/>
    </row>
    <row r="251" ht="46" customHeight="1">
      <c r="A251" s="9" t="inlineStr">
        <is>
          <t>St. Patrick's Cathedral</t>
        </is>
      </c>
      <c r="B251" s="10" t="inlineStr">
        <is>
          <t>Templo</t>
        </is>
      </c>
      <c r="C251" s="11" t="inlineStr">
        <is>
          <t>Arquitectura</t>
        </is>
      </c>
      <c r="D251" s="11" t="inlineStr">
        <is>
          <t>Midtown</t>
        </is>
      </c>
      <c r="E251" s="11" t="inlineStr">
        <is>
          <t>Manhattan</t>
        </is>
      </c>
      <c r="F251" s="12" t="n">
        <v>1</v>
      </c>
      <c r="G251" s="12" t="n">
        <v>1</v>
      </c>
      <c r="H251" s="13">
        <f>IF(AND(F251=2,G251=2),"AMBOS",IF(AND(F251=2,G251&lt;2),"solo JP",IF(AND(F251&lt;2,G251=2),"solo Thais","-")))</f>
        <v/>
      </c>
      <c r="I251" s="14" t="n">
        <v>0</v>
      </c>
      <c r="J251" s="15" t="n">
        <v>0.5</v>
      </c>
      <c r="K251" s="13" t="inlineStr">
        <is>
          <t>no</t>
        </is>
      </c>
      <c r="L251" s="16" t="inlineStr">
        <is>
          <t>—</t>
        </is>
      </c>
      <c r="M251" s="11" t="inlineStr">
        <is>
          <t>—</t>
        </is>
      </c>
      <c r="N251" s="16" t="inlineStr">
        <is>
          <t>—</t>
        </is>
      </c>
      <c r="O251" s="16" t="inlineStr">
        <is>
          <t>—</t>
        </is>
      </c>
      <c r="P251" s="16" t="inlineStr">
        <is>
          <t>5 Av-53 St (E,M), 47-50 Sts (B,D,F,M)</t>
        </is>
      </c>
      <c r="Q251" s="16" t="inlineStr">
        <is>
          <t>Neogotica de 1878 entre rascacielos, restaurada por 180 millones. Gratis y siempre abierta.</t>
        </is>
      </c>
      <c r="R251" s="16" t="inlineStr">
        <is>
          <t>5th Ave y E 50th St</t>
        </is>
      </c>
      <c r="S251" s="16" t="inlineStr">
        <is>
          <t>—</t>
        </is>
      </c>
      <c r="T251" s="18" t="inlineStr">
        <is>
          <t>Abrir ↗</t>
        </is>
      </c>
      <c r="U251" s="21" t="inlineStr">
        <is>
          <t>otros</t>
        </is>
      </c>
      <c r="V251" s="20" t="inlineStr"/>
    </row>
    <row r="252" ht="46" customHeight="1">
      <c r="A252" s="9" t="inlineStr">
        <is>
          <t>St. Paul's Chapel</t>
        </is>
      </c>
      <c r="B252" s="10" t="inlineStr">
        <is>
          <t>Templo</t>
        </is>
      </c>
      <c r="C252" s="11" t="inlineStr">
        <is>
          <t>Arquitectura</t>
        </is>
      </c>
      <c r="D252" s="11" t="inlineStr">
        <is>
          <t>Financial District</t>
        </is>
      </c>
      <c r="E252" s="11" t="inlineStr">
        <is>
          <t>Manhattan</t>
        </is>
      </c>
      <c r="F252" s="12" t="n">
        <v>1</v>
      </c>
      <c r="G252" s="12" t="n">
        <v>1</v>
      </c>
      <c r="H252" s="13">
        <f>IF(AND(F252=2,G252=2),"AMBOS",IF(AND(F252=2,G252&lt;2),"solo JP",IF(AND(F252&lt;2,G252=2),"solo Thais","-")))</f>
        <v/>
      </c>
      <c r="I252" s="14" t="n">
        <v>0</v>
      </c>
      <c r="J252" s="15" t="n">
        <v>0.5</v>
      </c>
      <c r="K252" s="13" t="inlineStr">
        <is>
          <t>no</t>
        </is>
      </c>
      <c r="L252" s="16" t="inlineStr">
        <is>
          <t>—</t>
        </is>
      </c>
      <c r="M252" s="11" t="inlineStr">
        <is>
          <t>—</t>
        </is>
      </c>
      <c r="N252" s="16" t="inlineStr">
        <is>
          <t>—</t>
        </is>
      </c>
      <c r="O252" s="16" t="inlineStr">
        <is>
          <t>—</t>
        </is>
      </c>
      <c r="P252" s="16" t="inlineStr">
        <is>
          <t>Fulton St (2,3,4,5,A,C,J,Z)</t>
        </is>
      </c>
      <c r="Q252" s="16" t="inlineStr">
        <is>
          <t>1766, es la iglesia más vieja que queda en pie en Manhattan y el edificio público en uso continuo más antiguo de la isla. Adentro está el banco donde rezó George Washington el día de su asunción, el 30 de abril de 1789.</t>
        </is>
      </c>
      <c r="R252" s="16" t="inlineStr">
        <is>
          <t>209 Broadway</t>
        </is>
      </c>
      <c r="S252" s="16" t="inlineStr">
        <is>
          <t>—</t>
        </is>
      </c>
      <c r="T252" s="18" t="inlineStr">
        <is>
          <t>Abrir ↗</t>
        </is>
      </c>
      <c r="U252" s="21" t="inlineStr">
        <is>
          <t>otros</t>
        </is>
      </c>
      <c r="V252" s="20" t="inlineStr"/>
    </row>
    <row r="253" ht="46" customHeight="1">
      <c r="A253" s="9" t="inlineStr">
        <is>
          <t>Trinity Church</t>
        </is>
      </c>
      <c r="B253" s="10" t="inlineStr">
        <is>
          <t>Templo</t>
        </is>
      </c>
      <c r="C253" s="11" t="inlineStr">
        <is>
          <t>Arquitectura</t>
        </is>
      </c>
      <c r="D253" s="11" t="inlineStr">
        <is>
          <t>Financial District</t>
        </is>
      </c>
      <c r="E253" s="11" t="inlineStr">
        <is>
          <t>Manhattan</t>
        </is>
      </c>
      <c r="F253" s="12" t="n">
        <v>2</v>
      </c>
      <c r="G253" s="12" t="n">
        <v>1</v>
      </c>
      <c r="H253" s="13">
        <f>IF(AND(F253=2,G253=2),"AMBOS",IF(AND(F253=2,G253&lt;2),"solo JP",IF(AND(F253&lt;2,G253=2),"solo Thais","-")))</f>
        <v/>
      </c>
      <c r="I253" s="14" t="n">
        <v>0</v>
      </c>
      <c r="J253" s="15" t="n">
        <v>0.5</v>
      </c>
      <c r="K253" s="13" t="inlineStr">
        <is>
          <t>no</t>
        </is>
      </c>
      <c r="L253" s="16" t="inlineStr">
        <is>
          <t>—</t>
        </is>
      </c>
      <c r="M253" s="11" t="inlineStr">
        <is>
          <t>—</t>
        </is>
      </c>
      <c r="N253" s="16" t="inlineStr">
        <is>
          <t>—</t>
        </is>
      </c>
      <c r="O253" s="16" t="inlineStr">
        <is>
          <t>—</t>
        </is>
      </c>
      <c r="P253" s="16" t="inlineStr">
        <is>
          <t>Wall St (4,5)</t>
        </is>
      </c>
      <c r="Q253" s="16" t="inlineStr">
        <is>
          <t>Neogótica de 1846, la torre más alta de NY durante medio siglo. En su cementerio está Alexander Hamilton.</t>
        </is>
      </c>
      <c r="R253" s="16" t="inlineStr">
        <is>
          <t>89 Broadway</t>
        </is>
      </c>
      <c r="S253" s="16" t="inlineStr">
        <is>
          <t>—</t>
        </is>
      </c>
      <c r="T253" s="18" t="inlineStr">
        <is>
          <t>Abrir ↗</t>
        </is>
      </c>
      <c r="U253" s="19" t="inlineStr">
        <is>
          <t>lista google</t>
        </is>
      </c>
      <c r="V253" s="20" t="inlineStr"/>
    </row>
    <row r="254" ht="46" customHeight="1">
      <c r="A254" s="9" t="inlineStr">
        <is>
          <t>Artists &amp; Fleas Williamsburg</t>
        </is>
      </c>
      <c r="B254" s="10" t="inlineStr">
        <is>
          <t>Tienda con historia</t>
        </is>
      </c>
      <c r="C254" s="11" t="inlineStr">
        <is>
          <t>Arquitectura</t>
        </is>
      </c>
      <c r="D254" s="11" t="inlineStr">
        <is>
          <t>Williamsburg</t>
        </is>
      </c>
      <c r="E254" s="11" t="inlineStr">
        <is>
          <t>Brooklyn</t>
        </is>
      </c>
      <c r="F254" s="12" t="n">
        <v>1</v>
      </c>
      <c r="G254" s="12" t="n">
        <v>1</v>
      </c>
      <c r="H254" s="13">
        <f>IF(AND(F254=2,G254=2),"AMBOS",IF(AND(F254=2,G254&lt;2),"solo JP",IF(AND(F254&lt;2,G254=2),"solo Thais","-")))</f>
        <v/>
      </c>
      <c r="I254" s="14" t="n">
        <v>0</v>
      </c>
      <c r="J254" s="15" t="n">
        <v>0.75</v>
      </c>
      <c r="K254" s="13" t="inlineStr">
        <is>
          <t>no</t>
        </is>
      </c>
      <c r="L254" s="16" t="inlineStr">
        <is>
          <t>—</t>
        </is>
      </c>
      <c r="M254" s="11" t="inlineStr">
        <is>
          <t>—</t>
        </is>
      </c>
      <c r="N254" s="16" t="inlineStr">
        <is>
          <t>—</t>
        </is>
      </c>
      <c r="O254" s="16" t="inlineStr">
        <is>
          <t>—</t>
        </is>
      </c>
      <c r="P254" s="16" t="inlineStr">
        <is>
          <t>Bedford Av (L)</t>
        </is>
      </c>
      <c r="Q254" s="16" t="inlineStr">
        <is>
          <t>Mercado de diseñadores y vintage, fines de semana. Está en el camino del sábado de Brooklyn.</t>
        </is>
      </c>
      <c r="R254" s="16" t="inlineStr">
        <is>
          <t>70 N 7th St</t>
        </is>
      </c>
      <c r="S254" s="16" t="inlineStr">
        <is>
          <t>—</t>
        </is>
      </c>
      <c r="T254" s="18" t="inlineStr">
        <is>
          <t>Abrir ↗</t>
        </is>
      </c>
      <c r="U254" s="19" t="inlineStr">
        <is>
          <t>lista google</t>
        </is>
      </c>
      <c r="V254" s="20" t="inlineStr"/>
    </row>
    <row r="255" ht="46" customHeight="1">
      <c r="A255" s="9" t="inlineStr">
        <is>
          <t>B&amp;H Photo Video</t>
        </is>
      </c>
      <c r="B255" s="10" t="inlineStr">
        <is>
          <t>Tienda con historia</t>
        </is>
      </c>
      <c r="C255" s="11" t="inlineStr">
        <is>
          <t>Arquitectura</t>
        </is>
      </c>
      <c r="D255" s="11" t="inlineStr">
        <is>
          <t>Midtown West</t>
        </is>
      </c>
      <c r="E255" s="11" t="inlineStr">
        <is>
          <t>Manhattan</t>
        </is>
      </c>
      <c r="F255" s="12" t="n">
        <v>1</v>
      </c>
      <c r="G255" s="12" t="n">
        <v>1</v>
      </c>
      <c r="H255" s="13">
        <f>IF(AND(F255=2,G255=2),"AMBOS",IF(AND(F255=2,G255&lt;2),"solo JP",IF(AND(F255&lt;2,G255=2),"solo Thais","-")))</f>
        <v/>
      </c>
      <c r="I255" s="14" t="n">
        <v>0</v>
      </c>
      <c r="J255" s="15" t="n">
        <v>1</v>
      </c>
      <c r="K255" s="13" t="inlineStr">
        <is>
          <t>no</t>
        </is>
      </c>
      <c r="L255" s="16" t="inlineStr">
        <is>
          <t>—</t>
        </is>
      </c>
      <c r="M255" s="11" t="inlineStr">
        <is>
          <t>—</t>
        </is>
      </c>
      <c r="N255" s="16" t="inlineStr">
        <is>
          <t>—</t>
        </is>
      </c>
      <c r="O255" s="16" t="inlineStr">
        <is>
          <t>—</t>
        </is>
      </c>
      <c r="P255" s="16" t="inlineStr">
        <is>
          <t>34 St-Penn Station (1,2,3,A,C,E)</t>
        </is>
      </c>
      <c r="Q255" s="16" t="inlineStr">
        <is>
          <t>La tienda de fotografía mítica: cintas transportadoras cruzando el techo y vendedores jasídicos que saben todo. CIERRA sábados.</t>
        </is>
      </c>
      <c r="R255" s="16" t="inlineStr">
        <is>
          <t>420 9th Ave</t>
        </is>
      </c>
      <c r="S255" s="16" t="inlineStr">
        <is>
          <t>—</t>
        </is>
      </c>
      <c r="T255" s="18" t="inlineStr">
        <is>
          <t>Abrir ↗</t>
        </is>
      </c>
      <c r="U255" s="19" t="inlineStr">
        <is>
          <t>lista google</t>
        </is>
      </c>
      <c r="V255" s="20" t="inlineStr"/>
    </row>
    <row r="256" ht="46" customHeight="1">
      <c r="A256" s="9" t="inlineStr">
        <is>
          <t>Books Are Magic</t>
        </is>
      </c>
      <c r="B256" s="10" t="inlineStr">
        <is>
          <t>Tienda con historia</t>
        </is>
      </c>
      <c r="C256" s="11" t="inlineStr">
        <is>
          <t>Arquitectura</t>
        </is>
      </c>
      <c r="D256" s="11" t="inlineStr">
        <is>
          <t>Brooklyn Heights</t>
        </is>
      </c>
      <c r="E256" s="11" t="inlineStr">
        <is>
          <t>Brooklyn</t>
        </is>
      </c>
      <c r="F256" s="12" t="n">
        <v>1</v>
      </c>
      <c r="G256" s="12" t="n">
        <v>1</v>
      </c>
      <c r="H256" s="13">
        <f>IF(AND(F256=2,G256=2),"AMBOS",IF(AND(F256=2,G256&lt;2),"solo JP",IF(AND(F256&lt;2,G256=2),"solo Thais","-")))</f>
        <v/>
      </c>
      <c r="I256" s="14" t="n">
        <v>0</v>
      </c>
      <c r="J256" s="15" t="n">
        <v>0.4</v>
      </c>
      <c r="K256" s="13" t="inlineStr">
        <is>
          <t>no</t>
        </is>
      </c>
      <c r="L256" s="16" t="inlineStr">
        <is>
          <t>—</t>
        </is>
      </c>
      <c r="M256" s="11" t="inlineStr">
        <is>
          <t>—</t>
        </is>
      </c>
      <c r="N256" s="16" t="inlineStr">
        <is>
          <t>—</t>
        </is>
      </c>
      <c r="O256" s="16" t="inlineStr">
        <is>
          <t>—</t>
        </is>
      </c>
      <c r="P256" s="16" t="inlineStr">
        <is>
          <t>Court St (R), Borough Hall (2,3,4,5)</t>
        </is>
      </c>
      <c r="Q256" s="16" t="inlineStr">
        <is>
          <t>La libreria de Emma Straub, con el mural que es la foto obligada de Brooklyn.</t>
        </is>
      </c>
      <c r="R256" s="16" t="inlineStr">
        <is>
          <t>122 Montague St, Brooklyn</t>
        </is>
      </c>
      <c r="S256" s="16" t="inlineStr">
        <is>
          <t>—</t>
        </is>
      </c>
      <c r="T256" s="18" t="inlineStr">
        <is>
          <t>Abrir ↗</t>
        </is>
      </c>
      <c r="U256" s="21" t="inlineStr">
        <is>
          <t>otros</t>
        </is>
      </c>
      <c r="V256" s="20" t="inlineStr"/>
    </row>
    <row r="257" ht="46" customHeight="1">
      <c r="A257" s="9" t="inlineStr">
        <is>
          <t>C.O. Bigelow Chemists</t>
        </is>
      </c>
      <c r="B257" s="10" t="inlineStr">
        <is>
          <t>Tienda con historia</t>
        </is>
      </c>
      <c r="C257" s="11" t="inlineStr">
        <is>
          <t>Arquitectura</t>
        </is>
      </c>
      <c r="D257" s="11" t="inlineStr">
        <is>
          <t>West Village</t>
        </is>
      </c>
      <c r="E257" s="11" t="inlineStr">
        <is>
          <t>Manhattan</t>
        </is>
      </c>
      <c r="F257" s="12" t="n">
        <v>1</v>
      </c>
      <c r="G257" s="12" t="n">
        <v>1</v>
      </c>
      <c r="H257" s="13">
        <f>IF(AND(F257=2,G257=2),"AMBOS",IF(AND(F257=2,G257&lt;2),"solo JP",IF(AND(F257&lt;2,G257=2),"solo Thais","-")))</f>
        <v/>
      </c>
      <c r="I257" s="14" t="n">
        <v>0</v>
      </c>
      <c r="J257" s="15" t="n">
        <v>0.3</v>
      </c>
      <c r="K257" s="13" t="inlineStr">
        <is>
          <t>no</t>
        </is>
      </c>
      <c r="L257" s="16" t="inlineStr">
        <is>
          <t>—</t>
        </is>
      </c>
      <c r="M257" s="11" t="inlineStr">
        <is>
          <t>—</t>
        </is>
      </c>
      <c r="N257" s="16" t="inlineStr">
        <is>
          <t>—</t>
        </is>
      </c>
      <c r="O257" s="16" t="inlineStr">
        <is>
          <t>—</t>
        </is>
      </c>
      <c r="P257" s="16" t="inlineStr">
        <is>
          <t>Christopher St-Sheridan Sq (1)</t>
        </is>
      </c>
      <c r="Q257" s="16" t="inlineStr">
        <is>
          <t>La farmacia más antigua de Estados Unidos (1838), con el mobiliario original. Entrar es gratis.</t>
        </is>
      </c>
      <c r="R257" s="16" t="inlineStr">
        <is>
          <t>414 6th Ave</t>
        </is>
      </c>
      <c r="S257" s="16" t="inlineStr">
        <is>
          <t>—</t>
        </is>
      </c>
      <c r="T257" s="18" t="inlineStr">
        <is>
          <t>Abrir ↗</t>
        </is>
      </c>
      <c r="U257" s="19" t="inlineStr">
        <is>
          <t>lista google</t>
        </is>
      </c>
      <c r="V257" s="20" t="inlineStr"/>
    </row>
    <row r="258" ht="46" customHeight="1">
      <c r="A258" s="9" t="inlineStr">
        <is>
          <t>Economy Candy</t>
        </is>
      </c>
      <c r="B258" s="10" t="inlineStr">
        <is>
          <t>Tienda con historia</t>
        </is>
      </c>
      <c r="C258" s="11" t="inlineStr">
        <is>
          <t>Arquitectura</t>
        </is>
      </c>
      <c r="D258" s="11" t="inlineStr">
        <is>
          <t>Lower East Side</t>
        </is>
      </c>
      <c r="E258" s="11" t="inlineStr">
        <is>
          <t>Manhattan</t>
        </is>
      </c>
      <c r="F258" s="12" t="n">
        <v>1</v>
      </c>
      <c r="G258" s="12" t="n">
        <v>1</v>
      </c>
      <c r="H258" s="13">
        <f>IF(AND(F258=2,G258=2),"AMBOS",IF(AND(F258=2,G258&lt;2),"solo JP",IF(AND(F258&lt;2,G258=2),"solo Thais","-")))</f>
        <v/>
      </c>
      <c r="I258" s="14" t="n">
        <v>0</v>
      </c>
      <c r="J258" s="15" t="n">
        <v>0.4</v>
      </c>
      <c r="K258" s="13" t="inlineStr">
        <is>
          <t>no</t>
        </is>
      </c>
      <c r="L258" s="16" t="inlineStr">
        <is>
          <t>—</t>
        </is>
      </c>
      <c r="M258" s="11" t="inlineStr">
        <is>
          <t>—</t>
        </is>
      </c>
      <c r="N258" s="16" t="inlineStr">
        <is>
          <t>—</t>
        </is>
      </c>
      <c r="O258" s="16" t="inlineStr">
        <is>
          <t>—</t>
        </is>
      </c>
      <c r="P258" s="16" t="inlineStr">
        <is>
          <t>Delancey St-Essex St (F,J,M,Z)</t>
        </is>
      </c>
      <c r="Q258" s="16" t="inlineStr">
        <is>
          <t>Kiosco de golosinas de 1937 con las paredes cubiertas hasta el techo. Es un museo donde se puede comprar.</t>
        </is>
      </c>
      <c r="R258" s="16" t="inlineStr">
        <is>
          <t>108 Rivington St</t>
        </is>
      </c>
      <c r="S258" s="16" t="inlineStr">
        <is>
          <t>—</t>
        </is>
      </c>
      <c r="T258" s="18" t="inlineStr">
        <is>
          <t>Abrir ↗</t>
        </is>
      </c>
      <c r="U258" s="21" t="inlineStr">
        <is>
          <t>otros</t>
        </is>
      </c>
      <c r="V258" s="20" t="inlineStr"/>
    </row>
    <row r="259" ht="46" customHeight="1">
      <c r="A259" s="9" t="inlineStr">
        <is>
          <t>HEATONIST Chelsea Market</t>
        </is>
      </c>
      <c r="B259" s="10" t="inlineStr">
        <is>
          <t>Tienda con historia</t>
        </is>
      </c>
      <c r="C259" s="11" t="inlineStr">
        <is>
          <t>Arquitectura</t>
        </is>
      </c>
      <c r="D259" s="11" t="inlineStr">
        <is>
          <t>Chelsea</t>
        </is>
      </c>
      <c r="E259" s="11" t="inlineStr">
        <is>
          <t>Manhattan</t>
        </is>
      </c>
      <c r="F259" s="12" t="n">
        <v>1</v>
      </c>
      <c r="G259" s="12" t="n">
        <v>1</v>
      </c>
      <c r="H259" s="13">
        <f>IF(AND(F259=2,G259=2),"AMBOS",IF(AND(F259=2,G259&lt;2),"solo JP",IF(AND(F259&lt;2,G259=2),"solo Thais","-")))</f>
        <v/>
      </c>
      <c r="I259" s="14" t="n">
        <v>15</v>
      </c>
      <c r="J259" s="15" t="n">
        <v>0.3</v>
      </c>
      <c r="K259" s="13" t="inlineStr">
        <is>
          <t>no</t>
        </is>
      </c>
      <c r="L259" s="16" t="inlineStr">
        <is>
          <t>lunes a domingo: 12:00–18:45</t>
        </is>
      </c>
      <c r="M259" s="11" t="inlineStr">
        <is>
          <t>—</t>
        </is>
      </c>
      <c r="N259" s="16" t="inlineStr">
        <is>
          <t>—</t>
        </is>
      </c>
      <c r="O259" s="16" t="inlineStr">
        <is>
          <t>—</t>
        </is>
      </c>
      <c r="P259" s="16" t="inlineStr">
        <is>
          <t>14 St (A,C,E), 8 Av (L)</t>
        </is>
      </c>
      <c r="Q259" s="16" t="inlineStr">
        <is>
          <t>La sucursal chica, ADENTRO del Chelsea Market donde ya almuerzan el viernes. Mismo catalogo de mas de 100 salsas y la misma cata, en menos metros y con mas gente.</t>
        </is>
      </c>
      <c r="R259" s="16" t="inlineStr">
        <is>
          <t>75 9th Ave (dentro del Chelsea Market)</t>
        </is>
      </c>
      <c r="S259" s="16" t="inlineStr">
        <is>
          <t>—</t>
        </is>
      </c>
      <c r="T259" s="18" t="inlineStr">
        <is>
          <t>Abrir ↗</t>
        </is>
      </c>
      <c r="U259" s="21" t="inlineStr">
        <is>
          <t>otros</t>
        </is>
      </c>
      <c r="V259" s="20" t="inlineStr"/>
    </row>
    <row r="260" ht="46" customHeight="1">
      <c r="A260" s="9" t="inlineStr">
        <is>
          <t>HEATONIST Williamsburg</t>
        </is>
      </c>
      <c r="B260" s="10" t="inlineStr">
        <is>
          <t>Tienda con historia</t>
        </is>
      </c>
      <c r="C260" s="11" t="inlineStr">
        <is>
          <t>Arquitectura</t>
        </is>
      </c>
      <c r="D260" s="11" t="inlineStr">
        <is>
          <t>Williamsburg</t>
        </is>
      </c>
      <c r="E260" s="11" t="inlineStr">
        <is>
          <t>Brooklyn</t>
        </is>
      </c>
      <c r="F260" s="12" t="n">
        <v>1</v>
      </c>
      <c r="G260" s="12" t="n">
        <v>1</v>
      </c>
      <c r="H260" s="13">
        <f>IF(AND(F260=2,G260=2),"AMBOS",IF(AND(F260=2,G260&lt;2),"solo JP",IF(AND(F260&lt;2,G260=2),"solo Thais","-")))</f>
        <v/>
      </c>
      <c r="I260" s="14" t="n">
        <v>15</v>
      </c>
      <c r="J260" s="15" t="n">
        <v>0.5</v>
      </c>
      <c r="K260" s="13" t="inlineStr">
        <is>
          <t>no</t>
        </is>
      </c>
      <c r="L260" s="16" t="inlineStr">
        <is>
          <t>lunes a domingo: 12:00–19:00</t>
        </is>
      </c>
      <c r="M260" s="11" t="inlineStr">
        <is>
          <t>—</t>
        </is>
      </c>
      <c r="N260" s="16" t="inlineStr">
        <is>
          <t>—</t>
        </is>
      </c>
      <c r="O260" s="16" t="inlineStr">
        <is>
          <t>—</t>
        </is>
      </c>
      <c r="P260" s="16" t="inlineStr">
        <is>
          <t>Bedford Av (L)</t>
        </is>
      </c>
      <c r="Q260" s="16" t="inlineStr">
        <is>
          <t>La tienda insignia: mas de 100 salsas artesanales para PROBAR en el local, con el lineup completo de Hot Ones — las mismas diez que toman los invitados del programa, en orden de menor a mayor. El local es el grande de los dos.</t>
        </is>
      </c>
      <c r="R260" s="16" t="inlineStr">
        <is>
          <t>121 Wythe Ave, Brooklyn</t>
        </is>
      </c>
      <c r="S260" s="17" t="inlineStr">
        <is>
          <t>Día 8 · sáb 5/9</t>
        </is>
      </c>
      <c r="T260" s="18" t="inlineStr">
        <is>
          <t>Abrir ↗</t>
        </is>
      </c>
      <c r="U260" s="21" t="inlineStr">
        <is>
          <t>otros</t>
        </is>
      </c>
      <c r="V260" s="20" t="inlineStr"/>
    </row>
    <row r="261" ht="46" customHeight="1">
      <c r="A261" s="9" t="inlineStr">
        <is>
          <t>Hell's Kitchen Flea Market</t>
        </is>
      </c>
      <c r="B261" s="10" t="inlineStr">
        <is>
          <t>Tienda con historia</t>
        </is>
      </c>
      <c r="C261" s="11" t="inlineStr">
        <is>
          <t>Arquitectura</t>
        </is>
      </c>
      <c r="D261" s="11" t="inlineStr">
        <is>
          <t>Hell's Kitchen</t>
        </is>
      </c>
      <c r="E261" s="11" t="inlineStr">
        <is>
          <t>Manhattan</t>
        </is>
      </c>
      <c r="F261" s="12" t="n">
        <v>1</v>
      </c>
      <c r="G261" s="12" t="n">
        <v>1</v>
      </c>
      <c r="H261" s="13">
        <f>IF(AND(F261=2,G261=2),"AMBOS",IF(AND(F261=2,G261&lt;2),"solo JP",IF(AND(F261&lt;2,G261=2),"solo Thais","-")))</f>
        <v/>
      </c>
      <c r="I261" s="14" t="n">
        <v>0</v>
      </c>
      <c r="J261" s="15" t="n">
        <v>0.8</v>
      </c>
      <c r="K261" s="13" t="inlineStr">
        <is>
          <t>no</t>
        </is>
      </c>
      <c r="L261" s="16" t="inlineStr">
        <is>
          <t>—</t>
        </is>
      </c>
      <c r="M261" s="11" t="inlineStr">
        <is>
          <t>—</t>
        </is>
      </c>
      <c r="N261" s="16" t="inlineStr">
        <is>
          <t>—</t>
        </is>
      </c>
      <c r="O261" s="16" t="inlineStr">
        <is>
          <t>—</t>
        </is>
      </c>
      <c r="P261" s="16" t="inlineStr">
        <is>
          <t>42 St-Port Authority (A,C,E)</t>
        </is>
      </c>
      <c r="Q261" s="16" t="inlineStr">
        <is>
          <t>Feria de antiguedades al aire libre, sabados y domingos. Vinilos, camaras y cosas que no vas a encontrar en otro lado.</t>
        </is>
      </c>
      <c r="R261" s="16" t="inlineStr">
        <is>
          <t>W 39th St entre 9th y 10th Ave</t>
        </is>
      </c>
      <c r="S261" s="16" t="inlineStr">
        <is>
          <t>—</t>
        </is>
      </c>
      <c r="T261" s="18" t="inlineStr">
        <is>
          <t>Abrir ↗</t>
        </is>
      </c>
      <c r="U261" s="21" t="inlineStr">
        <is>
          <t>otros</t>
        </is>
      </c>
      <c r="V261" s="20" t="inlineStr"/>
    </row>
    <row r="262" ht="46" customHeight="1">
      <c r="A262" s="9" t="inlineStr">
        <is>
          <t>Housing Works Bookstore</t>
        </is>
      </c>
      <c r="B262" s="10" t="inlineStr">
        <is>
          <t>Tienda con historia</t>
        </is>
      </c>
      <c r="C262" s="11" t="inlineStr">
        <is>
          <t>Arquitectura</t>
        </is>
      </c>
      <c r="D262" s="11" t="inlineStr">
        <is>
          <t>SoHo</t>
        </is>
      </c>
      <c r="E262" s="11" t="inlineStr">
        <is>
          <t>Manhattan</t>
        </is>
      </c>
      <c r="F262" s="12" t="n">
        <v>1</v>
      </c>
      <c r="G262" s="12" t="n">
        <v>1</v>
      </c>
      <c r="H262" s="13">
        <f>IF(AND(F262=2,G262=2),"AMBOS",IF(AND(F262=2,G262&lt;2),"solo JP",IF(AND(F262&lt;2,G262=2),"solo Thais","-")))</f>
        <v/>
      </c>
      <c r="I262" s="14" t="n">
        <v>0</v>
      </c>
      <c r="J262" s="15" t="n">
        <v>0.6</v>
      </c>
      <c r="K262" s="13" t="inlineStr">
        <is>
          <t>no</t>
        </is>
      </c>
      <c r="L262" s="16" t="inlineStr">
        <is>
          <t>—</t>
        </is>
      </c>
      <c r="M262" s="11" t="inlineStr">
        <is>
          <t>—</t>
        </is>
      </c>
      <c r="N262" s="16" t="inlineStr">
        <is>
          <t>—</t>
        </is>
      </c>
      <c r="O262" s="16" t="inlineStr">
        <is>
          <t>—</t>
        </is>
      </c>
      <c r="P262" s="16" t="inlineStr">
        <is>
          <t>Spring St (6)</t>
        </is>
      </c>
      <c r="Q262" s="16" t="inlineStr">
        <is>
          <t>Librería de dos pisos con café: todo lo donado y toda la ganancia va a personas con VIH sin hogar.</t>
        </is>
      </c>
      <c r="R262" s="16" t="inlineStr">
        <is>
          <t>126 Crosby St</t>
        </is>
      </c>
      <c r="S262" s="16" t="inlineStr">
        <is>
          <t>—</t>
        </is>
      </c>
      <c r="T262" s="18" t="inlineStr">
        <is>
          <t>Abrir ↗</t>
        </is>
      </c>
      <c r="U262" s="19" t="inlineStr">
        <is>
          <t>lista google</t>
        </is>
      </c>
      <c r="V262" s="20" t="inlineStr"/>
    </row>
    <row r="263" ht="46" customHeight="1">
      <c r="A263" s="9" t="inlineStr">
        <is>
          <t>Louis Vuitton</t>
        </is>
      </c>
      <c r="B263" s="10" t="inlineStr">
        <is>
          <t>Tienda con historia</t>
        </is>
      </c>
      <c r="C263" s="11" t="inlineStr">
        <is>
          <t>Arquitectura</t>
        </is>
      </c>
      <c r="D263" s="11" t="inlineStr">
        <is>
          <t>Midtown</t>
        </is>
      </c>
      <c r="E263" s="11" t="inlineStr">
        <is>
          <t>Manhattan</t>
        </is>
      </c>
      <c r="F263" s="12" t="n">
        <v>1</v>
      </c>
      <c r="G263" s="12" t="n">
        <v>2</v>
      </c>
      <c r="H263" s="13">
        <f>IF(AND(F263=2,G263=2),"AMBOS",IF(AND(F263=2,G263&lt;2),"solo JP",IF(AND(F263&lt;2,G263=2),"solo Thais","-")))</f>
        <v/>
      </c>
      <c r="I263" s="14" t="n">
        <v>0</v>
      </c>
      <c r="J263" s="15" t="n">
        <v>0.5</v>
      </c>
      <c r="K263" s="13" t="inlineStr">
        <is>
          <t>SÍ</t>
        </is>
      </c>
      <c r="L263" s="16" t="inlineStr">
        <is>
          <t>—</t>
        </is>
      </c>
      <c r="M263" s="11" t="inlineStr">
        <is>
          <t>—</t>
        </is>
      </c>
      <c r="N263" s="16" t="inlineStr">
        <is>
          <t>—</t>
        </is>
      </c>
      <c r="O263" s="16" t="inlineStr">
        <is>
          <t>—</t>
        </is>
      </c>
      <c r="P263" s="16" t="inlineStr">
        <is>
          <t>5 Av/53 St (E,M)</t>
        </is>
      </c>
      <c r="Q263" s="16" t="inlineStr">
        <is>
          <t>Flagship de la Quinta. En la lista de Google, presumiblemente para compras.</t>
        </is>
      </c>
      <c r="R263" s="16" t="inlineStr">
        <is>
          <t>1 E 57th St</t>
        </is>
      </c>
      <c r="S263" s="16" t="inlineStr">
        <is>
          <t>—</t>
        </is>
      </c>
      <c r="T263" s="18" t="inlineStr">
        <is>
          <t>Abrir ↗</t>
        </is>
      </c>
      <c r="U263" s="19" t="inlineStr">
        <is>
          <t>lista google</t>
        </is>
      </c>
      <c r="V263" s="20" t="inlineStr"/>
    </row>
    <row r="264" ht="46" customHeight="1">
      <c r="A264" s="9" t="inlineStr">
        <is>
          <t>M&amp;M'S World New York</t>
        </is>
      </c>
      <c r="B264" s="10" t="inlineStr">
        <is>
          <t>Tienda con historia</t>
        </is>
      </c>
      <c r="C264" s="11" t="inlineStr">
        <is>
          <t>Arquitectura</t>
        </is>
      </c>
      <c r="D264" s="11" t="inlineStr">
        <is>
          <t>Times Square</t>
        </is>
      </c>
      <c r="E264" s="11" t="inlineStr">
        <is>
          <t>Manhattan</t>
        </is>
      </c>
      <c r="F264" s="12" t="n">
        <v>1</v>
      </c>
      <c r="G264" s="12" t="n">
        <v>1</v>
      </c>
      <c r="H264" s="13">
        <f>IF(AND(F264=2,G264=2),"AMBOS",IF(AND(F264=2,G264&lt;2),"solo JP",IF(AND(F264&lt;2,G264=2),"solo Thais","-")))</f>
        <v/>
      </c>
      <c r="I264" s="14" t="n">
        <v>0</v>
      </c>
      <c r="J264" s="15" t="n">
        <v>0.5</v>
      </c>
      <c r="K264" s="13" t="inlineStr">
        <is>
          <t>SÍ</t>
        </is>
      </c>
      <c r="L264" s="16" t="inlineStr">
        <is>
          <t>—</t>
        </is>
      </c>
      <c r="M264" s="11" t="inlineStr">
        <is>
          <t>—</t>
        </is>
      </c>
      <c r="N264" s="16" t="inlineStr">
        <is>
          <t>—</t>
        </is>
      </c>
      <c r="O264" s="16" t="inlineStr">
        <is>
          <t>—</t>
        </is>
      </c>
      <c r="P264" s="16" t="inlineStr">
        <is>
          <t>42 St-Times Sq</t>
        </is>
      </c>
      <c r="Q264" s="16" t="inlineStr">
        <is>
          <t>Tres pisos de merchandising en Times Square. Es lo que promete, ni más ni menos.</t>
        </is>
      </c>
      <c r="R264" s="16" t="inlineStr">
        <is>
          <t>1600 Broadway</t>
        </is>
      </c>
      <c r="S264" s="16" t="inlineStr">
        <is>
          <t>—</t>
        </is>
      </c>
      <c r="T264" s="18" t="inlineStr">
        <is>
          <t>Abrir ↗</t>
        </is>
      </c>
      <c r="U264" s="19" t="inlineStr">
        <is>
          <t>lista google</t>
        </is>
      </c>
      <c r="V264" s="20" t="inlineStr"/>
    </row>
    <row r="265" ht="46" customHeight="1">
      <c r="A265" s="9" t="inlineStr">
        <is>
          <t>McNally Jackson Books</t>
        </is>
      </c>
      <c r="B265" s="10" t="inlineStr">
        <is>
          <t>Tienda con historia</t>
        </is>
      </c>
      <c r="C265" s="11" t="inlineStr">
        <is>
          <t>Arquitectura</t>
        </is>
      </c>
      <c r="D265" s="11" t="inlineStr">
        <is>
          <t>SoHo</t>
        </is>
      </c>
      <c r="E265" s="11" t="inlineStr">
        <is>
          <t>Manhattan</t>
        </is>
      </c>
      <c r="F265" s="12" t="n">
        <v>1</v>
      </c>
      <c r="G265" s="12" t="n">
        <v>1</v>
      </c>
      <c r="H265" s="13">
        <f>IF(AND(F265=2,G265=2),"AMBOS",IF(AND(F265=2,G265&lt;2),"solo JP",IF(AND(F265&lt;2,G265=2),"solo Thais","-")))</f>
        <v/>
      </c>
      <c r="I265" s="14" t="n">
        <v>0</v>
      </c>
      <c r="J265" s="15" t="n">
        <v>0.5</v>
      </c>
      <c r="K265" s="13" t="inlineStr">
        <is>
          <t>no</t>
        </is>
      </c>
      <c r="L265" s="16" t="inlineStr">
        <is>
          <t>—</t>
        </is>
      </c>
      <c r="M265" s="11" t="inlineStr">
        <is>
          <t>—</t>
        </is>
      </c>
      <c r="N265" s="16" t="inlineStr">
        <is>
          <t>—</t>
        </is>
      </c>
      <c r="O265" s="16" t="inlineStr">
        <is>
          <t>—</t>
        </is>
      </c>
      <c r="P265" s="16" t="inlineStr">
        <is>
          <t>Prince St (N,R,W)</t>
        </is>
      </c>
      <c r="Q265" s="16" t="inlineStr">
        <is>
          <t>La libreria independiente que definio el SoHo literario: mesas curadas a mano y una seccion de traduccion que no tiene nadie.</t>
        </is>
      </c>
      <c r="R265" s="16" t="inlineStr">
        <is>
          <t>134 Prince St</t>
        </is>
      </c>
      <c r="S265" s="16" t="inlineStr">
        <is>
          <t>—</t>
        </is>
      </c>
      <c r="T265" s="18" t="inlineStr">
        <is>
          <t>Abrir ↗</t>
        </is>
      </c>
      <c r="U265" s="21" t="inlineStr">
        <is>
          <t>otros</t>
        </is>
      </c>
      <c r="V265" s="20" t="inlineStr"/>
    </row>
    <row r="266" ht="46" customHeight="1">
      <c r="A266" s="9" t="inlineStr">
        <is>
          <t>The Mills at Jersey Gardens</t>
        </is>
      </c>
      <c r="B266" s="10" t="inlineStr">
        <is>
          <t>Tienda con historia</t>
        </is>
      </c>
      <c r="C266" s="11" t="inlineStr">
        <is>
          <t>Arquitectura</t>
        </is>
      </c>
      <c r="D266" s="11" t="inlineStr">
        <is>
          <t>Elizabeth</t>
        </is>
      </c>
      <c r="E266" s="11" t="inlineStr">
        <is>
          <t>New Jersey</t>
        </is>
      </c>
      <c r="F266" s="12" t="n">
        <v>1</v>
      </c>
      <c r="G266" s="12" t="n">
        <v>1</v>
      </c>
      <c r="H266" s="13">
        <f>IF(AND(F266=2,G266=2),"AMBOS",IF(AND(F266=2,G266&lt;2),"solo JP",IF(AND(F266&lt;2,G266=2),"solo Thais","-")))</f>
        <v/>
      </c>
      <c r="I266" s="14" t="n">
        <v>0</v>
      </c>
      <c r="J266" s="15" t="n">
        <v>3</v>
      </c>
      <c r="K266" s="13" t="inlineStr">
        <is>
          <t>no</t>
        </is>
      </c>
      <c r="L266" s="16" t="inlineStr">
        <is>
          <t>—</t>
        </is>
      </c>
      <c r="M266" s="11" t="inlineStr">
        <is>
          <t>—</t>
        </is>
      </c>
      <c r="N266" s="16" t="inlineStr">
        <is>
          <t>—</t>
        </is>
      </c>
      <c r="O266" s="16" t="inlineStr">
        <is>
          <t>—</t>
        </is>
      </c>
      <c r="P266" s="16" t="inlineStr">
        <is>
          <t>NJ Transit bus 40 o shuttle desde EWR</t>
        </is>
      </c>
      <c r="Q266" s="16" t="inlineStr">
        <is>
          <t>El outlet mas grande de New Jersey, 200+ locales bajo techo y A CINCO MINUTOS DEL AEROPUERTO DE NEWARK, con shuttle propio desde la terminal. En New Jersey la ropa y el calzado NO pagan impuesto a las ventas. Sirve el domingo del vuelo si adelantan la salida, o cualquier dia que Thais este en NJ.</t>
        </is>
      </c>
      <c r="R266" s="16" t="inlineStr">
        <is>
          <t>651 Kapkowski Rd, Elizabeth, NJ</t>
        </is>
      </c>
      <c r="S266" s="16" t="inlineStr">
        <is>
          <t>—</t>
        </is>
      </c>
      <c r="T266" s="18" t="inlineStr">
        <is>
          <t>Abrir ↗</t>
        </is>
      </c>
      <c r="U266" s="21" t="inlineStr">
        <is>
          <t>otros</t>
        </is>
      </c>
      <c r="V266" s="20" t="inlineStr"/>
    </row>
    <row r="267" ht="46" customHeight="1">
      <c r="A267" s="9" t="inlineStr">
        <is>
          <t>Green-Wood Cemetery</t>
        </is>
      </c>
      <c r="B267" s="10" t="inlineStr">
        <is>
          <t>Cementerio-jardín</t>
        </is>
      </c>
      <c r="C267" s="11" t="inlineStr">
        <is>
          <t>Parque</t>
        </is>
      </c>
      <c r="D267" s="11" t="inlineStr">
        <is>
          <t>Greenwood Heights</t>
        </is>
      </c>
      <c r="E267" s="11" t="inlineStr">
        <is>
          <t>Brooklyn</t>
        </is>
      </c>
      <c r="F267" s="12" t="n">
        <v>0</v>
      </c>
      <c r="G267" s="12" t="n">
        <v>0</v>
      </c>
      <c r="H267" s="13">
        <f>IF(AND(F267=2,G267=2),"AMBOS",IF(AND(F267=2,G267&lt;2),"solo JP",IF(AND(F267&lt;2,G267=2),"solo Thais","-")))</f>
        <v/>
      </c>
      <c r="I267" s="14" t="n">
        <v>0</v>
      </c>
      <c r="J267" s="15" t="n">
        <v>2.5</v>
      </c>
      <c r="K267" s="13" t="inlineStr">
        <is>
          <t>no</t>
        </is>
      </c>
      <c r="L267" s="16" t="inlineStr">
        <is>
          <t>—</t>
        </is>
      </c>
      <c r="M267" s="11" t="inlineStr">
        <is>
          <t>—</t>
        </is>
      </c>
      <c r="N267" s="16" t="inlineStr">
        <is>
          <t>—</t>
        </is>
      </c>
      <c r="O267" s="16" t="inlineStr">
        <is>
          <t>—</t>
        </is>
      </c>
      <c r="P267" s="16" t="inlineStr">
        <is>
          <t>25 St (R)</t>
        </is>
      </c>
      <c r="Q267" s="16" t="inlineStr">
        <is>
          <t>190 hectareas de cementerio-jardin victoriano de 1838, con la colina mas alta de Brooklyn y vista de Manhattan. Hay guia gratuita en la app Bloomberg Connects. Es un parque enorme donde no hay nadie.</t>
        </is>
      </c>
      <c r="R267" s="16" t="inlineStr">
        <is>
          <t>500 25th St, Brooklyn</t>
        </is>
      </c>
      <c r="S267" s="16" t="inlineStr">
        <is>
          <t>—</t>
        </is>
      </c>
      <c r="T267" s="18" t="inlineStr">
        <is>
          <t>Abrir ↗</t>
        </is>
      </c>
      <c r="U267" s="21" t="inlineStr">
        <is>
          <t>otros</t>
        </is>
      </c>
      <c r="V267" s="20" t="inlineStr"/>
    </row>
    <row r="268" ht="46" customHeight="1">
      <c r="A268" s="9" t="inlineStr">
        <is>
          <t>Inwood Hill Park</t>
        </is>
      </c>
      <c r="B268" s="10" t="inlineStr">
        <is>
          <t>Naturaleza</t>
        </is>
      </c>
      <c r="C268" s="11" t="inlineStr">
        <is>
          <t>Parque</t>
        </is>
      </c>
      <c r="D268" s="11" t="inlineStr">
        <is>
          <t>Inwood</t>
        </is>
      </c>
      <c r="E268" s="11" t="inlineStr">
        <is>
          <t>Manhattan</t>
        </is>
      </c>
      <c r="F268" s="12" t="n">
        <v>1</v>
      </c>
      <c r="G268" s="12" t="n">
        <v>0</v>
      </c>
      <c r="H268" s="13">
        <f>IF(AND(F268=2,G268=2),"AMBOS",IF(AND(F268=2,G268&lt;2),"solo JP",IF(AND(F268&lt;2,G268=2),"solo Thais","-")))</f>
        <v/>
      </c>
      <c r="I268" s="14" t="n">
        <v>0</v>
      </c>
      <c r="J268" s="15" t="n">
        <v>2</v>
      </c>
      <c r="K268" s="13" t="inlineStr">
        <is>
          <t>no</t>
        </is>
      </c>
      <c r="L268" s="16" t="inlineStr">
        <is>
          <t>—</t>
        </is>
      </c>
      <c r="M268" s="11" t="inlineStr">
        <is>
          <t>—</t>
        </is>
      </c>
      <c r="N268" s="16" t="inlineStr">
        <is>
          <t>—</t>
        </is>
      </c>
      <c r="O268" s="16" t="inlineStr">
        <is>
          <t>—</t>
        </is>
      </c>
      <c r="P268" s="16" t="inlineStr">
        <is>
          <t>Dyckman St o 207 St (A)</t>
        </is>
      </c>
      <c r="Q268" s="16" t="inlineStr">
        <is>
          <t>El unico bosque primario que queda en Manhattan, con cuevas de roca usadas por los Lenape y vista del Hudson y los Palisades. Cuesta creer que sea la misma isla.</t>
        </is>
      </c>
      <c r="R268" s="16" t="inlineStr">
        <is>
          <t>Inwood Hill Park, Manhattan</t>
        </is>
      </c>
      <c r="S268" s="16" t="inlineStr">
        <is>
          <t>—</t>
        </is>
      </c>
      <c r="T268" s="18" t="inlineStr">
        <is>
          <t>Abrir ↗</t>
        </is>
      </c>
      <c r="U268" s="21" t="inlineStr">
        <is>
          <t>otros</t>
        </is>
      </c>
      <c r="V268" s="20" t="inlineStr"/>
    </row>
    <row r="269" ht="46" customHeight="1">
      <c r="A269" s="9" t="inlineStr">
        <is>
          <t>New York Botanical Garden</t>
        </is>
      </c>
      <c r="B269" s="10" t="inlineStr">
        <is>
          <t>Naturaleza</t>
        </is>
      </c>
      <c r="C269" s="11" t="inlineStr">
        <is>
          <t>Parque</t>
        </is>
      </c>
      <c r="D269" s="11" t="inlineStr">
        <is>
          <t>Bronx Park</t>
        </is>
      </c>
      <c r="E269" s="11" t="inlineStr">
        <is>
          <t>Bronx</t>
        </is>
      </c>
      <c r="F269" s="12" t="n">
        <v>1</v>
      </c>
      <c r="G269" s="12" t="n">
        <v>1</v>
      </c>
      <c r="H269" s="13">
        <f>IF(AND(F269=2,G269=2),"AMBOS",IF(AND(F269=2,G269&lt;2),"solo JP",IF(AND(F269&lt;2,G269=2),"solo Thais","-")))</f>
        <v/>
      </c>
      <c r="I269" s="14" t="n">
        <v>35</v>
      </c>
      <c r="J269" s="15" t="n">
        <v>3</v>
      </c>
      <c r="K269" s="13" t="inlineStr">
        <is>
          <t>no</t>
        </is>
      </c>
      <c r="L269" s="16" t="inlineStr">
        <is>
          <t>—</t>
        </is>
      </c>
      <c r="M269" s="11" t="inlineStr">
        <is>
          <t>—</t>
        </is>
      </c>
      <c r="N269" s="16" t="inlineStr">
        <is>
          <t>—</t>
        </is>
      </c>
      <c r="O269" s="16" t="inlineStr">
        <is>
          <t>—</t>
        </is>
      </c>
      <c r="P269" s="16" t="inlineStr">
        <is>
          <t>Metro-North a Botanical Garden, o Bx26</t>
        </is>
      </c>
      <c r="Q269" s="16" t="inlineStr">
        <is>
          <t>Un bosque original de 20 hectareas que nunca se talo, mas el invernadero victoriano. A diez cuadras de Arthur Avenue.</t>
        </is>
      </c>
      <c r="R269" s="16" t="inlineStr">
        <is>
          <t>2900 Southern Blvd, Bronx</t>
        </is>
      </c>
      <c r="S269" s="16" t="inlineStr">
        <is>
          <t>—</t>
        </is>
      </c>
      <c r="T269" s="18" t="inlineStr">
        <is>
          <t>Abrir ↗</t>
        </is>
      </c>
      <c r="U269" s="21" t="inlineStr">
        <is>
          <t>otros</t>
        </is>
      </c>
      <c r="V269" s="20" t="inlineStr"/>
    </row>
    <row r="270" ht="46" customHeight="1">
      <c r="A270" s="9" t="inlineStr">
        <is>
          <t>Wave Hill</t>
        </is>
      </c>
      <c r="B270" s="10" t="inlineStr">
        <is>
          <t>Naturaleza</t>
        </is>
      </c>
      <c r="C270" s="11" t="inlineStr">
        <is>
          <t>Parque</t>
        </is>
      </c>
      <c r="D270" s="11" t="inlineStr">
        <is>
          <t>Riverdale</t>
        </is>
      </c>
      <c r="E270" s="11" t="inlineStr">
        <is>
          <t>Bronx</t>
        </is>
      </c>
      <c r="F270" s="12" t="n">
        <v>1</v>
      </c>
      <c r="G270" s="12" t="n">
        <v>1</v>
      </c>
      <c r="H270" s="13">
        <f>IF(AND(F270=2,G270=2),"AMBOS",IF(AND(F270=2,G270&lt;2),"solo JP",IF(AND(F270&lt;2,G270=2),"solo Thais","-")))</f>
        <v/>
      </c>
      <c r="I270" s="14" t="n">
        <v>10</v>
      </c>
      <c r="J270" s="15" t="n">
        <v>2.5</v>
      </c>
      <c r="K270" s="13" t="inlineStr">
        <is>
          <t>no</t>
        </is>
      </c>
      <c r="L270" s="16" t="inlineStr">
        <is>
          <t>—</t>
        </is>
      </c>
      <c r="M270" s="11" t="inlineStr">
        <is>
          <t>lunes</t>
        </is>
      </c>
      <c r="N270" s="16" t="inlineStr">
        <is>
          <t>—</t>
        </is>
      </c>
      <c r="O270" s="16" t="inlineStr">
        <is>
          <t>—</t>
        </is>
      </c>
      <c r="P270" s="16" t="inlineStr">
        <is>
          <t>Metro-North a Riverdale + shuttle</t>
        </is>
      </c>
      <c r="Q270" s="16" t="inlineStr">
        <is>
          <t>Jardin botanico sobre un acantilado del Hudson, con los Palisades enfrente. Es el lugar mas tranquilo de los cinco boroughs.</t>
        </is>
      </c>
      <c r="R270" s="16" t="inlineStr">
        <is>
          <t>4900 Independence Ave, Bronx</t>
        </is>
      </c>
      <c r="S270" s="16" t="inlineStr">
        <is>
          <t>—</t>
        </is>
      </c>
      <c r="T270" s="18" t="inlineStr">
        <is>
          <t>Abrir ↗</t>
        </is>
      </c>
      <c r="U270" s="19" t="inlineStr">
        <is>
          <t>lista google</t>
        </is>
      </c>
      <c r="V270" s="20" t="inlineStr"/>
    </row>
    <row r="271" ht="46" customHeight="1">
      <c r="A271" s="9" t="inlineStr">
        <is>
          <t>Elizabeth Street Garden</t>
        </is>
      </c>
      <c r="B271" s="10" t="inlineStr">
        <is>
          <t>Parque de esculturas</t>
        </is>
      </c>
      <c r="C271" s="11" t="inlineStr">
        <is>
          <t>Parque</t>
        </is>
      </c>
      <c r="D271" s="11" t="inlineStr">
        <is>
          <t>Nolita</t>
        </is>
      </c>
      <c r="E271" s="11" t="inlineStr">
        <is>
          <t>Manhattan</t>
        </is>
      </c>
      <c r="F271" s="12" t="n">
        <v>1</v>
      </c>
      <c r="G271" s="12" t="n">
        <v>1</v>
      </c>
      <c r="H271" s="13">
        <f>IF(AND(F271=2,G271=2),"AMBOS",IF(AND(F271=2,G271&lt;2),"solo JP",IF(AND(F271&lt;2,G271=2),"solo Thais","-")))</f>
        <v/>
      </c>
      <c r="I271" s="14" t="n">
        <v>0</v>
      </c>
      <c r="J271" s="15" t="n">
        <v>0.4</v>
      </c>
      <c r="K271" s="13" t="inlineStr">
        <is>
          <t>no</t>
        </is>
      </c>
      <c r="L271" s="16" t="inlineStr">
        <is>
          <t>—</t>
        </is>
      </c>
      <c r="M271" s="11" t="inlineStr">
        <is>
          <t>—</t>
        </is>
      </c>
      <c r="N271" s="16" t="inlineStr">
        <is>
          <t>—</t>
        </is>
      </c>
      <c r="O271" s="16" t="inlineStr">
        <is>
          <t>—</t>
        </is>
      </c>
      <c r="P271" s="16" t="inlineStr">
        <is>
          <t>Spring St (6)</t>
        </is>
      </c>
      <c r="Q271" s="16" t="inlineStr">
        <is>
          <t>Jardin de esculturas metido entre edificios, con estatuas victorianas entre los yuyos. Gratis y lleno de vecinos, no de turistas.</t>
        </is>
      </c>
      <c r="R271" s="16" t="inlineStr">
        <is>
          <t>Elizabeth St entre Prince y Spring</t>
        </is>
      </c>
      <c r="S271" s="16" t="inlineStr">
        <is>
          <t>—</t>
        </is>
      </c>
      <c r="T271" s="18" t="inlineStr">
        <is>
          <t>Abrir ↗</t>
        </is>
      </c>
      <c r="U271" s="21" t="inlineStr">
        <is>
          <t>otros</t>
        </is>
      </c>
      <c r="V271" s="20" t="inlineStr"/>
    </row>
    <row r="272" ht="46" customHeight="1">
      <c r="A272" s="9" t="inlineStr">
        <is>
          <t>Socrates Sculpture Park</t>
        </is>
      </c>
      <c r="B272" s="10" t="inlineStr">
        <is>
          <t>Parque de esculturas</t>
        </is>
      </c>
      <c r="C272" s="11" t="inlineStr">
        <is>
          <t>Parque</t>
        </is>
      </c>
      <c r="D272" s="11" t="inlineStr">
        <is>
          <t>Long Island City</t>
        </is>
      </c>
      <c r="E272" s="11" t="inlineStr">
        <is>
          <t>Queens</t>
        </is>
      </c>
      <c r="F272" s="12" t="n">
        <v>0</v>
      </c>
      <c r="G272" s="12" t="n">
        <v>0</v>
      </c>
      <c r="H272" s="13">
        <f>IF(AND(F272=2,G272=2),"AMBOS",IF(AND(F272=2,G272&lt;2),"solo JP",IF(AND(F272&lt;2,G272=2),"solo Thais","-")))</f>
        <v/>
      </c>
      <c r="I272" s="14" t="n">
        <v>0</v>
      </c>
      <c r="J272" s="15" t="n">
        <v>1</v>
      </c>
      <c r="K272" s="13" t="inlineStr">
        <is>
          <t>no</t>
        </is>
      </c>
      <c r="L272" s="16" t="inlineStr">
        <is>
          <t>—</t>
        </is>
      </c>
      <c r="M272" s="11" t="inlineStr">
        <is>
          <t>—</t>
        </is>
      </c>
      <c r="N272" s="16" t="inlineStr">
        <is>
          <t>—</t>
        </is>
      </c>
      <c r="O272" s="16" t="inlineStr">
        <is>
          <t>—</t>
        </is>
      </c>
      <c r="P272" s="16" t="inlineStr">
        <is>
          <t>Broadway (N,W)</t>
        </is>
      </c>
      <c r="Q272" s="16" t="inlineStr">
        <is>
          <t>Ex basural convertido en parque de esculturas sobre el East River. 'Homecoming' de Chakaia Booker (esculturas de neumaticos) hasta abril 2027. A 5 minutos del Noguchi.</t>
        </is>
      </c>
      <c r="R272" s="16" t="inlineStr">
        <is>
          <t>32-01 Vernon Blvd, LIC</t>
        </is>
      </c>
      <c r="S272" s="16" t="inlineStr">
        <is>
          <t>—</t>
        </is>
      </c>
      <c r="T272" s="18" t="inlineStr">
        <is>
          <t>Abrir ↗</t>
        </is>
      </c>
      <c r="U272" s="21" t="inlineStr">
        <is>
          <t>otros</t>
        </is>
      </c>
      <c r="V272" s="20" t="inlineStr"/>
    </row>
    <row r="273" ht="46" customHeight="1">
      <c r="A273" s="9" t="inlineStr">
        <is>
          <t>Astoria Park</t>
        </is>
      </c>
      <c r="B273" s="10" t="inlineStr">
        <is>
          <t>Parque urbano</t>
        </is>
      </c>
      <c r="C273" s="11" t="inlineStr">
        <is>
          <t>Parque</t>
        </is>
      </c>
      <c r="D273" s="11" t="inlineStr">
        <is>
          <t>Astoria</t>
        </is>
      </c>
      <c r="E273" s="11" t="inlineStr">
        <is>
          <t>Queens</t>
        </is>
      </c>
      <c r="F273" s="12" t="n">
        <v>1</v>
      </c>
      <c r="G273" s="12" t="n">
        <v>1</v>
      </c>
      <c r="H273" s="13">
        <f>IF(AND(F273=2,G273=2),"AMBOS",IF(AND(F273=2,G273&lt;2),"solo JP",IF(AND(F273&lt;2,G273=2),"solo Thais","-")))</f>
        <v/>
      </c>
      <c r="I273" s="14" t="n">
        <v>0</v>
      </c>
      <c r="J273" s="15" t="n">
        <v>1</v>
      </c>
      <c r="K273" s="13" t="inlineStr">
        <is>
          <t>no</t>
        </is>
      </c>
      <c r="L273" s="16" t="inlineStr">
        <is>
          <t>—</t>
        </is>
      </c>
      <c r="M273" s="11" t="inlineStr">
        <is>
          <t>—</t>
        </is>
      </c>
      <c r="N273" s="16" t="inlineStr">
        <is>
          <t>—</t>
        </is>
      </c>
      <c r="O273" s="16" t="inlineStr">
        <is>
          <t>—</t>
        </is>
      </c>
      <c r="P273" s="16" t="inlineStr">
        <is>
          <t>Astoria Blvd (N,W) + caminata</t>
        </is>
      </c>
      <c r="Q273" s="16" t="inlineStr">
        <is>
          <t>Debajo del Hell Gate Bridge, con el Triborough al lado y Manhattan enfrente. Al atardecer es de los mejores lugares de la ciudad y solo hay vecinos corriendo.</t>
        </is>
      </c>
      <c r="R273" s="16" t="inlineStr">
        <is>
          <t>19th St &amp; 23rd Ave, Astoria</t>
        </is>
      </c>
      <c r="S273" s="16" t="inlineStr">
        <is>
          <t>—</t>
        </is>
      </c>
      <c r="T273" s="18" t="inlineStr">
        <is>
          <t>Abrir ↗</t>
        </is>
      </c>
      <c r="U273" s="21" t="inlineStr">
        <is>
          <t>otros</t>
        </is>
      </c>
      <c r="V273" s="20" t="inlineStr"/>
    </row>
    <row r="274" ht="46" customHeight="1">
      <c r="A274" s="9" t="inlineStr">
        <is>
          <t>Battery Park</t>
        </is>
      </c>
      <c r="B274" s="10" t="inlineStr">
        <is>
          <t>Parque urbano</t>
        </is>
      </c>
      <c r="C274" s="11" t="inlineStr">
        <is>
          <t>Parque</t>
        </is>
      </c>
      <c r="D274" s="11" t="inlineStr">
        <is>
          <t>Financial District</t>
        </is>
      </c>
      <c r="E274" s="11" t="inlineStr">
        <is>
          <t>Manhattan</t>
        </is>
      </c>
      <c r="F274" s="12" t="n">
        <v>1</v>
      </c>
      <c r="G274" s="12" t="n">
        <v>1</v>
      </c>
      <c r="H274" s="13">
        <f>IF(AND(F274=2,G274=2),"AMBOS",IF(AND(F274=2,G274&lt;2),"solo JP",IF(AND(F274&lt;2,G274=2),"solo Thais","-")))</f>
        <v/>
      </c>
      <c r="I274" s="14" t="n">
        <v>0</v>
      </c>
      <c r="J274" s="15" t="n">
        <v>0.75</v>
      </c>
      <c r="K274" s="13" t="inlineStr">
        <is>
          <t>SÍ</t>
        </is>
      </c>
      <c r="L274" s="16" t="inlineStr">
        <is>
          <t>—</t>
        </is>
      </c>
      <c r="M274" s="11" t="inlineStr">
        <is>
          <t>—</t>
        </is>
      </c>
      <c r="N274" s="16" t="inlineStr">
        <is>
          <t>—</t>
        </is>
      </c>
      <c r="O274" s="16" t="inlineStr">
        <is>
          <t>—</t>
        </is>
      </c>
      <c r="P274" s="16" t="inlineStr">
        <is>
          <t>Bowling Green (4,5), South Ferry (1)</t>
        </is>
      </c>
      <c r="Q274" s="16" t="inlineStr">
        <is>
          <t>La punta sur de la isla: la bahía, la Estatua a lo lejos y el embarcadero del ferry. Gratis.</t>
        </is>
      </c>
      <c r="R274" s="16" t="inlineStr"/>
      <c r="S274" s="16" t="inlineStr">
        <is>
          <t>—</t>
        </is>
      </c>
      <c r="T274" s="18" t="inlineStr">
        <is>
          <t>Abrir ↗</t>
        </is>
      </c>
      <c r="U274" s="19" t="inlineStr">
        <is>
          <t>lista google</t>
        </is>
      </c>
      <c r="V274" s="20" t="inlineStr"/>
    </row>
    <row r="275" ht="46" customHeight="1">
      <c r="A275" s="9" t="inlineStr">
        <is>
          <t>Brooklyn Bridge Park</t>
        </is>
      </c>
      <c r="B275" s="10" t="inlineStr">
        <is>
          <t>Parque urbano</t>
        </is>
      </c>
      <c r="C275" s="11" t="inlineStr">
        <is>
          <t>Parque</t>
        </is>
      </c>
      <c r="D275" s="11" t="inlineStr">
        <is>
          <t>DUMBO / Brooklyn Heights</t>
        </is>
      </c>
      <c r="E275" s="11" t="inlineStr">
        <is>
          <t>Brooklyn</t>
        </is>
      </c>
      <c r="F275" s="12" t="n">
        <v>2</v>
      </c>
      <c r="G275" s="12" t="n">
        <v>2</v>
      </c>
      <c r="H275" s="13">
        <f>IF(AND(F275=2,G275=2),"AMBOS",IF(AND(F275=2,G275&lt;2),"solo JP",IF(AND(F275&lt;2,G275=2),"solo Thais","-")))</f>
        <v/>
      </c>
      <c r="I275" s="14" t="n">
        <v>0</v>
      </c>
      <c r="J275" s="15" t="n">
        <v>1.5</v>
      </c>
      <c r="K275" s="13" t="inlineStr">
        <is>
          <t>SÍ</t>
        </is>
      </c>
      <c r="L275" s="16" t="inlineStr">
        <is>
          <t>—</t>
        </is>
      </c>
      <c r="M275" s="11" t="inlineStr">
        <is>
          <t>—</t>
        </is>
      </c>
      <c r="N275" s="16" t="inlineStr">
        <is>
          <t>—</t>
        </is>
      </c>
      <c r="O275" s="16" t="inlineStr">
        <is>
          <t>—</t>
        </is>
      </c>
      <c r="P275" s="16" t="inlineStr">
        <is>
          <t>York St (F), High St (A,C)</t>
        </is>
      </c>
      <c r="Q275" s="16" t="inlineStr">
        <is>
          <t>Muelles reconvertidos con el skyline de Lower Manhattan de frente. Woody De Othello, 'Guardian Spirit', en el Pier 1 hasta marzo 2027.</t>
        </is>
      </c>
      <c r="R275" s="16" t="inlineStr">
        <is>
          <t>334 Furman St, Brooklyn</t>
        </is>
      </c>
      <c r="S275" s="17" t="inlineStr">
        <is>
          <t>Día 8 · sáb 5/9</t>
        </is>
      </c>
      <c r="T275" s="18" t="inlineStr">
        <is>
          <t>Abrir ↗</t>
        </is>
      </c>
      <c r="U275" s="21" t="inlineStr">
        <is>
          <t>otros</t>
        </is>
      </c>
      <c r="V275" s="20" t="inlineStr">
        <is>
          <t>SÍ</t>
        </is>
      </c>
    </row>
    <row r="276" ht="46" customHeight="1">
      <c r="A276" s="9" t="inlineStr">
        <is>
          <t>Bryant Park</t>
        </is>
      </c>
      <c r="B276" s="10" t="inlineStr">
        <is>
          <t>Parque urbano</t>
        </is>
      </c>
      <c r="C276" s="11" t="inlineStr">
        <is>
          <t>Parque</t>
        </is>
      </c>
      <c r="D276" s="11" t="inlineStr">
        <is>
          <t>Midtown</t>
        </is>
      </c>
      <c r="E276" s="11" t="inlineStr">
        <is>
          <t>Manhattan</t>
        </is>
      </c>
      <c r="F276" s="12" t="n">
        <v>2</v>
      </c>
      <c r="G276" s="12" t="n">
        <v>0</v>
      </c>
      <c r="H276" s="13">
        <f>IF(AND(F276=2,G276=2),"AMBOS",IF(AND(F276=2,G276&lt;2),"solo JP",IF(AND(F276&lt;2,G276=2),"solo Thais","-")))</f>
        <v/>
      </c>
      <c r="I276" s="14" t="n">
        <v>0</v>
      </c>
      <c r="J276" s="15" t="n">
        <v>0.75</v>
      </c>
      <c r="K276" s="13" t="inlineStr">
        <is>
          <t>SÍ</t>
        </is>
      </c>
      <c r="L276" s="16" t="inlineStr">
        <is>
          <t>—</t>
        </is>
      </c>
      <c r="M276" s="11" t="inlineStr">
        <is>
          <t>—</t>
        </is>
      </c>
      <c r="N276" s="16" t="inlineStr">
        <is>
          <t>—</t>
        </is>
      </c>
      <c r="O276" s="16" t="inlineStr">
        <is>
          <t>—</t>
        </is>
      </c>
      <c r="P276" s="16" t="inlineStr">
        <is>
          <t>5 Av-Bryant Pk (7,B,D,F,M)</t>
        </is>
      </c>
      <c r="Q276" s="16" t="inlineStr">
        <is>
          <t>El patio trasero de la Biblioteca Publica. Picnic Performances gratis toda la temporada: sab 29/8 (Accordion Festival), jue 3 y vie 4/9 (Brass Festival).</t>
        </is>
      </c>
      <c r="R276" s="16" t="inlineStr">
        <is>
          <t>Bryant Park, New York</t>
        </is>
      </c>
      <c r="S276" s="17" t="inlineStr">
        <is>
          <t>Día 3 · lun 31/8</t>
        </is>
      </c>
      <c r="T276" s="18" t="inlineStr">
        <is>
          <t>Abrir ↗</t>
        </is>
      </c>
      <c r="U276" s="21" t="inlineStr">
        <is>
          <t>otros</t>
        </is>
      </c>
      <c r="V276" s="20" t="inlineStr">
        <is>
          <t>SÍ</t>
        </is>
      </c>
    </row>
    <row r="277" ht="46" customHeight="1">
      <c r="A277" s="9" t="inlineStr">
        <is>
          <t>Carl Schurz Park</t>
        </is>
      </c>
      <c r="B277" s="10" t="inlineStr">
        <is>
          <t>Parque urbano</t>
        </is>
      </c>
      <c r="C277" s="11" t="inlineStr">
        <is>
          <t>Parque</t>
        </is>
      </c>
      <c r="D277" s="11" t="inlineStr">
        <is>
          <t>Upper East Side</t>
        </is>
      </c>
      <c r="E277" s="11" t="inlineStr">
        <is>
          <t>Manhattan</t>
        </is>
      </c>
      <c r="F277" s="12" t="n">
        <v>1</v>
      </c>
      <c r="G277" s="12" t="n">
        <v>1</v>
      </c>
      <c r="H277" s="13">
        <f>IF(AND(F277=2,G277=2),"AMBOS",IF(AND(F277=2,G277&lt;2),"solo JP",IF(AND(F277&lt;2,G277=2),"solo Thais","-")))</f>
        <v/>
      </c>
      <c r="I277" s="14" t="n">
        <v>0</v>
      </c>
      <c r="J277" s="15" t="n">
        <v>0.6</v>
      </c>
      <c r="K277" s="13" t="inlineStr">
        <is>
          <t>no</t>
        </is>
      </c>
      <c r="L277" s="16" t="inlineStr">
        <is>
          <t>—</t>
        </is>
      </c>
      <c r="M277" s="11" t="inlineStr">
        <is>
          <t>—</t>
        </is>
      </c>
      <c r="N277" s="16" t="inlineStr">
        <is>
          <t>—</t>
        </is>
      </c>
      <c r="O277" s="16" t="inlineStr">
        <is>
          <t>—</t>
        </is>
      </c>
      <c r="P277" s="16" t="inlineStr">
        <is>
          <t>86 St (4,5,6) + M86 al este</t>
        </is>
      </c>
      <c r="Q277" s="16" t="inlineStr">
        <is>
          <t>Promenade sobre el East River con Gracie Mansion adentro, la casa del intendente. Lo usan los vecinos, no los turistas.</t>
        </is>
      </c>
      <c r="R277" s="16" t="inlineStr">
        <is>
          <t>East End Ave y E 86th St</t>
        </is>
      </c>
      <c r="S277" s="16" t="inlineStr">
        <is>
          <t>—</t>
        </is>
      </c>
      <c r="T277" s="18" t="inlineStr">
        <is>
          <t>Abrir ↗</t>
        </is>
      </c>
      <c r="U277" s="21" t="inlineStr">
        <is>
          <t>otros</t>
        </is>
      </c>
      <c r="V277" s="20" t="inlineStr"/>
    </row>
    <row r="278" ht="46" customHeight="1">
      <c r="A278" s="9" t="inlineStr">
        <is>
          <t>Central Park</t>
        </is>
      </c>
      <c r="B278" s="10" t="inlineStr">
        <is>
          <t>Parque urbano</t>
        </is>
      </c>
      <c r="C278" s="11" t="inlineStr">
        <is>
          <t>Parque</t>
        </is>
      </c>
      <c r="D278" s="11" t="inlineStr">
        <is>
          <t>Central Park</t>
        </is>
      </c>
      <c r="E278" s="11" t="inlineStr">
        <is>
          <t>Manhattan</t>
        </is>
      </c>
      <c r="F278" s="12" t="n">
        <v>2</v>
      </c>
      <c r="G278" s="12" t="n">
        <v>2</v>
      </c>
      <c r="H278" s="13">
        <f>IF(AND(F278=2,G278=2),"AMBOS",IF(AND(F278=2,G278&lt;2),"solo JP",IF(AND(F278&lt;2,G278=2),"solo Thais","-")))</f>
        <v/>
      </c>
      <c r="I278" s="14" t="n">
        <v>0</v>
      </c>
      <c r="J278" s="15" t="n">
        <v>3</v>
      </c>
      <c r="K278" s="13" t="inlineStr">
        <is>
          <t>SÍ</t>
        </is>
      </c>
      <c r="L278" s="16" t="inlineStr">
        <is>
          <t>—</t>
        </is>
      </c>
      <c r="M278" s="11" t="inlineStr">
        <is>
          <t>—</t>
        </is>
      </c>
      <c r="N278" s="16" t="inlineStr">
        <is>
          <t>—</t>
        </is>
      </c>
      <c r="O278" s="16" t="inlineStr">
        <is>
          <t>—</t>
        </is>
      </c>
      <c r="P278" s="16" t="inlineStr">
        <is>
          <t>multiples: 72 St (B,C), 59 St-Columbus Circle, 86 St</t>
        </is>
      </c>
      <c r="Q278" s="16" t="inlineStr">
        <is>
          <t>Bethesda Terrace, el Ramble, Bow Bridge, el Reservoir. La mitad norte (arriba de la 96) esta casi vacia y es la mejor. A dos cuadras del hotel The Beacon.</t>
        </is>
      </c>
      <c r="R278" s="16" t="inlineStr">
        <is>
          <t>Central Park, New York</t>
        </is>
      </c>
      <c r="S278" s="17" t="inlineStr">
        <is>
          <t>Día 9 · dom 6/9</t>
        </is>
      </c>
      <c r="T278" s="18" t="inlineStr">
        <is>
          <t>Abrir ↗</t>
        </is>
      </c>
      <c r="U278" s="21" t="inlineStr">
        <is>
          <t>otros</t>
        </is>
      </c>
      <c r="V278" s="20" t="inlineStr">
        <is>
          <t>SÍ</t>
        </is>
      </c>
    </row>
    <row r="279" ht="46" customHeight="1">
      <c r="A279" s="9" t="inlineStr">
        <is>
          <t>Clinton Community Garden</t>
        </is>
      </c>
      <c r="B279" s="10" t="inlineStr">
        <is>
          <t>Parque urbano</t>
        </is>
      </c>
      <c r="C279" s="11" t="inlineStr">
        <is>
          <t>Parque</t>
        </is>
      </c>
      <c r="D279" s="11" t="inlineStr">
        <is>
          <t>Hell's Kitchen</t>
        </is>
      </c>
      <c r="E279" s="11" t="inlineStr">
        <is>
          <t>Manhattan</t>
        </is>
      </c>
      <c r="F279" s="12" t="n">
        <v>1</v>
      </c>
      <c r="G279" s="12" t="n">
        <v>1</v>
      </c>
      <c r="H279" s="13">
        <f>IF(AND(F279=2,G279=2),"AMBOS",IF(AND(F279=2,G279&lt;2),"solo JP",IF(AND(F279&lt;2,G279=2),"solo Thais","-")))</f>
        <v/>
      </c>
      <c r="I279" s="14" t="n">
        <v>0</v>
      </c>
      <c r="J279" s="15" t="n">
        <v>0.3</v>
      </c>
      <c r="K279" s="13" t="inlineStr">
        <is>
          <t>no</t>
        </is>
      </c>
      <c r="L279" s="16" t="inlineStr">
        <is>
          <t>—</t>
        </is>
      </c>
      <c r="M279" s="11" t="inlineStr">
        <is>
          <t>—</t>
        </is>
      </c>
      <c r="N279" s="16" t="inlineStr">
        <is>
          <t>—</t>
        </is>
      </c>
      <c r="O279" s="16" t="inlineStr">
        <is>
          <t>—</t>
        </is>
      </c>
      <c r="P279" s="16" t="inlineStr">
        <is>
          <t>50 St (C,E)</t>
        </is>
      </c>
      <c r="Q279"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9" s="16" t="inlineStr">
        <is>
          <t>434 W 48th St</t>
        </is>
      </c>
      <c r="S279" s="16" t="inlineStr">
        <is>
          <t>—</t>
        </is>
      </c>
      <c r="T279" s="18" t="inlineStr">
        <is>
          <t>Abrir ↗</t>
        </is>
      </c>
      <c r="U279" s="21" t="inlineStr">
        <is>
          <t>otros</t>
        </is>
      </c>
      <c r="V279" s="20" t="inlineStr"/>
    </row>
    <row r="280" ht="46" customHeight="1">
      <c r="A280" s="9" t="inlineStr">
        <is>
          <t>Columbus Park</t>
        </is>
      </c>
      <c r="B280" s="10" t="inlineStr">
        <is>
          <t>Parque urbano</t>
        </is>
      </c>
      <c r="C280" s="11" t="inlineStr">
        <is>
          <t>Parque</t>
        </is>
      </c>
      <c r="D280" s="11" t="inlineStr">
        <is>
          <t>Chinatown</t>
        </is>
      </c>
      <c r="E280" s="11" t="inlineStr">
        <is>
          <t>Manhattan</t>
        </is>
      </c>
      <c r="F280" s="12" t="n">
        <v>1</v>
      </c>
      <c r="G280" s="12" t="n">
        <v>1</v>
      </c>
      <c r="H280" s="13">
        <f>IF(AND(F280=2,G280=2),"AMBOS",IF(AND(F280=2,G280&lt;2),"solo JP",IF(AND(F280&lt;2,G280=2),"solo Thais","-")))</f>
        <v/>
      </c>
      <c r="I280" s="14" t="n">
        <v>0</v>
      </c>
      <c r="J280" s="15" t="n">
        <v>0.4</v>
      </c>
      <c r="K280" s="13" t="inlineStr">
        <is>
          <t>no</t>
        </is>
      </c>
      <c r="L280" s="16" t="inlineStr">
        <is>
          <t>—</t>
        </is>
      </c>
      <c r="M280" s="11" t="inlineStr">
        <is>
          <t>—</t>
        </is>
      </c>
      <c r="N280" s="16" t="inlineStr">
        <is>
          <t>—</t>
        </is>
      </c>
      <c r="O280" s="16" t="inlineStr">
        <is>
          <t>—</t>
        </is>
      </c>
      <c r="P280" s="16" t="inlineStr">
        <is>
          <t>Canal St (J,N,Q,R,W,6)</t>
        </is>
      </c>
      <c r="Q280" s="16" t="inlineStr">
        <is>
          <t>acá estaba Mulberry Bend, el corazón de Five Points — el peor conventillo de la historia de Nueva York, al que Jacob Riis le dedicó un capítulo entero de *How the Other Half Lives* llamándolo "el núcleo podrido de los suburbios de Nueva York".</t>
        </is>
      </c>
      <c r="R280" s="16" t="inlineStr">
        <is>
          <t>Columbus Park, Baxter St</t>
        </is>
      </c>
      <c r="S280" s="16" t="inlineStr">
        <is>
          <t>—</t>
        </is>
      </c>
      <c r="T280" s="18" t="inlineStr">
        <is>
          <t>Abrir ↗</t>
        </is>
      </c>
      <c r="U280" s="21" t="inlineStr">
        <is>
          <t>otros</t>
        </is>
      </c>
      <c r="V280" s="20" t="inlineStr"/>
    </row>
    <row r="281" ht="46" customHeight="1">
      <c r="A281" s="9" t="inlineStr">
        <is>
          <t>Greenacre Park</t>
        </is>
      </c>
      <c r="B281" s="10" t="inlineStr">
        <is>
          <t>Parque urbano</t>
        </is>
      </c>
      <c r="C281" s="11" t="inlineStr">
        <is>
          <t>Parque</t>
        </is>
      </c>
      <c r="D281" s="11" t="inlineStr">
        <is>
          <t>Midtown East</t>
        </is>
      </c>
      <c r="E281" s="11" t="inlineStr">
        <is>
          <t>Manhattan</t>
        </is>
      </c>
      <c r="F281" s="12" t="n">
        <v>1</v>
      </c>
      <c r="G281" s="12" t="n">
        <v>1</v>
      </c>
      <c r="H281" s="13">
        <f>IF(AND(F281=2,G281=2),"AMBOS",IF(AND(F281=2,G281&lt;2),"solo JP",IF(AND(F281&lt;2,G281=2),"solo Thais","-")))</f>
        <v/>
      </c>
      <c r="I281" s="14" t="n">
        <v>0</v>
      </c>
      <c r="J281" s="15" t="n">
        <v>0.3</v>
      </c>
      <c r="K281" s="13" t="inlineStr">
        <is>
          <t>no</t>
        </is>
      </c>
      <c r="L281" s="16" t="inlineStr">
        <is>
          <t>—</t>
        </is>
      </c>
      <c r="M281" s="11" t="inlineStr">
        <is>
          <t>—</t>
        </is>
      </c>
      <c r="N281" s="16" t="inlineStr">
        <is>
          <t>—</t>
        </is>
      </c>
      <c r="O281" s="16" t="inlineStr">
        <is>
          <t>—</t>
        </is>
      </c>
      <c r="P281" s="16" t="inlineStr">
        <is>
          <t>51 St (6), Lexington Av-53 St (E,M)</t>
        </is>
      </c>
      <c r="Q281" s="16" t="inlineStr">
        <is>
          <t>El hermano escondido de Paley: cascada de 8 metros en un hueco entre edificios. Casi siempre vacio.</t>
        </is>
      </c>
      <c r="R281" s="16" t="inlineStr">
        <is>
          <t>217 E 51st St</t>
        </is>
      </c>
      <c r="S281" s="16" t="inlineStr">
        <is>
          <t>—</t>
        </is>
      </c>
      <c r="T281" s="18" t="inlineStr">
        <is>
          <t>Abrir ↗</t>
        </is>
      </c>
      <c r="U281" s="21" t="inlineStr">
        <is>
          <t>otros</t>
        </is>
      </c>
      <c r="V281" s="20" t="inlineStr"/>
    </row>
    <row r="282" ht="46" customHeight="1">
      <c r="A282" s="9" t="inlineStr">
        <is>
          <t>Hudson River Park Pier 84</t>
        </is>
      </c>
      <c r="B282" s="10" t="inlineStr">
        <is>
          <t>Parque urbano</t>
        </is>
      </c>
      <c r="C282" s="11" t="inlineStr">
        <is>
          <t>Parque</t>
        </is>
      </c>
      <c r="D282" s="11" t="inlineStr">
        <is>
          <t>Hell's Kitchen</t>
        </is>
      </c>
      <c r="E282" s="11" t="inlineStr">
        <is>
          <t>Manhattan</t>
        </is>
      </c>
      <c r="F282" s="12" t="n">
        <v>1</v>
      </c>
      <c r="G282" s="12" t="n">
        <v>1</v>
      </c>
      <c r="H282" s="13">
        <f>IF(AND(F282=2,G282=2),"AMBOS",IF(AND(F282=2,G282&lt;2),"solo JP",IF(AND(F282&lt;2,G282=2),"solo Thais","-")))</f>
        <v/>
      </c>
      <c r="I282" s="14" t="n">
        <v>0</v>
      </c>
      <c r="J282" s="15" t="n">
        <v>0.5</v>
      </c>
      <c r="K282" s="13" t="inlineStr">
        <is>
          <t>no</t>
        </is>
      </c>
      <c r="L282" s="16" t="inlineStr">
        <is>
          <t>—</t>
        </is>
      </c>
      <c r="M282" s="11" t="inlineStr">
        <is>
          <t>—</t>
        </is>
      </c>
      <c r="N282" s="16" t="inlineStr">
        <is>
          <t>—</t>
        </is>
      </c>
      <c r="O282" s="16" t="inlineStr">
        <is>
          <t>—</t>
        </is>
      </c>
      <c r="P282" s="16" t="inlineStr">
        <is>
          <t>42 St-Port Authority (A,C,E)</t>
        </is>
      </c>
      <c r="Q282" s="16" t="inlineStr">
        <is>
          <t>El muelle publico mas grande del rio, con el Intrepid al lado y el atardecer sobre New Jersey de frente.</t>
        </is>
      </c>
      <c r="R282" s="16" t="inlineStr">
        <is>
          <t>W 44th St y 12th Ave</t>
        </is>
      </c>
      <c r="S282" s="16" t="inlineStr">
        <is>
          <t>—</t>
        </is>
      </c>
      <c r="T282" s="18" t="inlineStr">
        <is>
          <t>Abrir ↗</t>
        </is>
      </c>
      <c r="U282" s="21" t="inlineStr">
        <is>
          <t>otros</t>
        </is>
      </c>
      <c r="V282" s="20" t="inlineStr"/>
    </row>
    <row r="283" ht="46" customHeight="1">
      <c r="A283" s="9" t="inlineStr">
        <is>
          <t>Paley Park</t>
        </is>
      </c>
      <c r="B283" s="10" t="inlineStr">
        <is>
          <t>Parque urbano</t>
        </is>
      </c>
      <c r="C283" s="11" t="inlineStr">
        <is>
          <t>Parque</t>
        </is>
      </c>
      <c r="D283" s="11" t="inlineStr">
        <is>
          <t>Midtown</t>
        </is>
      </c>
      <c r="E283" s="11" t="inlineStr">
        <is>
          <t>Manhattan</t>
        </is>
      </c>
      <c r="F283" s="12" t="n">
        <v>1</v>
      </c>
      <c r="G283" s="12" t="n">
        <v>1</v>
      </c>
      <c r="H283" s="13">
        <f>IF(AND(F283=2,G283=2),"AMBOS",IF(AND(F283=2,G283&lt;2),"solo JP",IF(AND(F283&lt;2,G283=2),"solo Thais","-")))</f>
        <v/>
      </c>
      <c r="I283" s="14" t="n">
        <v>0</v>
      </c>
      <c r="J283" s="15" t="n">
        <v>0.3</v>
      </c>
      <c r="K283" s="13" t="inlineStr">
        <is>
          <t>no</t>
        </is>
      </c>
      <c r="L283" s="16" t="inlineStr">
        <is>
          <t>—</t>
        </is>
      </c>
      <c r="M283" s="11" t="inlineStr">
        <is>
          <t>—</t>
        </is>
      </c>
      <c r="N283" s="16" t="inlineStr">
        <is>
          <t>—</t>
        </is>
      </c>
      <c r="O283" s="16" t="inlineStr">
        <is>
          <t>—</t>
        </is>
      </c>
      <c r="P283" s="16" t="inlineStr">
        <is>
          <t>5 Av-53 St (E,M)</t>
        </is>
      </c>
      <c r="Q283" s="16" t="inlineStr">
        <is>
          <t>Pocket park de 1967 con una cascada que tapa el ruido de la calle. El mejor invento urbano de Nueva York y entra en media cuadra.</t>
        </is>
      </c>
      <c r="R283" s="16" t="inlineStr">
        <is>
          <t>3 E 53rd St</t>
        </is>
      </c>
      <c r="S283" s="16" t="inlineStr">
        <is>
          <t>—</t>
        </is>
      </c>
      <c r="T283" s="18" t="inlineStr">
        <is>
          <t>Abrir ↗</t>
        </is>
      </c>
      <c r="U283" s="21" t="inlineStr">
        <is>
          <t>otros</t>
        </is>
      </c>
      <c r="V283" s="20" t="inlineStr"/>
    </row>
    <row r="284" ht="46" customHeight="1">
      <c r="A284" s="9" t="inlineStr">
        <is>
          <t>Prospect Park</t>
        </is>
      </c>
      <c r="B284" s="10" t="inlineStr">
        <is>
          <t>Parque urbano</t>
        </is>
      </c>
      <c r="C284" s="11" t="inlineStr">
        <is>
          <t>Parque</t>
        </is>
      </c>
      <c r="D284" s="11" t="inlineStr">
        <is>
          <t>Park Slope</t>
        </is>
      </c>
      <c r="E284" s="11" t="inlineStr">
        <is>
          <t>Brooklyn</t>
        </is>
      </c>
      <c r="F284" s="12" t="n">
        <v>1</v>
      </c>
      <c r="G284" s="12" t="n">
        <v>1</v>
      </c>
      <c r="H284" s="13">
        <f>IF(AND(F284=2,G284=2),"AMBOS",IF(AND(F284=2,G284&lt;2),"solo JP",IF(AND(F284&lt;2,G284=2),"solo Thais","-")))</f>
        <v/>
      </c>
      <c r="I284" s="14" t="n">
        <v>0</v>
      </c>
      <c r="J284" s="15" t="n">
        <v>1.5</v>
      </c>
      <c r="K284" s="13" t="inlineStr">
        <is>
          <t>no</t>
        </is>
      </c>
      <c r="L284" s="16" t="inlineStr">
        <is>
          <t>—</t>
        </is>
      </c>
      <c r="M284" s="11" t="inlineStr">
        <is>
          <t>—</t>
        </is>
      </c>
      <c r="N284" s="16" t="inlineStr">
        <is>
          <t>—</t>
        </is>
      </c>
      <c r="O284" s="16" t="inlineStr">
        <is>
          <t>—</t>
        </is>
      </c>
      <c r="P284" s="16" t="inlineStr">
        <is>
          <t>Grand Army Plaza (2,3)</t>
        </is>
      </c>
      <c r="Q284" s="16" t="inlineStr">
        <is>
          <t>El parque que Olmsted y Vaux consideraban SU obra maestra, mejor que Central Park: más bosque y menos turistas.</t>
        </is>
      </c>
      <c r="R284" s="16" t="inlineStr"/>
      <c r="S284" s="16" t="inlineStr">
        <is>
          <t>—</t>
        </is>
      </c>
      <c r="T284" s="18" t="inlineStr">
        <is>
          <t>Abrir ↗</t>
        </is>
      </c>
      <c r="U284" s="19" t="inlineStr">
        <is>
          <t>lista google</t>
        </is>
      </c>
      <c r="V284" s="20" t="inlineStr"/>
    </row>
    <row r="285" ht="46" customHeight="1">
      <c r="A285" s="9" t="inlineStr">
        <is>
          <t>Straus Park</t>
        </is>
      </c>
      <c r="B285" s="10" t="inlineStr">
        <is>
          <t>Parque urbano</t>
        </is>
      </c>
      <c r="C285" s="11" t="inlineStr">
        <is>
          <t>Parque</t>
        </is>
      </c>
      <c r="D285" s="11" t="inlineStr">
        <is>
          <t>Upper West Side</t>
        </is>
      </c>
      <c r="E285" s="11" t="inlineStr">
        <is>
          <t>Manhattan</t>
        </is>
      </c>
      <c r="F285" s="12" t="n">
        <v>1</v>
      </c>
      <c r="G285" s="12" t="n">
        <v>1</v>
      </c>
      <c r="H285" s="13">
        <f>IF(AND(F285=2,G285=2),"AMBOS",IF(AND(F285=2,G285&lt;2),"solo JP",IF(AND(F285&lt;2,G285=2),"solo Thais","-")))</f>
        <v/>
      </c>
      <c r="I285" s="14" t="n">
        <v>0</v>
      </c>
      <c r="J285" s="15" t="n">
        <v>0.3</v>
      </c>
      <c r="K285" s="13" t="inlineStr">
        <is>
          <t>no</t>
        </is>
      </c>
      <c r="L285" s="16" t="inlineStr">
        <is>
          <t>—</t>
        </is>
      </c>
      <c r="M285" s="11" t="inlineStr">
        <is>
          <t>—</t>
        </is>
      </c>
      <c r="N285" s="16" t="inlineStr">
        <is>
          <t>—</t>
        </is>
      </c>
      <c r="O285" s="16" t="inlineStr">
        <is>
          <t>—</t>
        </is>
      </c>
      <c r="P285" s="16" t="inlineStr">
        <is>
          <t>103 St (1)</t>
        </is>
      </c>
      <c r="Q285" s="16" t="inlineStr">
        <is>
          <t>Isidor Straus era dueño de Macy's y murió en el Titanic. Su mujer Ida se negó a subir al bote salvavidas y se quedó con él.</t>
        </is>
      </c>
      <c r="R285" s="16" t="inlineStr">
        <is>
          <t>Broadway &amp; W 106th St</t>
        </is>
      </c>
      <c r="S285" s="16" t="inlineStr">
        <is>
          <t>—</t>
        </is>
      </c>
      <c r="T285" s="18" t="inlineStr">
        <is>
          <t>Abrir ↗</t>
        </is>
      </c>
      <c r="U285" s="21" t="inlineStr">
        <is>
          <t>otros</t>
        </is>
      </c>
      <c r="V285" s="20" t="inlineStr"/>
    </row>
    <row r="286" ht="46" customHeight="1">
      <c r="A286" s="9" t="inlineStr">
        <is>
          <t>Tudor City Greens</t>
        </is>
      </c>
      <c r="B286" s="10" t="inlineStr">
        <is>
          <t>Parque urbano</t>
        </is>
      </c>
      <c r="C286" s="11" t="inlineStr">
        <is>
          <t>Parque</t>
        </is>
      </c>
      <c r="D286" s="11" t="inlineStr">
        <is>
          <t>Midtown East</t>
        </is>
      </c>
      <c r="E286" s="11" t="inlineStr">
        <is>
          <t>Manhattan</t>
        </is>
      </c>
      <c r="F286" s="12" t="n">
        <v>1</v>
      </c>
      <c r="G286" s="12" t="n">
        <v>1</v>
      </c>
      <c r="H286" s="13">
        <f>IF(AND(F286=2,G286=2),"AMBOS",IF(AND(F286=2,G286&lt;2),"solo JP",IF(AND(F286&lt;2,G286=2),"solo Thais","-")))</f>
        <v/>
      </c>
      <c r="I286" s="14" t="n">
        <v>0</v>
      </c>
      <c r="J286" s="15" t="n">
        <v>0.3</v>
      </c>
      <c r="K286" s="13" t="inlineStr">
        <is>
          <t>no</t>
        </is>
      </c>
      <c r="L286" s="16" t="inlineStr">
        <is>
          <t>—</t>
        </is>
      </c>
      <c r="M286" s="11" t="inlineStr">
        <is>
          <t>—</t>
        </is>
      </c>
      <c r="N286" s="16" t="inlineStr">
        <is>
          <t>—</t>
        </is>
      </c>
      <c r="O286" s="16" t="inlineStr">
        <is>
          <t>—</t>
        </is>
      </c>
      <c r="P286" s="16" t="inlineStr">
        <is>
          <t>Grand Central-42 St (4,5,6,7,S)</t>
        </is>
      </c>
      <c r="Q286" s="16" t="inlineStr">
        <is>
          <t>dos parques privados abiertos al público arriba de un barranco, con el mirador que da directo sobre la 42 hacia el este — es la postal del puente de la 42 sobre el cañón de la calle.</t>
        </is>
      </c>
      <c r="R286" s="16" t="inlineStr">
        <is>
          <t>Tudor City Pl</t>
        </is>
      </c>
      <c r="S286" s="16" t="inlineStr">
        <is>
          <t>—</t>
        </is>
      </c>
      <c r="T286" s="18" t="inlineStr">
        <is>
          <t>Abrir ↗</t>
        </is>
      </c>
      <c r="U286" s="21" t="inlineStr">
        <is>
          <t>otros</t>
        </is>
      </c>
      <c r="V286" s="20" t="inlineStr"/>
    </row>
    <row r="287" ht="46" customHeight="1">
      <c r="A287" s="9" t="inlineStr">
        <is>
          <t>Washington Square Park</t>
        </is>
      </c>
      <c r="B287" s="10" t="inlineStr">
        <is>
          <t>Parque urbano</t>
        </is>
      </c>
      <c r="C287" s="11" t="inlineStr">
        <is>
          <t>Parque</t>
        </is>
      </c>
      <c r="D287" s="11" t="inlineStr">
        <is>
          <t>Greenwich Village</t>
        </is>
      </c>
      <c r="E287" s="11" t="inlineStr">
        <is>
          <t>Manhattan</t>
        </is>
      </c>
      <c r="F287" s="12" t="n">
        <v>2</v>
      </c>
      <c r="G287" s="12" t="n">
        <v>0</v>
      </c>
      <c r="H287" s="13">
        <f>IF(AND(F287=2,G287=2),"AMBOS",IF(AND(F287=2,G287&lt;2),"solo JP",IF(AND(F287&lt;2,G287=2),"solo Thais","-")))</f>
        <v/>
      </c>
      <c r="I287" s="14" t="n">
        <v>0</v>
      </c>
      <c r="J287" s="15" t="n">
        <v>0.75</v>
      </c>
      <c r="K287" s="13" t="inlineStr">
        <is>
          <t>SÍ</t>
        </is>
      </c>
      <c r="L287" s="16" t="inlineStr">
        <is>
          <t>—</t>
        </is>
      </c>
      <c r="M287" s="11" t="inlineStr">
        <is>
          <t>—</t>
        </is>
      </c>
      <c r="N287" s="16" t="inlineStr">
        <is>
          <t>—</t>
        </is>
      </c>
      <c r="O287" s="16" t="inlineStr">
        <is>
          <t>—</t>
        </is>
      </c>
      <c r="P287" s="16" t="inlineStr">
        <is>
          <t>W 4 St (A,B,C,D,E,F,M), 8 St-NYU (R,W)</t>
        </is>
      </c>
      <c r="Q287" s="16" t="inlineStr">
        <is>
          <t>El arco, el piano ambulante, los ajedrecistas y NYU alrededor. Es el mejor lugar de la ciudad para sentarse una hora a mirar gente.</t>
        </is>
      </c>
      <c r="R287" s="16" t="inlineStr">
        <is>
          <t>Washington Square Park</t>
        </is>
      </c>
      <c r="S287" s="17" t="inlineStr">
        <is>
          <t>Día 4 · mar 1/9</t>
        </is>
      </c>
      <c r="T287" s="18" t="inlineStr">
        <is>
          <t>Abrir ↗</t>
        </is>
      </c>
      <c r="U287" s="19" t="inlineStr">
        <is>
          <t>lista google</t>
        </is>
      </c>
      <c r="V287" s="20" t="inlineStr"/>
    </row>
    <row r="288" ht="46" customHeight="1">
      <c r="A288" s="9" t="inlineStr">
        <is>
          <t>The High Line</t>
        </is>
      </c>
      <c r="B288" s="10" t="inlineStr">
        <is>
          <t>Paseo elevado</t>
        </is>
      </c>
      <c r="C288" s="11" t="inlineStr">
        <is>
          <t>Parque</t>
        </is>
      </c>
      <c r="D288" s="11" t="inlineStr">
        <is>
          <t>Chelsea / Meatpacking</t>
        </is>
      </c>
      <c r="E288" s="11" t="inlineStr">
        <is>
          <t>Manhattan</t>
        </is>
      </c>
      <c r="F288" s="12" t="n">
        <v>2</v>
      </c>
      <c r="G288" s="12" t="n">
        <v>2</v>
      </c>
      <c r="H288" s="13">
        <f>IF(AND(F288=2,G288=2),"AMBOS",IF(AND(F288=2,G288&lt;2),"solo JP",IF(AND(F288&lt;2,G288=2),"solo Thais","-")))</f>
        <v/>
      </c>
      <c r="I288" s="14" t="n">
        <v>0</v>
      </c>
      <c r="J288" s="15" t="n">
        <v>1.5</v>
      </c>
      <c r="K288" s="13" t="inlineStr">
        <is>
          <t>SÍ</t>
        </is>
      </c>
      <c r="L288" s="16" t="inlineStr">
        <is>
          <t>—</t>
        </is>
      </c>
      <c r="M288" s="11" t="inlineStr">
        <is>
          <t>—</t>
        </is>
      </c>
      <c r="N288" s="16" t="inlineStr">
        <is>
          <t>—</t>
        </is>
      </c>
      <c r="O288" s="16" t="inlineStr">
        <is>
          <t>—</t>
        </is>
      </c>
      <c r="P288" s="16" t="inlineStr">
        <is>
          <t>14 St (A,C,E), 34 St-Hudson Yards (7)</t>
        </is>
      </c>
      <c r="Q288" s="16" t="inlineStr">
        <is>
          <t>Via ferroviaria elevada convertida en parque lineal de 2,3 km. Recorrer de sur a norte por la luz. Incluye 'The Light That Shines Through the Universe' de Tuan Andrew Nguyen, un Buda de arenisca de 9 metros.</t>
        </is>
      </c>
      <c r="R288" s="16" t="inlineStr">
        <is>
          <t>High Line, Gansevoort St a W 34th St</t>
        </is>
      </c>
      <c r="S288" s="17" t="inlineStr">
        <is>
          <t>Día 7 · vie 4/9</t>
        </is>
      </c>
      <c r="T288" s="18" t="inlineStr">
        <is>
          <t>Abrir ↗</t>
        </is>
      </c>
      <c r="U288" s="19" t="inlineStr">
        <is>
          <t>lista google</t>
        </is>
      </c>
      <c r="V288" s="20" t="inlineStr">
        <is>
          <t>SÍ</t>
        </is>
      </c>
    </row>
    <row r="289" ht="46" customHeight="1">
      <c r="A289" s="23" t="inlineStr">
        <is>
          <t>US Open (primeras rondas)</t>
        </is>
      </c>
      <c r="B289" s="24" t="inlineStr">
        <is>
          <t>Deporte</t>
        </is>
      </c>
      <c r="C289" s="25" t="inlineStr">
        <is>
          <t>Evento</t>
        </is>
      </c>
      <c r="D289" s="25" t="inlineStr">
        <is>
          <t>Flushing Meadows</t>
        </is>
      </c>
      <c r="E289" s="25" t="inlineStr">
        <is>
          <t>Queens</t>
        </is>
      </c>
      <c r="F289" s="12" t="n">
        <v>0</v>
      </c>
      <c r="G289" s="12" t="n">
        <v>0</v>
      </c>
      <c r="H289" s="26">
        <f>IF(AND(F289=2,G289=2),"AMBOS",IF(AND(F289=2,G289&lt;2),"solo JP",IF(AND(F289&lt;2,G289=2),"solo Thais","-")))</f>
        <v/>
      </c>
      <c r="I289" s="27" t="n">
        <v>80</v>
      </c>
      <c r="J289" s="28" t="n">
        <v>7</v>
      </c>
      <c r="K289" s="26" t="inlineStr">
        <is>
          <t>no</t>
        </is>
      </c>
      <c r="L289" s="29" t="inlineStr">
        <is>
          <t>—</t>
        </is>
      </c>
      <c r="M289" s="25" t="inlineStr">
        <is>
          <t>—</t>
        </is>
      </c>
      <c r="N289" s="29" t="inlineStr">
        <is>
          <t>—</t>
        </is>
      </c>
      <c r="O289" s="29" t="inlineStr">
        <is>
          <t>Ticketmaster</t>
        </is>
      </c>
      <c r="P289" s="29" t="inlineStr">
        <is>
          <t>Mets-Willets Point (7)</t>
        </is>
      </c>
      <c r="Q289" s="29" t="inlineStr">
        <is>
          <t>Cuadro principal del 30 de agosto al 13 de septiembre. Las primeras rondas (30 ago - 2 sep) son cuando mas partidos simultaneos hay y el grounds pass rinde mas: se ve a metros en las canchas exteriores. Se come un dia entero.</t>
        </is>
      </c>
      <c r="R289" s="29" t="inlineStr">
        <is>
          <t>USTA Billie Jean King NTC, Flushing</t>
        </is>
      </c>
      <c r="S289" s="29" t="inlineStr">
        <is>
          <t>—</t>
        </is>
      </c>
      <c r="T289" s="30" t="inlineStr">
        <is>
          <t>Abrir ↗</t>
        </is>
      </c>
      <c r="U289" s="31" t="inlineStr">
        <is>
          <t>otros</t>
        </is>
      </c>
      <c r="V289" s="20" t="inlineStr"/>
    </row>
    <row r="290" ht="46" customHeight="1">
      <c r="A290" s="23" t="inlineStr">
        <is>
          <t>Charlie Parker Jazz Festival - East Village</t>
        </is>
      </c>
      <c r="B290" s="24" t="inlineStr">
        <is>
          <t>Festival gratis</t>
        </is>
      </c>
      <c r="C290" s="25" t="inlineStr">
        <is>
          <t>Evento</t>
        </is>
      </c>
      <c r="D290" s="25" t="inlineStr">
        <is>
          <t>East Village</t>
        </is>
      </c>
      <c r="E290" s="25" t="inlineStr">
        <is>
          <t>Manhattan</t>
        </is>
      </c>
      <c r="F290" s="12" t="n">
        <v>0</v>
      </c>
      <c r="G290" s="12" t="n">
        <v>0</v>
      </c>
      <c r="H290" s="26">
        <f>IF(AND(F290=2,G290=2),"AMBOS",IF(AND(F290=2,G290&lt;2),"solo JP",IF(AND(F290&lt;2,G290=2),"solo Thais","-")))</f>
        <v/>
      </c>
      <c r="I290" s="27" t="n">
        <v>0</v>
      </c>
      <c r="J290" s="28" t="n">
        <v>4</v>
      </c>
      <c r="K290" s="26" t="inlineStr">
        <is>
          <t>no</t>
        </is>
      </c>
      <c r="L290" s="29" t="inlineStr">
        <is>
          <t>—</t>
        </is>
      </c>
      <c r="M290" s="25" t="inlineStr">
        <is>
          <t>—</t>
        </is>
      </c>
      <c r="N290" s="29" t="inlineStr">
        <is>
          <t>—</t>
        </is>
      </c>
      <c r="O290" s="29" t="inlineStr">
        <is>
          <t>—</t>
        </is>
      </c>
      <c r="P290" s="29" t="inlineStr">
        <is>
          <t>1 Av (L), Astor Pl (6)</t>
        </is>
      </c>
      <c r="Q290" s="29" t="inlineStr">
        <is>
          <t>DOMINGO 30 DE AGOSTO, 15-19h. Ravi Coltrane (headliner), Billy Hart Quartet, Kassa Overall, Vanisha Gould. Segundo dia del festival, en el East Village.</t>
        </is>
      </c>
      <c r="R290" s="29" t="inlineStr">
        <is>
          <t>Tompkins Square Park</t>
        </is>
      </c>
      <c r="S290" s="29" t="inlineStr">
        <is>
          <t>—</t>
        </is>
      </c>
      <c r="T290" s="30" t="inlineStr">
        <is>
          <t>Abrir ↗</t>
        </is>
      </c>
      <c r="U290" s="31" t="inlineStr">
        <is>
          <t>otros</t>
        </is>
      </c>
      <c r="V290" s="20" t="inlineStr"/>
    </row>
    <row r="291" ht="46" customHeight="1">
      <c r="A291" s="23" t="inlineStr">
        <is>
          <t>Charlie Parker Jazz Festival - Harlem</t>
        </is>
      </c>
      <c r="B291" s="24" t="inlineStr">
        <is>
          <t>Festival gratis</t>
        </is>
      </c>
      <c r="C291" s="25" t="inlineStr">
        <is>
          <t>Evento</t>
        </is>
      </c>
      <c r="D291" s="25" t="inlineStr">
        <is>
          <t>Harlem</t>
        </is>
      </c>
      <c r="E291" s="25" t="inlineStr">
        <is>
          <t>Manhattan</t>
        </is>
      </c>
      <c r="F291" s="12" t="n">
        <v>2</v>
      </c>
      <c r="G291" s="12" t="n">
        <v>2</v>
      </c>
      <c r="H291" s="26">
        <f>IF(AND(F291=2,G291=2),"AMBOS",IF(AND(F291=2,G291&lt;2),"solo JP",IF(AND(F291&lt;2,G291=2),"solo Thais","-")))</f>
        <v/>
      </c>
      <c r="I291" s="27" t="n">
        <v>0</v>
      </c>
      <c r="J291" s="28" t="n">
        <v>4</v>
      </c>
      <c r="K291" s="26" t="inlineStr">
        <is>
          <t>no</t>
        </is>
      </c>
      <c r="L291" s="29" t="inlineStr">
        <is>
          <t>—</t>
        </is>
      </c>
      <c r="M291" s="25" t="inlineStr">
        <is>
          <t>—</t>
        </is>
      </c>
      <c r="N291" s="29" t="inlineStr">
        <is>
          <t>—</t>
        </is>
      </c>
      <c r="O291" s="29" t="inlineStr">
        <is>
          <t>—</t>
        </is>
      </c>
      <c r="P291" s="29" t="inlineStr">
        <is>
          <t>125 St (2,3)</t>
        </is>
      </c>
      <c r="Q291" s="29" t="inlineStr">
        <is>
          <t>SABADO 29 DE AGOSTO, 14-19h. Joshua Redman (headliner), Nat Adderley Jr., Catherine Russell, Nicole Glover. Gratis, al aire libre, con el mismo nivel artistico que se paga $60-80 en un club. Llevar manta y llegar 1-2 h antes del headliner.</t>
        </is>
      </c>
      <c r="R291" s="29" t="inlineStr">
        <is>
          <t>Marcus Garvey Park, Harlem</t>
        </is>
      </c>
      <c r="S291" s="17" t="inlineStr">
        <is>
          <t>Día 1 · sáb 29/8</t>
        </is>
      </c>
      <c r="T291" s="30" t="inlineStr">
        <is>
          <t>Abrir ↗</t>
        </is>
      </c>
      <c r="U291" s="31" t="inlineStr">
        <is>
          <t>otros</t>
        </is>
      </c>
      <c r="V291" s="20" t="inlineStr">
        <is>
          <t>SÍ</t>
        </is>
      </c>
    </row>
    <row r="292" ht="46" customHeight="1">
      <c r="A292" s="23" t="inlineStr">
        <is>
          <t>SummerStage: Christian McBride (gratis)</t>
        </is>
      </c>
      <c r="B292" s="24" t="inlineStr">
        <is>
          <t>Festival gratis</t>
        </is>
      </c>
      <c r="C292" s="25" t="inlineStr">
        <is>
          <t>Evento</t>
        </is>
      </c>
      <c r="D292" s="25" t="inlineStr">
        <is>
          <t>Central Park</t>
        </is>
      </c>
      <c r="E292" s="25" t="inlineStr">
        <is>
          <t>Manhattan</t>
        </is>
      </c>
      <c r="F292" s="12" t="n">
        <v>2</v>
      </c>
      <c r="G292" s="12" t="n">
        <v>0</v>
      </c>
      <c r="H292" s="26">
        <f>IF(AND(F292=2,G292=2),"AMBOS",IF(AND(F292=2,G292&lt;2),"solo JP",IF(AND(F292&lt;2,G292=2),"solo Thais","-")))</f>
        <v/>
      </c>
      <c r="I292" s="27" t="n">
        <v>0</v>
      </c>
      <c r="J292" s="28" t="n">
        <v>3</v>
      </c>
      <c r="K292" s="26" t="inlineStr">
        <is>
          <t>no</t>
        </is>
      </c>
      <c r="L292" s="29" t="inlineStr">
        <is>
          <t>—</t>
        </is>
      </c>
      <c r="M292" s="25" t="inlineStr">
        <is>
          <t>—</t>
        </is>
      </c>
      <c r="N292" s="29" t="inlineStr">
        <is>
          <t>—</t>
        </is>
      </c>
      <c r="O292" s="29" t="inlineStr">
        <is>
          <t>—</t>
        </is>
      </c>
      <c r="P292" s="29" t="inlineStr">
        <is>
          <t>72 St (B,C)</t>
        </is>
      </c>
      <c r="Q292" s="29" t="inlineStr">
        <is>
          <t>MIERCOLES 2 DE SEPTIEMBRE. Christian McBride + SAMARA JOY (Verve 70 aniversario) + Mei Semones &amp; Friends tocando Getz/Gilberto. Puertas 18:00, show 19:00-22:00. Gratis, sin ticket, por orden de llegada: con ese cartel hay que llegar bastante antes de las 18:00.</t>
        </is>
      </c>
      <c r="R292" s="29" t="inlineStr">
        <is>
          <t>Rumsey Playfield, Central Park</t>
        </is>
      </c>
      <c r="S292" s="17" t="inlineStr">
        <is>
          <t>Día 5 · mié 2/9</t>
        </is>
      </c>
      <c r="T292" s="30" t="inlineStr">
        <is>
          <t>Abrir ↗</t>
        </is>
      </c>
      <c r="U292" s="31" t="inlineStr">
        <is>
          <t>otros</t>
        </is>
      </c>
      <c r="V292" s="20" t="inlineStr">
        <is>
          <t>SÍ</t>
        </is>
      </c>
    </row>
    <row r="293" ht="46" customHeight="1">
      <c r="A293" s="23" t="inlineStr">
        <is>
          <t>NY Caribbean Carnival Week (Panorama)</t>
        </is>
      </c>
      <c r="B293" s="24" t="inlineStr">
        <is>
          <t>Festival pago</t>
        </is>
      </c>
      <c r="C293" s="25" t="inlineStr">
        <is>
          <t>Evento</t>
        </is>
      </c>
      <c r="D293" s="25" t="inlineStr">
        <is>
          <t>Prospect Heights</t>
        </is>
      </c>
      <c r="E293" s="25" t="inlineStr">
        <is>
          <t>Brooklyn</t>
        </is>
      </c>
      <c r="F293" s="12" t="n">
        <v>1</v>
      </c>
      <c r="G293" s="12" t="n">
        <v>1</v>
      </c>
      <c r="H293" s="26">
        <f>IF(AND(F293=2,G293=2),"AMBOS",IF(AND(F293=2,G293&lt;2),"solo JP",IF(AND(F293&lt;2,G293=2),"solo Thais","-")))</f>
        <v/>
      </c>
      <c r="I293" s="27" t="n">
        <v>30</v>
      </c>
      <c r="J293" s="28" t="n">
        <v>4</v>
      </c>
      <c r="K293" s="26" t="inlineStr">
        <is>
          <t>no</t>
        </is>
      </c>
      <c r="L293" s="29" t="inlineStr">
        <is>
          <t>—</t>
        </is>
      </c>
      <c r="M293" s="25" t="inlineStr">
        <is>
          <t>—</t>
        </is>
      </c>
      <c r="N293" s="29" t="inlineStr">
        <is>
          <t>—</t>
        </is>
      </c>
      <c r="O293" s="29" t="inlineStr">
        <is>
          <t>—</t>
        </is>
      </c>
      <c r="P293" s="29" t="inlineStr">
        <is>
          <t>Eastern Pkwy-Brooklyn Museum (2,3)</t>
        </is>
      </c>
      <c r="Q293" s="29" t="inlineStr">
        <is>
          <t>Del 3 al 7 de septiembre en el Brooklyn Museum: Blocko Mania (jue 3), Soca Fest (vie 4), Junior Carnival y Panorama (sab 5 / dom 6). El Panorama es la competencia de steel pan mas grande de Norteamerica. Fechas de fuente secundaria: VERIFICAR.</t>
        </is>
      </c>
      <c r="R293" s="29" t="inlineStr">
        <is>
          <t>Brooklyn Museum, 200 Eastern Pkwy</t>
        </is>
      </c>
      <c r="S293" s="29" t="inlineStr">
        <is>
          <t>—</t>
        </is>
      </c>
      <c r="T293" s="30" t="inlineStr">
        <is>
          <t>Abrir ↗</t>
        </is>
      </c>
      <c r="U293" s="31" t="inlineStr">
        <is>
          <t>otros</t>
        </is>
      </c>
      <c r="V293" s="20" t="inlineStr"/>
    </row>
    <row r="294" ht="46" customHeight="1">
      <c r="A294" s="23" t="inlineStr">
        <is>
          <t>Paint 'N Pour</t>
        </is>
      </c>
      <c r="B294" s="24" t="inlineStr">
        <is>
          <t>Taller y experiencia</t>
        </is>
      </c>
      <c r="C294" s="25" t="inlineStr">
        <is>
          <t>Evento</t>
        </is>
      </c>
      <c r="D294" s="25" t="inlineStr">
        <is>
          <t>Manhattan</t>
        </is>
      </c>
      <c r="E294" s="25" t="inlineStr">
        <is>
          <t>Manhattan</t>
        </is>
      </c>
      <c r="F294" s="12" t="n">
        <v>1</v>
      </c>
      <c r="G294" s="12" t="n">
        <v>1</v>
      </c>
      <c r="H294" s="26">
        <f>IF(AND(F294=2,G294=2),"AMBOS",IF(AND(F294=2,G294&lt;2),"solo JP",IF(AND(F294&lt;2,G294=2),"solo Thais","-")))</f>
        <v/>
      </c>
      <c r="I294" s="27" t="n">
        <v>45</v>
      </c>
      <c r="J294" s="28" t="n">
        <v>2</v>
      </c>
      <c r="K294" s="26" t="inlineStr">
        <is>
          <t>no</t>
        </is>
      </c>
      <c r="L294" s="29" t="inlineStr">
        <is>
          <t>—</t>
        </is>
      </c>
      <c r="M294" s="25" t="inlineStr">
        <is>
          <t>—</t>
        </is>
      </c>
      <c r="N294" s="29" t="inlineStr">
        <is>
          <t>—</t>
        </is>
      </c>
      <c r="O294" s="29" t="inlineStr">
        <is>
          <t>—</t>
        </is>
      </c>
      <c r="P294" s="29" t="inlineStr">
        <is>
          <t>-</t>
        </is>
      </c>
      <c r="Q294" s="29" t="inlineStr">
        <is>
          <t>Taller de pintura con copa de vino. Se reserva por sesión.</t>
        </is>
      </c>
      <c r="R294" s="29" t="inlineStr"/>
      <c r="S294" s="29" t="inlineStr">
        <is>
          <t>—</t>
        </is>
      </c>
      <c r="T294" s="30" t="inlineStr">
        <is>
          <t>Abrir ↗</t>
        </is>
      </c>
      <c r="U294" s="32" t="inlineStr">
        <is>
          <t>lista google</t>
        </is>
      </c>
      <c r="V294" s="20" t="inlineStr"/>
    </row>
    <row r="295" ht="46" customHeight="1">
      <c r="A295" s="23" t="inlineStr">
        <is>
          <t>Time To Paint - Painting Studio</t>
        </is>
      </c>
      <c r="B295" s="24" t="inlineStr">
        <is>
          <t>Taller y experiencia</t>
        </is>
      </c>
      <c r="C295" s="25" t="inlineStr">
        <is>
          <t>Evento</t>
        </is>
      </c>
      <c r="D295" s="25" t="inlineStr">
        <is>
          <t>Manhattan</t>
        </is>
      </c>
      <c r="E295" s="25" t="inlineStr">
        <is>
          <t>Manhattan</t>
        </is>
      </c>
      <c r="F295" s="12" t="n">
        <v>1</v>
      </c>
      <c r="G295" s="12" t="n">
        <v>1</v>
      </c>
      <c r="H295" s="26">
        <f>IF(AND(F295=2,G295=2),"AMBOS",IF(AND(F295=2,G295&lt;2),"solo JP",IF(AND(F295&lt;2,G295=2),"solo Thais","-")))</f>
        <v/>
      </c>
      <c r="I295" s="27" t="n">
        <v>45</v>
      </c>
      <c r="J295" s="28" t="n">
        <v>2</v>
      </c>
      <c r="K295" s="26" t="inlineStr">
        <is>
          <t>no</t>
        </is>
      </c>
      <c r="L295" s="29" t="inlineStr">
        <is>
          <t>—</t>
        </is>
      </c>
      <c r="M295" s="25" t="inlineStr">
        <is>
          <t>—</t>
        </is>
      </c>
      <c r="N295" s="29" t="inlineStr">
        <is>
          <t>—</t>
        </is>
      </c>
      <c r="O295" s="29" t="inlineStr">
        <is>
          <t>—</t>
        </is>
      </c>
      <c r="P295" s="29" t="inlineStr">
        <is>
          <t>-</t>
        </is>
      </c>
      <c r="Q295" s="29" t="inlineStr">
        <is>
          <t>Estudio para pintar por sesión, mismo formato que Paint 'N Pour.</t>
        </is>
      </c>
      <c r="R295" s="29" t="inlineStr"/>
      <c r="S295" s="29" t="inlineStr">
        <is>
          <t>—</t>
        </is>
      </c>
      <c r="T295" s="30" t="inlineStr">
        <is>
          <t>Abrir ↗</t>
        </is>
      </c>
      <c r="U295" s="32" t="inlineStr">
        <is>
          <t>lista google</t>
        </is>
      </c>
      <c r="V295" s="20" t="inlineStr"/>
    </row>
    <row r="296" ht="46" customHeight="1">
      <c r="A296" s="23" t="inlineStr">
        <is>
          <t>Green-Wood Discover Trolley Tour</t>
        </is>
      </c>
      <c r="B296" s="24" t="inlineStr">
        <is>
          <t>Tour guiado</t>
        </is>
      </c>
      <c r="C296" s="25" t="inlineStr">
        <is>
          <t>Evento</t>
        </is>
      </c>
      <c r="D296" s="25" t="inlineStr">
        <is>
          <t>Greenwood Heights</t>
        </is>
      </c>
      <c r="E296" s="25" t="inlineStr">
        <is>
          <t>Brooklyn</t>
        </is>
      </c>
      <c r="F296" s="12" t="n">
        <v>0</v>
      </c>
      <c r="G296" s="12" t="n">
        <v>0</v>
      </c>
      <c r="H296" s="26">
        <f>IF(AND(F296=2,G296=2),"AMBOS",IF(AND(F296=2,G296&lt;2),"solo JP",IF(AND(F296&lt;2,G296=2),"solo Thais","-")))</f>
        <v/>
      </c>
      <c r="I296" s="27" t="n">
        <v>25</v>
      </c>
      <c r="J296" s="28" t="n">
        <v>2</v>
      </c>
      <c r="K296" s="26" t="inlineStr">
        <is>
          <t>no</t>
        </is>
      </c>
      <c r="L296" s="29" t="inlineStr">
        <is>
          <t>—</t>
        </is>
      </c>
      <c r="M296" s="25" t="inlineStr">
        <is>
          <t>—</t>
        </is>
      </c>
      <c r="N296" s="29" t="inlineStr">
        <is>
          <t>—</t>
        </is>
      </c>
      <c r="O296" s="29" t="inlineStr">
        <is>
          <t>reservar</t>
        </is>
      </c>
      <c r="P296" s="29" t="inlineStr">
        <is>
          <t>25 St (R)</t>
        </is>
      </c>
      <c r="Q296" s="29" t="inlineStr">
        <is>
          <t>SABADO 29 DE AGOSTO y SABADO 5 DE SEPTIEMBRE, 13-15h. Recorrido en trolley por las 190 hectareas con guia. Es la forma de ver el cementerio entero sin caminar seis horas.</t>
        </is>
      </c>
      <c r="R296" s="29" t="inlineStr">
        <is>
          <t>500 25th St, Brooklyn</t>
        </is>
      </c>
      <c r="S296" s="29" t="inlineStr">
        <is>
          <t>—</t>
        </is>
      </c>
      <c r="T296" s="30" t="inlineStr">
        <is>
          <t>Abrir ↗</t>
        </is>
      </c>
      <c r="U296" s="31" t="inlineStr">
        <is>
          <t>otros</t>
        </is>
      </c>
      <c r="V296" s="20" t="inlineStr"/>
    </row>
    <row r="297" ht="46" customHeight="1">
      <c r="A297" s="23" t="inlineStr">
        <is>
          <t>Hamilton</t>
        </is>
      </c>
      <c r="B297" s="24" t="inlineStr">
        <is>
          <t>Musical de Broadway</t>
        </is>
      </c>
      <c r="C297" s="25" t="inlineStr">
        <is>
          <t>Teatro</t>
        </is>
      </c>
      <c r="D297" s="25" t="inlineStr">
        <is>
          <t>Theater District</t>
        </is>
      </c>
      <c r="E297" s="25" t="inlineStr">
        <is>
          <t>Manhattan</t>
        </is>
      </c>
      <c r="F297" s="12" t="n">
        <v>0</v>
      </c>
      <c r="G297" s="12" t="n">
        <v>0</v>
      </c>
      <c r="H297" s="26">
        <f>IF(AND(F297=2,G297=2),"AMBOS",IF(AND(F297=2,G297&lt;2),"solo JP",IF(AND(F297&lt;2,G297=2),"solo Thais","-")))</f>
        <v/>
      </c>
      <c r="I297" s="27" t="n">
        <v>112</v>
      </c>
      <c r="J297" s="28" t="n">
        <v>3</v>
      </c>
      <c r="K297" s="26" t="inlineStr">
        <is>
          <t>SÍ</t>
        </is>
      </c>
      <c r="L297" s="29" t="inlineStr">
        <is>
          <t>—</t>
        </is>
      </c>
      <c r="M297" s="25" t="inlineStr">
        <is>
          <t>—</t>
        </is>
      </c>
      <c r="N297" s="29" t="inlineStr">
        <is>
          <t>—</t>
        </is>
      </c>
      <c r="O297" s="29" t="inlineStr">
        <is>
          <t>—</t>
        </is>
      </c>
      <c r="P297" s="29" t="inlineStr">
        <is>
          <t>50 St (1), 49 St (N,R,W)</t>
        </is>
      </c>
      <c r="Q297" s="29" t="inlineStr">
        <is>
          <t>Sigue siendo el show mas dificil de conseguir barato, pero la loteria de $10 es gratis de intentar y asigna butacas de primera fila. Anotarse todos los dias desde ya.</t>
        </is>
      </c>
      <c r="R297" s="29" t="inlineStr">
        <is>
          <t>Richard Rodgers Theatre, 226 W 46th St</t>
        </is>
      </c>
      <c r="S297" s="29" t="inlineStr">
        <is>
          <t>—</t>
        </is>
      </c>
      <c r="T297" s="30" t="inlineStr">
        <is>
          <t>Abrir ↗</t>
        </is>
      </c>
      <c r="U297" s="31" t="inlineStr">
        <is>
          <t>otros</t>
        </is>
      </c>
      <c r="V297" s="20" t="inlineStr"/>
    </row>
    <row r="298" ht="46" customHeight="1">
      <c r="A298" s="23" t="inlineStr">
        <is>
          <t>Maybe Happy Ending</t>
        </is>
      </c>
      <c r="B298" s="24" t="inlineStr">
        <is>
          <t>Musical de Broadway</t>
        </is>
      </c>
      <c r="C298" s="25" t="inlineStr">
        <is>
          <t>Teatro</t>
        </is>
      </c>
      <c r="D298" s="25" t="inlineStr">
        <is>
          <t>Theater District</t>
        </is>
      </c>
      <c r="E298" s="25" t="inlineStr">
        <is>
          <t>Manhattan</t>
        </is>
      </c>
      <c r="F298" s="12" t="n">
        <v>0</v>
      </c>
      <c r="G298" s="12" t="n">
        <v>0</v>
      </c>
      <c r="H298" s="26">
        <f>IF(AND(F298=2,G298=2),"AMBOS",IF(AND(F298=2,G298&lt;2),"solo JP",IF(AND(F298&lt;2,G298=2),"solo Thais","-")))</f>
        <v/>
      </c>
      <c r="I298" s="27" t="n">
        <v>59</v>
      </c>
      <c r="J298" s="28" t="n">
        <v>2.5</v>
      </c>
      <c r="K298" s="26" t="inlineStr">
        <is>
          <t>no</t>
        </is>
      </c>
      <c r="L298" s="29" t="inlineStr">
        <is>
          <t>—</t>
        </is>
      </c>
      <c r="M298" s="25" t="inlineStr">
        <is>
          <t>—</t>
        </is>
      </c>
      <c r="N298" s="29" t="inlineStr">
        <is>
          <t>—</t>
        </is>
      </c>
      <c r="O298" s="29" t="inlineStr">
        <is>
          <t>—</t>
        </is>
      </c>
      <c r="P298" s="29" t="inlineStr">
        <is>
          <t>49 St (N,R,W)</t>
        </is>
      </c>
      <c r="Q298" s="29" t="inlineStr">
        <is>
          <t>Musical sobre dos robots obsoletos en Seul. Es la mejor relacion calidad/precio de la cartelera actual y la loteria de $20 es de las mas accesibles.</t>
        </is>
      </c>
      <c r="R298" s="29" t="inlineStr">
        <is>
          <t>Belasco Theatre, 111 W 44th St</t>
        </is>
      </c>
      <c r="S298" s="29" t="inlineStr">
        <is>
          <t>—</t>
        </is>
      </c>
      <c r="T298" s="30" t="inlineStr">
        <is>
          <t>Abrir ↗</t>
        </is>
      </c>
      <c r="U298" s="31" t="inlineStr">
        <is>
          <t>otros</t>
        </is>
      </c>
      <c r="V298" s="20" t="inlineStr"/>
    </row>
    <row r="299" ht="46" customHeight="1">
      <c r="A299" s="23" t="inlineStr">
        <is>
          <t>Moulin Rouge! (ULTIMAS FUNCIONES)</t>
        </is>
      </c>
      <c r="B299" s="24" t="inlineStr">
        <is>
          <t>Musical de Broadway</t>
        </is>
      </c>
      <c r="C299" s="25" t="inlineStr">
        <is>
          <t>Teatro</t>
        </is>
      </c>
      <c r="D299" s="25" t="inlineStr">
        <is>
          <t>Theater District</t>
        </is>
      </c>
      <c r="E299" s="25" t="inlineStr">
        <is>
          <t>Manhattan</t>
        </is>
      </c>
      <c r="F299" s="12" t="n">
        <v>1</v>
      </c>
      <c r="G299" s="12" t="n">
        <v>1</v>
      </c>
      <c r="H299" s="26">
        <f>IF(AND(F299=2,G299=2),"AMBOS",IF(AND(F299=2,G299&lt;2),"solo JP",IF(AND(F299&lt;2,G299=2),"solo Thais","-")))</f>
        <v/>
      </c>
      <c r="I299" s="27" t="n">
        <v>90</v>
      </c>
      <c r="J299" s="28" t="n">
        <v>3</v>
      </c>
      <c r="K299" s="26" t="inlineStr">
        <is>
          <t>no</t>
        </is>
      </c>
      <c r="L299" s="29" t="inlineStr">
        <is>
          <t>—</t>
        </is>
      </c>
      <c r="M299" s="25" t="inlineStr">
        <is>
          <t>—</t>
        </is>
      </c>
      <c r="N299" s="29" t="inlineStr">
        <is>
          <t>—</t>
        </is>
      </c>
      <c r="O299" s="29" t="inlineStr">
        <is>
          <t>urgente si lo quieren</t>
        </is>
      </c>
      <c r="P299" s="29" t="inlineStr">
        <is>
          <t>42 St-Port Authority (A,C,E)</t>
        </is>
      </c>
      <c r="Q299" s="29" t="inlineStr">
        <is>
          <t>CIERRA EL 30 DE AGOSTO DE 2026 (ya postergo el cierre una vez, de julio a agosto: puede volver a extender). Las dos ultimas funciones caen en el fin de semana de llegada, con demanda y precios en pico. Aaron Tveit protagoniza del 18 al 29 de agosto.</t>
        </is>
      </c>
      <c r="R299" s="29" t="inlineStr">
        <is>
          <t>Al Hirschfeld Theatre, 302 W 45th St</t>
        </is>
      </c>
      <c r="S299" s="29" t="inlineStr">
        <is>
          <t>—</t>
        </is>
      </c>
      <c r="T299" s="30" t="inlineStr">
        <is>
          <t>Abrir ↗</t>
        </is>
      </c>
      <c r="U299" s="31" t="inlineStr">
        <is>
          <t>otros</t>
        </is>
      </c>
      <c r="V299" s="20" t="inlineStr"/>
    </row>
    <row r="300" ht="46" customHeight="1">
      <c r="A300" s="23" t="inlineStr">
        <is>
          <t>Operation Mincemeat</t>
        </is>
      </c>
      <c r="B300" s="24" t="inlineStr">
        <is>
          <t>Musical de Broadway</t>
        </is>
      </c>
      <c r="C300" s="25" t="inlineStr">
        <is>
          <t>Teatro</t>
        </is>
      </c>
      <c r="D300" s="25" t="inlineStr">
        <is>
          <t>Theater District</t>
        </is>
      </c>
      <c r="E300" s="25" t="inlineStr">
        <is>
          <t>Manhattan</t>
        </is>
      </c>
      <c r="F300" s="12" t="n">
        <v>0</v>
      </c>
      <c r="G300" s="12" t="n">
        <v>0</v>
      </c>
      <c r="H300" s="26">
        <f>IF(AND(F300=2,G300=2),"AMBOS",IF(AND(F300=2,G300&lt;2),"solo JP",IF(AND(F300&lt;2,G300=2),"solo Thais","-")))</f>
        <v/>
      </c>
      <c r="I300" s="27" t="n">
        <v>63</v>
      </c>
      <c r="J300" s="28" t="n">
        <v>2.5</v>
      </c>
      <c r="K300" s="26" t="inlineStr">
        <is>
          <t>no</t>
        </is>
      </c>
      <c r="L300" s="29" t="inlineStr">
        <is>
          <t>—</t>
        </is>
      </c>
      <c r="M300" s="25" t="inlineStr">
        <is>
          <t>—</t>
        </is>
      </c>
      <c r="N300" s="29" t="inlineStr">
        <is>
          <t>—</t>
        </is>
      </c>
      <c r="O300" s="29" t="inlineStr">
        <is>
          <t>—</t>
        </is>
      </c>
      <c r="P300" s="29" t="inlineStr">
        <is>
          <t>49 St (N,R,W)</t>
        </is>
      </c>
      <c r="Q300" s="29" t="inlineStr">
        <is>
          <t>Comedia musical britanica sobre una operacion de contrainteligencia real de la Segunda Guerra. Cinco actores haciendo ochenta personajes. Muy bien recibida y mas barata que los grandes musicales.</t>
        </is>
      </c>
      <c r="R300" s="29" t="inlineStr">
        <is>
          <t>John Golden Theatre, 252 W 45th St</t>
        </is>
      </c>
      <c r="S300" s="29" t="inlineStr">
        <is>
          <t>—</t>
        </is>
      </c>
      <c r="T300" s="30" t="inlineStr">
        <is>
          <t>Abrir ↗</t>
        </is>
      </c>
      <c r="U300" s="31" t="inlineStr">
        <is>
          <t>otros</t>
        </is>
      </c>
      <c r="V300" s="20" t="inlineStr"/>
    </row>
    <row r="301" ht="46" customHeight="1">
      <c r="A301" s="23" t="inlineStr">
        <is>
          <t>Little Shop of Horrors (Off-Broadway)</t>
        </is>
      </c>
      <c r="B301" s="24" t="inlineStr">
        <is>
          <t>Off-Broadway</t>
        </is>
      </c>
      <c r="C301" s="25" t="inlineStr">
        <is>
          <t>Teatro</t>
        </is>
      </c>
      <c r="D301" s="25" t="inlineStr">
        <is>
          <t>Theater District</t>
        </is>
      </c>
      <c r="E301" s="25" t="inlineStr">
        <is>
          <t>Manhattan</t>
        </is>
      </c>
      <c r="F301" s="12" t="n">
        <v>0</v>
      </c>
      <c r="G301" s="12" t="n">
        <v>0</v>
      </c>
      <c r="H301" s="26">
        <f>IF(AND(F301=2,G301=2),"AMBOS",IF(AND(F301=2,G301&lt;2),"solo JP",IF(AND(F301&lt;2,G301=2),"solo Thais","-")))</f>
        <v/>
      </c>
      <c r="I301" s="27" t="n">
        <v>40</v>
      </c>
      <c r="J301" s="28" t="n">
        <v>2</v>
      </c>
      <c r="K301" s="26" t="inlineStr">
        <is>
          <t>no</t>
        </is>
      </c>
      <c r="L301" s="29" t="inlineStr">
        <is>
          <t>—</t>
        </is>
      </c>
      <c r="M301" s="25" t="inlineStr">
        <is>
          <t>—</t>
        </is>
      </c>
      <c r="N301" s="29" t="inlineStr">
        <is>
          <t>—</t>
        </is>
      </c>
      <c r="O301" s="29" t="inlineStr">
        <is>
          <t>—</t>
        </is>
      </c>
      <c r="P301" s="29" t="inlineStr">
        <is>
          <t>50 St (C,E)</t>
        </is>
      </c>
      <c r="Q301" s="29" t="inlineStr">
        <is>
          <t>Sala chica, produccion excelente, y a un cuarto del precio de un musical grande. Off-Broadway hecho bien.</t>
        </is>
      </c>
      <c r="R301" s="29" t="inlineStr">
        <is>
          <t>Westside Theatre, 407 W 43rd St</t>
        </is>
      </c>
      <c r="S301" s="29" t="inlineStr">
        <is>
          <t>—</t>
        </is>
      </c>
      <c r="T301" s="30" t="inlineStr">
        <is>
          <t>Abrir ↗</t>
        </is>
      </c>
      <c r="U301" s="31" t="inlineStr">
        <is>
          <t>otros</t>
        </is>
      </c>
      <c r="V301" s="20" t="inlineStr"/>
    </row>
    <row r="302" ht="46" customHeight="1">
      <c r="A302" s="23" t="inlineStr">
        <is>
          <t>Stranger Things: The First Shadow (play)</t>
        </is>
      </c>
      <c r="B302" s="24" t="inlineStr">
        <is>
          <t>Play de Broadway</t>
        </is>
      </c>
      <c r="C302" s="25" t="inlineStr">
        <is>
          <t>Teatro</t>
        </is>
      </c>
      <c r="D302" s="25" t="inlineStr">
        <is>
          <t>Midtown</t>
        </is>
      </c>
      <c r="E302" s="25" t="inlineStr">
        <is>
          <t>Manhattan</t>
        </is>
      </c>
      <c r="F302" s="12" t="n">
        <v>2</v>
      </c>
      <c r="G302" s="12" t="n">
        <v>2</v>
      </c>
      <c r="H302" s="26">
        <f>IF(AND(F302=2,G302=2),"AMBOS",IF(AND(F302=2,G302&lt;2),"solo JP",IF(AND(F302&lt;2,G302=2),"solo Thais","-")))</f>
        <v/>
      </c>
      <c r="I302" s="27" t="n">
        <v>90</v>
      </c>
      <c r="J302" s="28" t="n">
        <v>2.5</v>
      </c>
      <c r="K302" s="26" t="inlineStr">
        <is>
          <t>SÍ</t>
        </is>
      </c>
      <c r="L302" s="29" t="inlineStr">
        <is>
          <t>—</t>
        </is>
      </c>
      <c r="M302" s="25" t="inlineStr">
        <is>
          <t>—</t>
        </is>
      </c>
      <c r="N302" s="29" t="inlineStr">
        <is>
          <t>—</t>
        </is>
      </c>
      <c r="O302" s="29" t="inlineStr">
        <is>
          <t>compra firme esta semana - verificar horario de funcion (19:00/19:30/20:00)</t>
        </is>
      </c>
      <c r="P302" s="29" t="inlineStr">
        <is>
          <t>Times Sq-42 St</t>
        </is>
      </c>
      <c r="Q302" s="29" t="inlineStr">
        <is>
          <t>EL play-espectaculo de Broadway: la precuela de Stranger Things con la maquinaria escenica que gano el Tony. Para quien viene de Mercer Labs, es el mismo musculo llevado al teatro.</t>
        </is>
      </c>
      <c r="R302" s="29" t="inlineStr">
        <is>
          <t>Marquis Theatre, 210 W 46th St</t>
        </is>
      </c>
      <c r="S302" s="17" t="inlineStr">
        <is>
          <t>Día 8 · sáb 5/9</t>
        </is>
      </c>
      <c r="T302" s="30" t="inlineStr">
        <is>
          <t>Abrir ↗</t>
        </is>
      </c>
      <c r="U302" s="31" t="inlineStr">
        <is>
          <t>otros</t>
        </is>
      </c>
      <c r="V302" s="20" t="inlineStr"/>
    </row>
    <row r="303" ht="46" customHeight="1">
      <c r="A303" s="23" t="inlineStr">
        <is>
          <t>TKTS Lincoln Center</t>
        </is>
      </c>
      <c r="B303" s="24" t="inlineStr">
        <is>
          <t>Tickets con descuento</t>
        </is>
      </c>
      <c r="C303" s="25" t="inlineStr">
        <is>
          <t>Teatro</t>
        </is>
      </c>
      <c r="D303" s="25" t="inlineStr">
        <is>
          <t>Lincoln Square</t>
        </is>
      </c>
      <c r="E303" s="25" t="inlineStr">
        <is>
          <t>Manhattan</t>
        </is>
      </c>
      <c r="F303" s="12" t="n">
        <v>0</v>
      </c>
      <c r="G303" s="12" t="n">
        <v>0</v>
      </c>
      <c r="H303" s="26">
        <f>IF(AND(F303=2,G303=2),"AMBOS",IF(AND(F303=2,G303&lt;2),"solo JP",IF(AND(F303&lt;2,G303=2),"solo Thais","-")))</f>
        <v/>
      </c>
      <c r="I303" s="27" t="n">
        <v>0</v>
      </c>
      <c r="J303" s="28" t="n">
        <v>0.75</v>
      </c>
      <c r="K303" s="26" t="inlineStr">
        <is>
          <t>no</t>
        </is>
      </c>
      <c r="L303" s="29" t="inlineStr">
        <is>
          <t>lunes: cerrado · martes a sábado: 11:00–18:00 · domingo: cerrado</t>
        </is>
      </c>
      <c r="M303" s="25" t="inlineStr">
        <is>
          <t>lunes y domingos</t>
        </is>
      </c>
      <c r="N303" s="29" t="inlineStr">
        <is>
          <t>—</t>
        </is>
      </c>
      <c r="O303" s="29" t="inlineStr">
        <is>
          <t>—</t>
        </is>
      </c>
      <c r="P303" s="29" t="inlineStr">
        <is>
          <t>66 St-Lincoln Center (1)</t>
        </is>
      </c>
      <c r="Q303" s="29" t="inlineStr">
        <is>
          <t>Mismo inventario que el booth de Times Square y casi siempre sin cola. Mar-sab 11-18h. Usar la app de TKTS para ver el inventario en tiempo real ANTES de ir. A 10 cuadras del hotel The Beacon.</t>
        </is>
      </c>
      <c r="R303" s="29" t="inlineStr">
        <is>
          <t>61 W 62nd St</t>
        </is>
      </c>
      <c r="S303" s="29" t="inlineStr">
        <is>
          <t>—</t>
        </is>
      </c>
      <c r="T303" s="30" t="inlineStr">
        <is>
          <t>Abrir ↗</t>
        </is>
      </c>
      <c r="U303" s="32" t="inlineStr">
        <is>
          <t>lista google</t>
        </is>
      </c>
      <c r="V303" s="20" t="inlineStr"/>
    </row>
    <row r="304" ht="46" customHeight="1">
      <c r="A304" s="9" t="inlineStr">
        <is>
          <t>NYC Ferry DUMBO → Wall St</t>
        </is>
      </c>
      <c r="B304" s="10" t="inlineStr">
        <is>
          <t>Ferry y teleférico</t>
        </is>
      </c>
      <c r="C304" s="11" t="inlineStr">
        <is>
          <t>Logística</t>
        </is>
      </c>
      <c r="D304" s="11" t="inlineStr">
        <is>
          <t>East River</t>
        </is>
      </c>
      <c r="E304" s="11" t="inlineStr">
        <is>
          <t>Manhattan</t>
        </is>
      </c>
      <c r="F304" s="12" t="n">
        <v>1</v>
      </c>
      <c r="G304" s="12" t="n">
        <v>1</v>
      </c>
      <c r="H304" s="13">
        <f>IF(AND(F304=2,G304=2),"AMBOS",IF(AND(F304=2,G304&lt;2),"solo JP",IF(AND(F304&lt;2,G304=2),"solo Thais","-")))</f>
        <v/>
      </c>
      <c r="I304" s="14" t="n">
        <v>4</v>
      </c>
      <c r="J304" s="15" t="n">
        <v>0.5</v>
      </c>
      <c r="K304" s="13" t="inlineStr">
        <is>
          <t>no</t>
        </is>
      </c>
      <c r="L304" s="16" t="inlineStr">
        <is>
          <t>—</t>
        </is>
      </c>
      <c r="M304" s="11" t="inlineStr">
        <is>
          <t>—</t>
        </is>
      </c>
      <c r="N304" s="16" t="inlineStr">
        <is>
          <t>—</t>
        </is>
      </c>
      <c r="O304" s="16" t="inlineStr">
        <is>
          <t>—</t>
        </is>
      </c>
      <c r="P304" s="16" t="inlineStr">
        <is>
          <t>Pier 1 DUMBO / Pier 11 Wall St</t>
        </is>
      </c>
      <c r="Q304" s="16" t="inlineStr">
        <is>
          <t>$4,50 y cruza el East River con el puente de Brooklyn de frente: la vista del crucero turístico por precio de subte.</t>
        </is>
      </c>
      <c r="R304" s="16" t="inlineStr"/>
      <c r="S304" s="16" t="inlineStr">
        <is>
          <t>—</t>
        </is>
      </c>
      <c r="T304" s="18" t="inlineStr">
        <is>
          <t>Abrir ↗</t>
        </is>
      </c>
      <c r="U304" s="19" t="inlineStr">
        <is>
          <t>lista google</t>
        </is>
      </c>
      <c r="V304" s="20" t="inlineStr"/>
    </row>
    <row r="305" ht="46" customHeight="1">
      <c r="A305" s="9" t="inlineStr">
        <is>
          <t>Hotel Ink48 (29-31 ago)</t>
        </is>
      </c>
      <c r="B305" s="10" t="inlineStr">
        <is>
          <t>Hotel</t>
        </is>
      </c>
      <c r="C305" s="11" t="inlineStr">
        <is>
          <t>Logística</t>
        </is>
      </c>
      <c r="D305" s="11" t="inlineStr">
        <is>
          <t>Hell's Kitchen</t>
        </is>
      </c>
      <c r="E305" s="11" t="inlineStr">
        <is>
          <t>Manhattan</t>
        </is>
      </c>
      <c r="F305" s="12" t="n">
        <v>2</v>
      </c>
      <c r="G305" s="12" t="n">
        <v>2</v>
      </c>
      <c r="H305" s="13">
        <f>IF(AND(F305=2,G305=2),"AMBOS",IF(AND(F305=2,G305&lt;2),"solo JP",IF(AND(F305&lt;2,G305=2),"solo Thais","-")))</f>
        <v/>
      </c>
      <c r="I305" s="14" t="n">
        <v>0</v>
      </c>
      <c r="J305" s="15" t="n">
        <v>0</v>
      </c>
      <c r="K305" s="13" t="inlineStr">
        <is>
          <t>no</t>
        </is>
      </c>
      <c r="L305" s="16" t="inlineStr">
        <is>
          <t>—</t>
        </is>
      </c>
      <c r="M305" s="11" t="inlineStr">
        <is>
          <t>—</t>
        </is>
      </c>
      <c r="N305" s="16" t="inlineStr">
        <is>
          <t>—</t>
        </is>
      </c>
      <c r="O305" s="16" t="inlineStr">
        <is>
          <t>—</t>
        </is>
      </c>
      <c r="P305" s="16" t="inlineStr">
        <is>
          <t>50 St (C,E) a ~12 min caminando</t>
        </is>
      </c>
      <c r="Q305" s="16" t="inlineStr">
        <is>
          <t>Base 29-31 de agosto. Esta lejos del subte (12 min al este hasta la 8va Av). Cerca: Intrepid, High Line norte, Hudson Yards, Birdland.</t>
        </is>
      </c>
      <c r="R305" s="16" t="inlineStr">
        <is>
          <t>653 11th Ave</t>
        </is>
      </c>
      <c r="S305" s="17" t="inlineStr">
        <is>
          <t>Día 1 · sáb 29/8, Día 3 · lun 31/8</t>
        </is>
      </c>
      <c r="T305" s="18" t="inlineStr">
        <is>
          <t>Abrir ↗</t>
        </is>
      </c>
      <c r="U305" s="19" t="inlineStr">
        <is>
          <t>lista google</t>
        </is>
      </c>
      <c r="V305" s="20" t="inlineStr"/>
    </row>
    <row r="306" ht="46" customHeight="1">
      <c r="A306" s="9" t="inlineStr">
        <is>
          <t>Hotel The Beacon (3-6 sep)</t>
        </is>
      </c>
      <c r="B306" s="10" t="inlineStr">
        <is>
          <t>Hotel</t>
        </is>
      </c>
      <c r="C306" s="11" t="inlineStr">
        <is>
          <t>Logística</t>
        </is>
      </c>
      <c r="D306" s="11" t="inlineStr">
        <is>
          <t>Upper West Side</t>
        </is>
      </c>
      <c r="E306" s="11" t="inlineStr">
        <is>
          <t>Manhattan</t>
        </is>
      </c>
      <c r="F306" s="12" t="n">
        <v>2</v>
      </c>
      <c r="G306" s="12" t="n">
        <v>2</v>
      </c>
      <c r="H306" s="13">
        <f>IF(AND(F306=2,G306=2),"AMBOS",IF(AND(F306=2,G306&lt;2),"solo JP",IF(AND(F306&lt;2,G306=2),"solo Thais","-")))</f>
        <v/>
      </c>
      <c r="I306" s="14" t="n">
        <v>0</v>
      </c>
      <c r="J306" s="15" t="n">
        <v>0</v>
      </c>
      <c r="K306" s="13" t="inlineStr">
        <is>
          <t>no</t>
        </is>
      </c>
      <c r="L306" s="16" t="inlineStr">
        <is>
          <t>—</t>
        </is>
      </c>
      <c r="M306" s="11" t="inlineStr">
        <is>
          <t>—</t>
        </is>
      </c>
      <c r="N306" s="16" t="inlineStr">
        <is>
          <t>—</t>
        </is>
      </c>
      <c r="O306" s="16" t="inlineStr">
        <is>
          <t>—</t>
        </is>
      </c>
      <c r="P306" s="16" t="inlineStr">
        <is>
          <t>72 St (1,2,3) a 3 cuadras</t>
        </is>
      </c>
      <c r="Q306" s="16" t="inlineStr">
        <is>
          <t>Base 3-6 de septiembre. Ubicacion excelente: la 1/2/3 llega a Penn Station en 10 min. Cerca: Central Park, AMNH, TKTS Lincoln Center, Dizzy's.</t>
        </is>
      </c>
      <c r="R306" s="16" t="inlineStr">
        <is>
          <t>2130 Broadway</t>
        </is>
      </c>
      <c r="S306" s="17" t="inlineStr">
        <is>
          <t>Día 6 · jue 3/9, Día 9 · dom 6/9</t>
        </is>
      </c>
      <c r="T306" s="18" t="inlineStr">
        <is>
          <t>Abrir ↗</t>
        </is>
      </c>
      <c r="U306" s="19" t="inlineStr">
        <is>
          <t>lista google</t>
        </is>
      </c>
      <c r="V306" s="20" t="inlineStr"/>
    </row>
    <row r="307" ht="46" customHeight="1">
      <c r="A307" s="9" t="inlineStr">
        <is>
          <t>JGSTAY SoHo (JP: 31 ago-2 sep)</t>
        </is>
      </c>
      <c r="B307" s="10" t="inlineStr">
        <is>
          <t>Hotel</t>
        </is>
      </c>
      <c r="C307" s="11" t="inlineStr">
        <is>
          <t>Logística</t>
        </is>
      </c>
      <c r="D307" s="11" t="inlineStr">
        <is>
          <t>SoHo</t>
        </is>
      </c>
      <c r="E307" s="11" t="inlineStr">
        <is>
          <t>Manhattan</t>
        </is>
      </c>
      <c r="F307" s="12" t="n">
        <v>2</v>
      </c>
      <c r="G307" s="12" t="n">
        <v>0</v>
      </c>
      <c r="H307" s="13">
        <f>IF(AND(F307=2,G307=2),"AMBOS",IF(AND(F307=2,G307&lt;2),"solo JP",IF(AND(F307&lt;2,G307=2),"solo Thais","-")))</f>
        <v/>
      </c>
      <c r="I307" s="14" t="n">
        <v>0</v>
      </c>
      <c r="J307" s="15" t="n">
        <v>0</v>
      </c>
      <c r="K307" s="13" t="inlineStr">
        <is>
          <t>no</t>
        </is>
      </c>
      <c r="L307" s="16" t="inlineStr">
        <is>
          <t>—</t>
        </is>
      </c>
      <c r="M307" s="11" t="inlineStr">
        <is>
          <t>—</t>
        </is>
      </c>
      <c r="N307" s="16" t="inlineStr">
        <is>
          <t>—</t>
        </is>
      </c>
      <c r="O307" s="16" t="inlineStr">
        <is>
          <t>—</t>
        </is>
      </c>
      <c r="P307" s="16" t="inlineStr">
        <is>
          <t>Canal St: la del 6/J/Z esta EN la esquina (Lafayette y Canal); N/Q/R/W a 2 cuadras</t>
        </is>
      </c>
      <c r="Q307" s="16" t="inlineStr">
        <is>
          <t>Base de JP lunes y martes a la noche: se acabaron las dos vueltas nocturnas a New Jersey. Recepcion 24 h, CONSIGNA de equipaje y desayuno incluido 7-9 AM. Canal St al lado = 6 directo al MET y Grand Central, A/C al AMNH, y el Village a 15-20 min a pie.</t>
        </is>
      </c>
      <c r="R307" s="16" t="inlineStr">
        <is>
          <t>120 Lafayette St, NY 10013</t>
        </is>
      </c>
      <c r="S307" s="17" t="inlineStr">
        <is>
          <t>Día 3 · lun 31/8, Día 4 · mar 1/9, Día 5 · mié 2/9</t>
        </is>
      </c>
      <c r="T307" s="18" t="inlineStr">
        <is>
          <t>Abrir ↗</t>
        </is>
      </c>
      <c r="U307" s="21" t="inlineStr">
        <is>
          <t>otros</t>
        </is>
      </c>
      <c r="V307" s="20" t="inlineStr"/>
    </row>
    <row r="308" ht="46" customHeight="1">
      <c r="A308" s="9" t="inlineStr">
        <is>
          <t>Residence Inn Branchburg (Thais 31/8-3/9 · JP solo la noche del 2)</t>
        </is>
      </c>
      <c r="B308" s="10" t="inlineStr">
        <is>
          <t>Hotel</t>
        </is>
      </c>
      <c r="C308" s="11" t="inlineStr">
        <is>
          <t>Logística</t>
        </is>
      </c>
      <c r="D308" s="11" t="inlineStr">
        <is>
          <t>Branchburg</t>
        </is>
      </c>
      <c r="E308" s="11" t="inlineStr">
        <is>
          <t>New Jersey</t>
        </is>
      </c>
      <c r="F308" s="12" t="n">
        <v>2</v>
      </c>
      <c r="G308" s="12" t="n">
        <v>2</v>
      </c>
      <c r="H308" s="13">
        <f>IF(AND(F308=2,G308=2),"AMBOS",IF(AND(F308=2,G308&lt;2),"solo JP",IF(AND(F308&lt;2,G308=2),"solo Thais","-")))</f>
        <v/>
      </c>
      <c r="I308" s="14" t="n">
        <v>0</v>
      </c>
      <c r="J308" s="15" t="n">
        <v>0</v>
      </c>
      <c r="K308" s="13" t="inlineStr">
        <is>
          <t>no</t>
        </is>
      </c>
      <c r="L308" s="16" t="inlineStr">
        <is>
          <t>—</t>
        </is>
      </c>
      <c r="M308" s="11" t="inlineStr">
        <is>
          <t>—</t>
        </is>
      </c>
      <c r="N308" s="16" t="inlineStr">
        <is>
          <t>—</t>
        </is>
      </c>
      <c r="O308" s="16" t="inlineStr">
        <is>
          <t>—</t>
        </is>
      </c>
      <c r="P308" s="16" t="inlineStr">
        <is>
          <t>Estacion Raritan (NJ Transit RVL) a 6,4 km</t>
        </is>
      </c>
      <c r="Q308" s="16" t="inlineStr">
        <is>
          <t>Base en NJ. NO tiene shuttle (confirmado por Marriott). Estacionamiento propio gratis. Para llegar al tren hay que tomar Uber (~$14-20 por tramo a Raritan).</t>
        </is>
      </c>
      <c r="R308" s="16" t="inlineStr">
        <is>
          <t>3241 US Highway 22 East, Branchburg NJ</t>
        </is>
      </c>
      <c r="S308" s="17" t="inlineStr">
        <is>
          <t>Día 5 · mié 2/9, Día 6 · jue 3/9</t>
        </is>
      </c>
      <c r="T308" s="18" t="inlineStr">
        <is>
          <t>Abrir ↗</t>
        </is>
      </c>
      <c r="U308" s="19" t="inlineStr">
        <is>
          <t>lista google</t>
        </is>
      </c>
      <c r="V308" s="20" t="inlineStr"/>
    </row>
  </sheetData>
  <autoFilter ref="A4:V308"/>
  <mergeCells count="2">
    <mergeCell ref="A2:V2"/>
    <mergeCell ref="A1:V1"/>
  </mergeCells>
  <conditionalFormatting sqref="H5:H308">
    <cfRule type="cellIs" priority="1" operator="equal" dxfId="0">
      <formula>"AMBOS"</formula>
    </cfRule>
  </conditionalFormatting>
  <dataValidations count="2">
    <dataValidation sqref="F5:G308" showDropDown="0" showInputMessage="0" showErrorMessage="0" allowBlank="0" errorTitle="Valor inválido" error="Solo 0, 1 o 2" promptTitle="Nivel de interés" prompt="0 = no me interesa · 1 = quizás · 2 = sí quiero" type="list">
      <formula1>"0,1,2"</formula1>
    </dataValidation>
    <dataValidation sqref="V5:V308"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 xmlns:r="http://schemas.openxmlformats.org/officeDocument/2006/relationships" ref="T301" r:id="rId297"/>
    <hyperlink xmlns:r="http://schemas.openxmlformats.org/officeDocument/2006/relationships" ref="T302" r:id="rId298"/>
    <hyperlink xmlns:r="http://schemas.openxmlformats.org/officeDocument/2006/relationships" ref="T303" r:id="rId299"/>
    <hyperlink xmlns:r="http://schemas.openxmlformats.org/officeDocument/2006/relationships" ref="T304" r:id="rId300"/>
    <hyperlink xmlns:r="http://schemas.openxmlformats.org/officeDocument/2006/relationships" ref="T305" r:id="rId301"/>
    <hyperlink xmlns:r="http://schemas.openxmlformats.org/officeDocument/2006/relationships" ref="T306" r:id="rId302"/>
    <hyperlink xmlns:r="http://schemas.openxmlformats.org/officeDocument/2006/relationships" ref="T307" r:id="rId303"/>
    <hyperlink xmlns:r="http://schemas.openxmlformats.org/officeDocument/2006/relationships" ref="T308" r:id="rId30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3"/>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 CAMBIO EN LA LLEGADA: entra el UBER SHUTTLE en vez de AirTrain + NJ Transit + taxi. Para dos personas sale más barato —$41,40 contra $46-52— y sobre todo es UN solo transporte con las valijas en vez de tres, a las siete de la mañana y después de un vuelo nocturno. Lo que se paga: llegan al hotel ~9:10 en vez de ~8:20, y los shuttles salen cada 40-50 minutos mientras que el tren sale cada 10-15. Si migraciones se estira más de lo previsto, EL PLAN VIEJO SIGUE SIENDO MEJOR y está escrito en las alternativas del día.</t>
        </is>
      </c>
    </row>
    <row r="7" ht="16" customHeight="1">
      <c r="A7" s="35" t="n"/>
      <c r="B7" s="36" t="inlineStr">
        <is>
          <t>06:00</t>
        </is>
      </c>
      <c r="C7" s="37" t="inlineStr">
        <is>
          <t>07:20</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07:20</t>
        </is>
      </c>
      <c r="C8" s="37" t="inlineStr">
        <is>
          <t>07:40</t>
        </is>
      </c>
      <c r="D8" s="38" t="inlineStr">
        <is>
          <t>Ambos</t>
        </is>
      </c>
      <c r="E8" s="39" t="inlineStr">
        <is>
          <t>Caminar a la zona de recogida del UBER SHUTTLE: Terminal B, Zona 5 — son ~6 min desde la puerta de llegadas. Pedirlo en la app apenas salgan de migraciones.</t>
        </is>
      </c>
      <c r="F8" s="37" t="inlineStr"/>
      <c r="G8" s="40" t="inlineStr"/>
      <c r="H8" s="41" t="inlineStr"/>
      <c r="I8" s="41" t="inlineStr"/>
    </row>
    <row r="9" ht="30" customHeight="1">
      <c r="A9" s="35" t="n"/>
      <c r="B9" s="36" t="inlineStr">
        <is>
          <t>07:40</t>
        </is>
      </c>
      <c r="C9" s="37" t="inlineStr">
        <is>
          <t>08:54</t>
        </is>
      </c>
      <c r="D9" s="38" t="inlineStr">
        <is>
          <t>Ambos</t>
        </is>
      </c>
      <c r="E9" s="39" t="inlineStr">
        <is>
          <t>★ UBER SHUTTLE EWR → THEATRE DISTRICT (50th St y 8th Ave). $20,70 POR PERSONA = $41,40 los dos, precio fijo y asiento reservado. Llega 8:54. UN SOLO transporte con las valijas, después de un vuelo nocturno: sin AirTrain, sin transbordo en Penn Station y sin taxi. Horarios del sábado desde Terminal B: 7:40 · 7:50 (a Port Authority) · 8:30 · 8:35.</t>
        </is>
      </c>
      <c r="F9" s="37" t="inlineStr"/>
      <c r="G9" s="40" t="inlineStr"/>
      <c r="H9" s="41" t="inlineStr"/>
      <c r="I9" s="41" t="inlineStr"/>
    </row>
    <row r="10" ht="30" customHeight="1">
      <c r="A10" s="35" t="n"/>
      <c r="B10" s="36" t="inlineStr">
        <is>
          <t>08:54</t>
        </is>
      </c>
      <c r="C10" s="37" t="inlineStr">
        <is>
          <t>09:10</t>
        </is>
      </c>
      <c r="D10" s="38" t="inlineStr">
        <is>
          <t>Ambos</t>
        </is>
      </c>
      <c r="E10" s="39" t="inlineStr">
        <is>
          <t>Bajar en Theatre District y caminar 13 min al Ink48 (50th y 8ª → 48th y 11ª, todo derecho por la 48). Con valijas es lo único que cuesta de esta opción.</t>
        </is>
      </c>
      <c r="F10" s="37" t="inlineStr"/>
      <c r="G10" s="40" t="inlineStr"/>
      <c r="H10" s="41" t="inlineStr"/>
      <c r="I10" s="41" t="inlineStr"/>
    </row>
    <row r="11" ht="16" customHeight="1">
      <c r="A11" s="35" t="n"/>
      <c r="B11" s="36" t="inlineStr">
        <is>
          <t>09:10</t>
        </is>
      </c>
      <c r="C11" s="37" t="inlineStr">
        <is>
          <t>09:25</t>
        </is>
      </c>
      <c r="D11" s="38" t="inlineStr">
        <is>
          <t>Ambos</t>
        </is>
      </c>
      <c r="E11" s="39" t="inlineStr">
        <is>
          <t>Ink48: dejar valijas y, si consiguieron el early check-in, ducha y ropa limpia.</t>
        </is>
      </c>
      <c r="F11" s="37" t="inlineStr">
        <is>
          <t>Hotel Ink48 (29-31 ago)</t>
        </is>
      </c>
      <c r="G11" s="40" t="inlineStr"/>
      <c r="H11" s="41" t="inlineStr"/>
      <c r="I11" s="41" t="inlineStr"/>
    </row>
    <row r="12" ht="30" customHeight="1">
      <c r="A12" s="35" t="n"/>
      <c r="B12" s="36" t="inlineStr">
        <is>
          <t>09:25</t>
        </is>
      </c>
      <c r="C12" s="37" t="inlineStr">
        <is>
          <t>10:00</t>
        </is>
      </c>
      <c r="D12" s="38" t="inlineStr">
        <is>
          <t>Ambos</t>
        </is>
      </c>
      <c r="E12" s="39" t="inlineStr">
        <is>
          <t>Desayuno RÁPIDO en Hell's Kitchen, sobre la 9ª o la 10ª. Hoy es rápido de verdad: el shuttle llega más tarde que el tren y el subte a Harlem sale 10:00.</t>
        </is>
      </c>
      <c r="F12" s="37" t="inlineStr"/>
      <c r="G12" s="40" t="inlineStr"/>
      <c r="H12" s="41" t="inlineStr"/>
      <c r="I12" s="41" t="inlineStr"/>
    </row>
    <row r="13" ht="16" customHeight="1">
      <c r="A13" s="35" t="n"/>
      <c r="B13" s="36" t="inlineStr">
        <is>
          <t>10:00</t>
        </is>
      </c>
      <c r="C13" s="37" t="inlineStr">
        <is>
          <t>10:30</t>
        </is>
      </c>
      <c r="D13" s="38" t="inlineStr">
        <is>
          <t>Ambos</t>
        </is>
      </c>
      <c r="E13" s="39" t="inlineStr">
        <is>
          <t>Subte A o D express desde 42 St hasta 125 St: 12 minutos y ya están en Harlem.</t>
        </is>
      </c>
      <c r="F13" s="37" t="inlineStr"/>
      <c r="G13" s="40" t="inlineStr"/>
      <c r="H13" s="41" t="inlineStr"/>
      <c r="I13" s="41" t="inlineStr"/>
    </row>
    <row r="14" ht="30" customHeight="1">
      <c r="A14" s="35" t="n"/>
      <c r="B14" s="42" t="inlineStr">
        <is>
          <t>10:30</t>
        </is>
      </c>
      <c r="C14" s="43" t="inlineStr">
        <is>
          <t>11:30</t>
        </is>
      </c>
      <c r="D14" s="44" t="inlineStr">
        <is>
          <t>Ambos</t>
        </is>
      </c>
      <c r="E14" s="45" t="inlineStr">
        <is>
          <t>Caminata por Harlem: 125th St, Adam Clayton Powell Blvd y las brownstones del Mount Morris Park Historic District.</t>
        </is>
      </c>
      <c r="F14" s="43" t="inlineStr">
        <is>
          <t>Harlem</t>
        </is>
      </c>
      <c r="G14" s="40" t="inlineStr"/>
      <c r="H14" s="41" t="inlineStr"/>
      <c r="I14" s="41" t="inlineStr"/>
    </row>
    <row r="15" ht="30" customHeight="1">
      <c r="A15" s="35" t="n"/>
      <c r="B15" s="36" t="inlineStr">
        <is>
          <t>11:30</t>
        </is>
      </c>
      <c r="C15" s="37" t="inlineStr">
        <is>
          <t>12:00</t>
        </is>
      </c>
      <c r="D15" s="38" t="inlineStr">
        <is>
          <t>Ambos</t>
        </is>
      </c>
      <c r="E15" s="39" t="inlineStr">
        <is>
          <t>Bo's Bagels (235 W 116th St) — bagel rápido, sin sentarse mucho: hoy el almuerzo fuerte es italiano en el Bronx.</t>
        </is>
      </c>
      <c r="F15" s="37" t="inlineStr">
        <is>
          <t>Bo's Bagels</t>
        </is>
      </c>
      <c r="G15" s="40" t="inlineStr">
        <is>
          <t>🚶 ~15 min a pie · 1.1 km · estimado</t>
        </is>
      </c>
      <c r="H15" s="41" t="inlineStr"/>
      <c r="I15" s="41" t="inlineStr"/>
    </row>
    <row r="16" ht="30" customHeight="1">
      <c r="A16" s="35" t="n"/>
      <c r="B16" s="42" t="inlineStr">
        <is>
          <t>12:00</t>
        </is>
      </c>
      <c r="C16" s="43" t="inlineStr">
        <is>
          <t>13:30</t>
        </is>
      </c>
      <c r="D16" s="44" t="inlineStr">
        <is>
          <t>Ambos</t>
        </is>
      </c>
      <c r="E16"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6" s="43" t="inlineStr">
        <is>
          <t>Studio Museum in Harlem</t>
        </is>
      </c>
      <c r="G16" s="40" t="inlineStr">
        <is>
          <t>🚶 ~14 min a pie · 1.0 km · estimado</t>
        </is>
      </c>
      <c r="H16" s="41" t="inlineStr"/>
      <c r="I16" s="41" t="inlineStr"/>
    </row>
    <row r="17" ht="30" customHeight="1">
      <c r="A17" s="35" t="n"/>
      <c r="B17" s="36" t="inlineStr">
        <is>
          <t>13:30</t>
        </is>
      </c>
      <c r="C17" s="37" t="inlineStr">
        <is>
          <t>14:00</t>
        </is>
      </c>
      <c r="D17" s="38" t="inlineStr">
        <is>
          <t>Ambos</t>
        </is>
      </c>
      <c r="E17" s="39" t="inlineStr">
        <is>
          <t>Subte D desde 125 St hasta Fordham Rd (~20 min). Alternativa: Metro-North desde Harlem-125th a Fordham, 12 minutos.</t>
        </is>
      </c>
      <c r="F17" s="37" t="inlineStr"/>
      <c r="G17" s="40" t="inlineStr"/>
      <c r="H17" s="41" t="inlineStr"/>
      <c r="I17" s="41" t="inlineStr"/>
    </row>
    <row r="18" ht="30" customHeight="1">
      <c r="A18" s="35" t="n"/>
      <c r="B18" s="42" t="inlineStr">
        <is>
          <t>14:00</t>
        </is>
      </c>
      <c r="C18" s="43" t="inlineStr">
        <is>
          <t>15:40</t>
        </is>
      </c>
      <c r="D18" s="44" t="inlineStr">
        <is>
          <t>Ambos</t>
        </is>
      </c>
      <c r="E18"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8" s="43" t="inlineStr">
        <is>
          <t>Arthur Avenue (Belmont)</t>
        </is>
      </c>
      <c r="G18" s="40" t="inlineStr"/>
      <c r="H18" s="41" t="inlineStr"/>
      <c r="I18" s="41" t="inlineStr"/>
    </row>
    <row r="19" ht="16" customHeight="1">
      <c r="A19" s="35" t="n"/>
      <c r="B19" s="36" t="inlineStr">
        <is>
          <t>15:40</t>
        </is>
      </c>
      <c r="C19" s="37" t="inlineStr">
        <is>
          <t>16:30</t>
        </is>
      </c>
      <c r="D19" s="38" t="inlineStr">
        <is>
          <t>Ambos</t>
        </is>
      </c>
      <c r="E19" s="39" t="inlineStr">
        <is>
          <t>Subte D desde Fordham Rd de vuelta a 125 St (~25 min) y caminar a Marcus Garvey Park.</t>
        </is>
      </c>
      <c r="F19" s="37" t="inlineStr"/>
      <c r="G19" s="40" t="inlineStr"/>
      <c r="H19" s="41" t="inlineStr"/>
      <c r="I19" s="41" t="inlineStr"/>
    </row>
    <row r="20" ht="30" customHeight="1">
      <c r="A20" s="35" t="n"/>
      <c r="B20" s="42" t="inlineStr">
        <is>
          <t>16:30</t>
        </is>
      </c>
      <c r="C20" s="43" t="inlineStr">
        <is>
          <t>18:30</t>
        </is>
      </c>
      <c r="D20" s="44" t="inlineStr">
        <is>
          <t>Ambos</t>
        </is>
      </c>
      <c r="E20"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20" s="43" t="inlineStr">
        <is>
          <t>Charlie Parker Jazz Festival - Harlem</t>
        </is>
      </c>
      <c r="G20" s="40" t="inlineStr"/>
      <c r="H20" s="41" t="inlineStr"/>
      <c r="I20" s="41" t="inlineStr"/>
    </row>
    <row r="21" ht="30" customHeight="1">
      <c r="A21" s="35" t="n"/>
      <c r="B21" s="36" t="inlineStr">
        <is>
          <t>18:30</t>
        </is>
      </c>
      <c r="C21" s="37" t="inlineStr">
        <is>
          <t>19:20</t>
        </is>
      </c>
      <c r="D21" s="38" t="inlineStr">
        <is>
          <t>Ambos</t>
        </is>
      </c>
      <c r="E21" s="39" t="inlineStr">
        <is>
          <t>UBER desde Marcus Garvey Park al Ink48 (~20-25 min un sábado a la tarde, ~$25-30). Es lo que garantiza llegar 19:00-19:05. Plan B en subte: salir 18:10, 2/3 desde 125-Lenox hasta Times Sq y 15 min a pie — total ~45 min.</t>
        </is>
      </c>
      <c r="F21" s="37" t="inlineStr"/>
      <c r="G21" s="40" t="inlineStr"/>
      <c r="H21" s="41" t="inlineStr"/>
      <c r="I21" s="41" t="inlineStr"/>
    </row>
    <row r="22" ht="16" customHeight="1">
      <c r="A22" s="35" t="n"/>
      <c r="B22" s="36" t="inlineStr">
        <is>
          <t>19:20</t>
        </is>
      </c>
      <c r="C22" s="37" t="inlineStr">
        <is>
          <t>19:30</t>
        </is>
      </c>
      <c r="D22" s="38" t="inlineStr">
        <is>
          <t>Ambos</t>
        </is>
      </c>
      <c r="E22" s="39" t="inlineStr">
        <is>
          <t>EN EL HOTEL — margen para dejar cosas y subir.</t>
        </is>
      </c>
      <c r="F22" s="37" t="inlineStr"/>
      <c r="G22" s="40" t="inlineStr"/>
      <c r="H22" s="41" t="inlineStr"/>
      <c r="I22" s="41" t="inlineStr"/>
    </row>
    <row r="23" ht="30" customHeight="1">
      <c r="A23" s="35" t="n"/>
      <c r="B23" s="42" t="inlineStr">
        <is>
          <t>19:30</t>
        </is>
      </c>
      <c r="C23" s="43" t="inlineStr">
        <is>
          <t>21:00</t>
        </is>
      </c>
      <c r="D23" s="44" t="inlineStr">
        <is>
          <t>Ambos</t>
        </is>
      </c>
      <c r="E23" s="45" t="inlineStr">
        <is>
          <t>★★ HUDSON VU — drinks y comida, RESERVA NO MODIFICABLE, en el rooftop de SU PROPIO hotel (Ink48). La mesa es de MÁXIMO 90 MINUTOS: cierran ~21:00. Pedir sin vueltas y disfrutar la vista — lo que sigue está a 8 cuadras.</t>
        </is>
      </c>
      <c r="F23" s="43" t="inlineStr">
        <is>
          <t>Hotel Ink48 (29-31 ago)</t>
        </is>
      </c>
      <c r="G23" s="40" t="inlineStr"/>
      <c r="H23" s="41" t="inlineStr"/>
      <c r="I23" s="41" t="inlineStr"/>
    </row>
    <row r="24" ht="30" customHeight="1">
      <c r="A24" s="35" t="n"/>
      <c r="B24" s="36" t="inlineStr">
        <is>
          <t>21:00</t>
        </is>
      </c>
      <c r="C24" s="37" t="inlineStr">
        <is>
          <t>21:30</t>
        </is>
      </c>
      <c r="D24" s="38" t="inlineStr">
        <is>
          <t>Ambos</t>
        </is>
      </c>
      <c r="E24" s="39" t="inlineStr">
        <is>
          <t>Caminata Ink48 → Birdland (315 W 44th): 8 cuadras, 10-12 min. Llegan ~21:15, justo para las puertas del set de las 21:30.</t>
        </is>
      </c>
      <c r="F24" s="37" t="inlineStr"/>
      <c r="G24" s="40" t="inlineStr"/>
      <c r="H24" s="41" t="inlineStr"/>
      <c r="I24" s="41" t="inlineStr"/>
    </row>
    <row r="25" ht="30" customHeight="1">
      <c r="A25" s="35" t="n"/>
      <c r="B25" s="42" t="inlineStr">
        <is>
          <t>21:30</t>
        </is>
      </c>
      <c r="C25" s="43" t="inlineStr"/>
      <c r="D25" s="44" t="inlineStr">
        <is>
          <t>Ambos</t>
        </is>
      </c>
      <c r="E25"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5" s="43" t="inlineStr">
        <is>
          <t>Birdland</t>
        </is>
      </c>
      <c r="G25" s="40" t="inlineStr"/>
      <c r="H25" s="41" t="inlineStr"/>
      <c r="I25" s="41" t="inlineStr"/>
    </row>
    <row r="26" ht="32" customHeight="1">
      <c r="A26" s="46" t="inlineStr">
        <is>
          <t>ALTERNATIVA / OJO:  PLAN VIEJO, POR SI EL SHUTTLE NO SIRVE (y es el que conviene si salen tarde de migraciones): AirTrain hasta Newark Airport Station (~10 min, ticket en la app MyTix — a bordo cobran $5 extra) y NJ Transit hasta Penn Station, $17,25 por persona con el AirTrain incluido. Trenes del sábado desde EWR: 6:00, 6:07, 6:43, 7:04, 7:15, 7:25, 7:39 — o sea uno cada diez o quince minutos, que es la ventaja real. De Penn al hotel, taxi de $12-18. Llegan 8:15-8:30, casi una hora antes que con el shuttle. //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8" ht="22" customHeight="1">
      <c r="A28" s="33" t="inlineStr">
        <is>
          <t>DÍA 2 · Domingo 30/08 · Lower East Side, Chinatown y el Brooklyn Bridge a pie  —  base: Ink48  ·  Ambos</t>
        </is>
      </c>
    </row>
    <row r="29" ht="32" customHeight="1">
      <c r="A29"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30" ht="16" customHeight="1">
      <c r="A30" s="35" t="n"/>
      <c r="B30" s="36" t="inlineStr">
        <is>
          <t>08:30</t>
        </is>
      </c>
      <c r="C30" s="37" t="inlineStr">
        <is>
          <t>09:15</t>
        </is>
      </c>
      <c r="D30" s="38" t="inlineStr">
        <is>
          <t>Ambos</t>
        </is>
      </c>
      <c r="E30" s="39" t="inlineStr">
        <is>
          <t>Desayuno rápido y subte F hasta 2 Av.</t>
        </is>
      </c>
      <c r="F30" s="37" t="inlineStr"/>
      <c r="G30" s="40" t="inlineStr"/>
      <c r="H30" s="41" t="inlineStr"/>
      <c r="I30" s="41" t="inlineStr"/>
    </row>
    <row r="31" ht="30" customHeight="1">
      <c r="A31" s="35" t="n"/>
      <c r="B31" s="42" t="inlineStr">
        <is>
          <t>09:15</t>
        </is>
      </c>
      <c r="C31" s="43" t="inlineStr">
        <is>
          <t>10:30</t>
        </is>
      </c>
      <c r="D31" s="44" t="inlineStr">
        <is>
          <t>Ambos</t>
        </is>
      </c>
      <c r="E31" s="45" t="inlineStr">
        <is>
          <t>★ Russ &amp; Daughters — appetizing store de 1914, cuarta generación de la misma familia. Salmón curado cortado a mano sobre bagel. El mostrador es mejor experiencia que el café de al lado.</t>
        </is>
      </c>
      <c r="F31" s="43" t="inlineStr">
        <is>
          <t>Russ &amp; Daughters</t>
        </is>
      </c>
      <c r="G31" s="40" t="inlineStr"/>
      <c r="H31" s="41" t="inlineStr"/>
      <c r="I31" s="41" t="inlineStr"/>
    </row>
    <row r="32" ht="30" customHeight="1">
      <c r="A32" s="35" t="n"/>
      <c r="B32" s="42" t="inlineStr">
        <is>
          <t>10:30</t>
        </is>
      </c>
      <c r="C32" s="43" t="inlineStr">
        <is>
          <t>11:45</t>
        </is>
      </c>
      <c r="D32" s="44" t="inlineStr">
        <is>
          <t>Ambos</t>
        </is>
      </c>
      <c r="E32" s="45" t="inlineStr">
        <is>
          <t>★ Museum at Eldridge Street — sinagoga de 1887 restaurada por $20 millones, con un rosetón nuevo de Kiki Smith. Que hoy esté en el medio de Chinatown es la mitad del punto. CIERRA LOS SÁBADOS: hoy es el día.</t>
        </is>
      </c>
      <c r="F32" s="43" t="inlineStr">
        <is>
          <t>Museum at Eldridge Street</t>
        </is>
      </c>
      <c r="G32" s="40" t="inlineStr">
        <is>
          <t>🚶 ~20 min a pie (1.3 km) o 🚇 ~15 min · estimado</t>
        </is>
      </c>
      <c r="H32" s="41" t="inlineStr"/>
      <c r="I32" s="41" t="inlineStr"/>
    </row>
    <row r="33" ht="30" customHeight="1">
      <c r="A33" s="35" t="n"/>
      <c r="B33" s="36" t="inlineStr">
        <is>
          <t>11:45</t>
        </is>
      </c>
      <c r="C33" s="37" t="inlineStr">
        <is>
          <t>12:45</t>
        </is>
      </c>
      <c r="D33" s="38" t="inlineStr">
        <is>
          <t>Ambos</t>
        </is>
      </c>
      <c r="E33" s="39" t="inlineStr">
        <is>
          <t>Essex Market — mercado municipal desde 1940. Sigue teniendo carniceros y pescaderos de verdad, no solo puestos para turistas.</t>
        </is>
      </c>
      <c r="F33" s="37" t="inlineStr">
        <is>
          <t>Essex Market</t>
        </is>
      </c>
      <c r="G33" s="40" t="inlineStr">
        <is>
          <t>🚶 ~11 min a pie · 0.8 km · estimado</t>
        </is>
      </c>
      <c r="H33" s="41" t="inlineStr"/>
      <c r="I33" s="41" t="inlineStr"/>
    </row>
    <row r="34" ht="30" customHeight="1">
      <c r="A34" s="35" t="n"/>
      <c r="B34" s="36" t="inlineStr">
        <is>
          <t>12:45</t>
        </is>
      </c>
      <c r="C34" s="37" t="inlineStr">
        <is>
          <t>13:15</t>
        </is>
      </c>
      <c r="D34" s="38" t="inlineStr">
        <is>
          <t>Ambos</t>
        </is>
      </c>
      <c r="E34" s="39" t="inlineStr">
        <is>
          <t>Caminata por el Lower East Side: Orchard, Ludlow, Rivington. Tres capas de inmigración en la misma cuadra.</t>
        </is>
      </c>
      <c r="F34" s="37" t="inlineStr">
        <is>
          <t>Lower East Side</t>
        </is>
      </c>
      <c r="G34" s="40" t="inlineStr"/>
      <c r="H34" s="41" t="inlineStr"/>
      <c r="I34" s="41" t="inlineStr"/>
    </row>
    <row r="35" ht="30" customHeight="1">
      <c r="A35" s="35" t="n"/>
      <c r="B35" s="36" t="inlineStr">
        <is>
          <t>13:15</t>
        </is>
      </c>
      <c r="C35" s="37" t="inlineStr">
        <is>
          <t>14:15</t>
        </is>
      </c>
      <c r="D35" s="38" t="inlineStr">
        <is>
          <t>Ambos</t>
        </is>
      </c>
      <c r="E35" s="39" t="inlineStr">
        <is>
          <t>Almuerzo en Chinatown: Mott St y las pescaderías de la calle. El paisaje urbano es el plato fuerte.</t>
        </is>
      </c>
      <c r="F35" s="37" t="inlineStr">
        <is>
          <t>Chinatown (Manhattan)</t>
        </is>
      </c>
      <c r="G35" s="40" t="inlineStr">
        <is>
          <t>🚶 ~14 min a pie · 1.0 km · estimado</t>
        </is>
      </c>
      <c r="H35" s="41" t="inlineStr"/>
      <c r="I35" s="41" t="inlineStr"/>
    </row>
    <row r="36" ht="30" customHeight="1">
      <c r="A36" s="35" t="n"/>
      <c r="B36" s="36" t="inlineStr">
        <is>
          <t>14:15</t>
        </is>
      </c>
      <c r="C36" s="37" t="inlineStr">
        <is>
          <t>14:45</t>
        </is>
      </c>
      <c r="D36" s="38" t="inlineStr">
        <is>
          <t>Ambos</t>
        </is>
      </c>
      <c r="E36" s="39" t="inlineStr">
        <is>
          <t>Columbus Park (tai chi y partidas de xiangqi) y Doyers Street, la cuadra torcida que era 'the Bloody Angle'. Diez minutos y de ahí se sale caminando hacia City Hall.</t>
        </is>
      </c>
      <c r="F36" s="37" t="inlineStr"/>
      <c r="G36" s="40" t="inlineStr"/>
      <c r="H36" s="41" t="inlineStr"/>
      <c r="I36" s="41" t="inlineStr"/>
    </row>
    <row r="37" ht="30" customHeight="1">
      <c r="A37" s="35" t="n"/>
      <c r="B37" s="42" t="inlineStr">
        <is>
          <t>14:45</t>
        </is>
      </c>
      <c r="C37" s="43" t="inlineStr">
        <is>
          <t>16:00</t>
        </is>
      </c>
      <c r="D37" s="44" t="inlineStr">
        <is>
          <t>Ambos</t>
        </is>
      </c>
      <c r="E37"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7" s="43" t="inlineStr"/>
      <c r="G37" s="40" t="inlineStr"/>
      <c r="H37" s="41" t="inlineStr"/>
      <c r="I37" s="41" t="inlineStr"/>
    </row>
    <row r="38" ht="30" customHeight="1">
      <c r="A38" s="35" t="n"/>
      <c r="B38" s="36" t="inlineStr">
        <is>
          <t>16:00</t>
        </is>
      </c>
      <c r="C38" s="37" t="inlineStr">
        <is>
          <t>17:05</t>
        </is>
      </c>
      <c r="D38" s="38" t="inlineStr">
        <is>
          <t>Ambos</t>
        </is>
      </c>
      <c r="E38" s="39" t="inlineStr">
        <is>
          <t>Bajar en DUMBO: la foto del Manhattan Bridge encuadrado en Washington St, el waterfront, y una parada en TIME OUT MARKET (está ahí mismo y JP lo marcó 2): un vermut con el skyline de frente. OJO: el sábado 5 vuelven de día — no repetir de más.</t>
        </is>
      </c>
      <c r="F38" s="37" t="inlineStr">
        <is>
          <t>DUMBO</t>
        </is>
      </c>
      <c r="G38" s="40" t="inlineStr"/>
      <c r="H38" s="41" t="inlineStr"/>
      <c r="I38" s="41" t="inlineStr"/>
    </row>
    <row r="39" ht="16" customHeight="1">
      <c r="A39" s="35" t="n"/>
      <c r="B39" s="36" t="inlineStr">
        <is>
          <t>17:05</t>
        </is>
      </c>
      <c r="C39" s="37" t="inlineStr">
        <is>
          <t>17:30</t>
        </is>
      </c>
      <c r="D39" s="38" t="inlineStr">
        <is>
          <t>Ambos</t>
        </is>
      </c>
      <c r="E39" s="39" t="inlineStr">
        <is>
          <t>Subte A/C desde High St hasta Fulton St (2 paradas, ~10 min) y 5 min a pie hasta Dey St.</t>
        </is>
      </c>
      <c r="F39" s="37" t="inlineStr"/>
      <c r="G39" s="40" t="inlineStr"/>
      <c r="H39" s="41" t="inlineStr"/>
      <c r="I39" s="41" t="inlineStr"/>
    </row>
    <row r="40" ht="30" customHeight="1">
      <c r="A40" s="35" t="n"/>
      <c r="B40" s="42" t="inlineStr">
        <is>
          <t>17:30</t>
        </is>
      </c>
      <c r="C40" s="43" t="inlineStr">
        <is>
          <t>18:50</t>
        </is>
      </c>
      <c r="D40" s="44" t="inlineStr">
        <is>
          <t>Ambos</t>
        </is>
      </c>
      <c r="E40"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40" s="43" t="inlineStr">
        <is>
          <t>Mercer Labs — Museum of Art and Technology</t>
        </is>
      </c>
      <c r="G40" s="40" t="inlineStr"/>
      <c r="H40" s="41" t="inlineStr"/>
      <c r="I40" s="41" t="inlineStr"/>
    </row>
    <row r="41" ht="30" customHeight="1">
      <c r="A41" s="35" t="n"/>
      <c r="B41" s="36" t="inlineStr">
        <is>
          <t>18:50</t>
        </is>
      </c>
      <c r="C41" s="37" t="inlineStr">
        <is>
          <t>19:15</t>
        </is>
      </c>
      <c r="D41" s="38" t="inlineStr">
        <is>
          <t>Ambos</t>
        </is>
      </c>
      <c r="E41" s="39" t="inlineStr">
        <is>
          <t>Caminar a The Crown: 1,6 km derecho por Park Row hacia Bowery (~20 min) — o R/W City Hall → Canal St si llueve.</t>
        </is>
      </c>
      <c r="F41" s="37" t="inlineStr"/>
      <c r="G41" s="40" t="inlineStr"/>
      <c r="H41" s="41" t="inlineStr"/>
      <c r="I41" s="41" t="inlineStr"/>
    </row>
    <row r="42" ht="30" customHeight="1">
      <c r="A42" s="35" t="n"/>
      <c r="B42" s="42" t="inlineStr">
        <is>
          <t>19:15</t>
        </is>
      </c>
      <c r="C42" s="43" t="inlineStr">
        <is>
          <t>20:45</t>
        </is>
      </c>
      <c r="D42" s="44" t="inlineStr">
        <is>
          <t>Ambos</t>
        </is>
      </c>
      <c r="E42" s="45" t="inlineStr">
        <is>
          <t>★ The Crown (50 Bowery, piso 21) — rooftop sin cover, EN EL ATARDECER (~19:27): el Manhattan Bridge que acaban de cruzar se enciende de frente mientras cae el sol. Es el ángulo que no da ningún observatorio pago — luz, atardecer y noche en un solo trago.</t>
        </is>
      </c>
      <c r="F42" s="43" t="inlineStr">
        <is>
          <t>The Crown (50 Bowery)</t>
        </is>
      </c>
      <c r="G42" s="40" t="inlineStr"/>
      <c r="H42" s="41" t="inlineStr"/>
      <c r="I42" s="41" t="inlineStr"/>
    </row>
    <row r="43" ht="30" customHeight="1">
      <c r="A43" s="35" t="n"/>
      <c r="B43" s="36" t="inlineStr">
        <is>
          <t>20:45</t>
        </is>
      </c>
      <c r="C43" s="37" t="inlineStr">
        <is>
          <t>22:15</t>
        </is>
      </c>
      <c r="D43" s="38" t="inlineStr">
        <is>
          <t>Ambos</t>
        </is>
      </c>
      <c r="E43" s="39" t="inlineStr">
        <is>
          <t>Cena en el East Village / LES: Katz's abre hasta tarde (a esta hora la cola del domingo ya bajó).</t>
        </is>
      </c>
      <c r="F43" s="37" t="inlineStr">
        <is>
          <t>Katz's Delicatessen</t>
        </is>
      </c>
      <c r="G43" s="40" t="inlineStr">
        <is>
          <t>🚶 ~20 min a pie (1.3 km) o 🚇 ~15 min · estimado</t>
        </is>
      </c>
      <c r="H43" s="41" t="inlineStr"/>
      <c r="I43" s="41" t="inlineStr"/>
    </row>
    <row r="44" ht="30" customHeight="1">
      <c r="A44" s="35" t="n"/>
      <c r="B44" s="36" t="inlineStr">
        <is>
          <t>22:15</t>
        </is>
      </c>
      <c r="C44" s="37" t="inlineStr"/>
      <c r="D44" s="38" t="inlineStr">
        <is>
          <t>Ambos</t>
        </is>
      </c>
      <c r="E44" s="39" t="inlineStr">
        <is>
          <t>Opcional: Nublu (Avenue C) — jazz experimental y afrobeat hasta tarde. A 14 minutos A PIE de Katz's. Lo marcaron 2 los dos.</t>
        </is>
      </c>
      <c r="F44" s="37" t="inlineStr">
        <is>
          <t>Nublu</t>
        </is>
      </c>
      <c r="G44" s="40" t="inlineStr">
        <is>
          <t>🚶 ~14 min a pie · 1.1 km · estimado</t>
        </is>
      </c>
      <c r="H44" s="41" t="inlineStr"/>
      <c r="I44" s="41" t="inlineStr"/>
    </row>
    <row r="45" ht="32" customHeight="1">
      <c r="A45"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7" ht="22" customHeight="1">
      <c r="A47" s="33" t="inlineStr">
        <is>
          <t>DÍA 3 · Lunes 31/08 · JP solo · Midtown total: MoMA, Top of the Rock y Birdland  —  base: Ink48 → JGStay SoHo (las valijas viajan con Thais)  ·  Solo JP</t>
        </is>
      </c>
    </row>
    <row r="48" ht="32" customHeight="1">
      <c r="A48"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9" ht="30" customHeight="1">
      <c r="A49" s="35" t="n"/>
      <c r="B49" s="36" t="inlineStr">
        <is>
          <t>08:00</t>
        </is>
      </c>
      <c r="C49" s="37" t="inlineStr">
        <is>
          <t>08:10</t>
        </is>
      </c>
      <c r="D49" s="38" t="inlineStr">
        <is>
          <t>Thais</t>
        </is>
      </c>
      <c r="E49" s="39" t="inlineStr">
        <is>
          <t>THAIS: checkout de Ink48 y tren temprano a New Jersey con LAS DOS valijas — hoy EMPIEZA A TRABAJAR. No participa de nada de este día. JP sale solo con su bolso de dos noches.</t>
        </is>
      </c>
      <c r="F49" s="37" t="inlineStr">
        <is>
          <t>Hotel Ink48 (29-31 ago)</t>
        </is>
      </c>
      <c r="G49" s="40" t="inlineStr"/>
      <c r="H49" s="41" t="inlineStr"/>
      <c r="I49" s="41" t="inlineStr"/>
    </row>
    <row r="50" ht="16" customHeight="1">
      <c r="A50" s="35" t="n"/>
      <c r="B50" s="36" t="inlineStr">
        <is>
          <t>08:10</t>
        </is>
      </c>
      <c r="C50" s="37" t="inlineStr">
        <is>
          <t>08:35</t>
        </is>
      </c>
      <c r="D50" s="38" t="inlineStr">
        <is>
          <t>Solo JP</t>
        </is>
      </c>
      <c r="E50" s="39" t="inlineStr">
        <is>
          <t>JP: checkout y subte N/R/W desde 49 St derecho por Broadway hasta Canal St (~15 min).</t>
        </is>
      </c>
      <c r="F50" s="37" t="inlineStr"/>
      <c r="G50" s="40" t="inlineStr"/>
      <c r="H50" s="41" t="inlineStr"/>
      <c r="I50" s="41" t="inlineStr"/>
    </row>
    <row r="51" ht="30" customHeight="1">
      <c r="A51" s="35" t="n"/>
      <c r="B51" s="36" t="inlineStr">
        <is>
          <t>08:35</t>
        </is>
      </c>
      <c r="C51" s="37" t="inlineStr">
        <is>
          <t>09:00</t>
        </is>
      </c>
      <c r="D51" s="38" t="inlineStr">
        <is>
          <t>Solo JP</t>
        </is>
      </c>
      <c r="E51" s="39" t="inlineStr">
        <is>
          <t>Dejar el bolso en la CONSIGNA del JGSTAY SOHO (recepción 24 h; el check-in formal es a la tarde — confirmar la consigna por mensaje). Liviano el resto del día.</t>
        </is>
      </c>
      <c r="F51" s="37" t="inlineStr">
        <is>
          <t>JGSTAY SoHo (JP: 31 ago-2 sep)</t>
        </is>
      </c>
      <c r="G51" s="40" t="inlineStr"/>
      <c r="H51" s="41" t="inlineStr"/>
      <c r="I51" s="41" t="inlineStr"/>
    </row>
    <row r="52" ht="16" customHeight="1">
      <c r="A52" s="35" t="n"/>
      <c r="B52" s="36" t="inlineStr">
        <is>
          <t>09:00</t>
        </is>
      </c>
      <c r="C52" s="37" t="inlineStr">
        <is>
          <t>09:20</t>
        </is>
      </c>
      <c r="D52" s="38" t="inlineStr">
        <is>
          <t>Solo JP</t>
        </is>
      </c>
      <c r="E52" s="39" t="inlineStr">
        <is>
          <t>Subte 6 desde Canal St directo hasta Grand Central (~20 min).</t>
        </is>
      </c>
      <c r="F52" s="37" t="inlineStr"/>
      <c r="G52" s="40" t="inlineStr"/>
      <c r="H52" s="41" t="inlineStr"/>
      <c r="I52" s="41" t="inlineStr"/>
    </row>
    <row r="53" ht="30" customHeight="1">
      <c r="A53" s="35" t="n"/>
      <c r="B53" s="36" t="inlineStr">
        <is>
          <t>09:20</t>
        </is>
      </c>
      <c r="C53" s="37" t="inlineStr">
        <is>
          <t>09:45</t>
        </is>
      </c>
      <c r="D53" s="38" t="inlineStr">
        <is>
          <t>Solo JP</t>
        </is>
      </c>
      <c r="E53" s="39" t="inlineStr">
        <is>
          <t>Desayuno adentro de Grand Central, en el dining concourse o en el Grand Central Market — ya estás dentro del edificio que venís a ver.</t>
        </is>
      </c>
      <c r="F53" s="37" t="inlineStr">
        <is>
          <t>Grand Central Terminal</t>
        </is>
      </c>
      <c r="G53" s="40" t="inlineStr"/>
      <c r="H53" s="41" t="inlineStr"/>
      <c r="I53" s="41" t="inlineStr"/>
    </row>
    <row r="54" ht="30" customHeight="1">
      <c r="A54" s="35" t="n"/>
      <c r="B54" s="42" t="inlineStr">
        <is>
          <t>09:45</t>
        </is>
      </c>
      <c r="C54" s="43" t="inlineStr">
        <is>
          <t>10:15</t>
        </is>
      </c>
      <c r="D54" s="44" t="inlineStr">
        <is>
          <t>Solo JP</t>
        </is>
      </c>
      <c r="E54" s="45" t="inlineStr">
        <is>
          <t>Grand Central Terminal: el techo celeste pintado al revés y la Whispering Gallery frente al Oyster Bar.</t>
        </is>
      </c>
      <c r="F54" s="43" t="inlineStr">
        <is>
          <t>Grand Central Terminal</t>
        </is>
      </c>
      <c r="G54" s="40" t="inlineStr"/>
      <c r="H54" s="41" t="inlineStr"/>
      <c r="I54" s="41" t="inlineStr"/>
    </row>
    <row r="55" ht="16" customHeight="1">
      <c r="A55" s="35" t="n"/>
      <c r="B55" s="36" t="inlineStr">
        <is>
          <t>10:15</t>
        </is>
      </c>
      <c r="C55" s="37" t="inlineStr">
        <is>
          <t>11:00</t>
        </is>
      </c>
      <c r="D55" s="38" t="inlineStr">
        <is>
          <t>Solo JP</t>
        </is>
      </c>
      <c r="E55" s="39" t="inlineStr">
        <is>
          <t>Lobby del Chrysler Building — art déco puro. SOLO lun-vie 8-18h.</t>
        </is>
      </c>
      <c r="F55" s="37" t="inlineStr">
        <is>
          <t>Lobby del Chrysler Building</t>
        </is>
      </c>
      <c r="G55" s="40" t="inlineStr">
        <is>
          <t>🚶 ~4 min a pie · 0.2 km · estimado</t>
        </is>
      </c>
      <c r="H55" s="41" t="inlineStr"/>
      <c r="I55" s="41" t="inlineStr"/>
    </row>
    <row r="56" ht="30" customHeight="1">
      <c r="A56" s="35" t="n"/>
      <c r="B56" s="42" t="inlineStr">
        <is>
          <t>11:00</t>
        </is>
      </c>
      <c r="C56" s="43" t="inlineStr">
        <is>
          <t>11:55</t>
        </is>
      </c>
      <c r="D56" s="44" t="inlineStr">
        <is>
          <t>Solo JP</t>
        </is>
      </c>
      <c r="E56" s="45" t="inlineStr">
        <is>
          <t>Ford Foundation Atrium — jardín de 12 pisos dentro de un edificio de oficinas. PREINSCRIPCIÓN online antes de las 17h de ayer. Solo se puede del 31/8 al 3/9.</t>
        </is>
      </c>
      <c r="F56" s="43" t="inlineStr">
        <is>
          <t>Ford Foundation Atrium</t>
        </is>
      </c>
      <c r="G56" s="40" t="inlineStr">
        <is>
          <t>🚶 ~9 min a pie · 0.6 km · estimado</t>
        </is>
      </c>
      <c r="H56" s="41" t="inlineStr"/>
      <c r="I56" s="41" t="inlineStr"/>
    </row>
    <row r="57" ht="30" customHeight="1">
      <c r="A57" s="35" t="n"/>
      <c r="B57" s="36" t="inlineStr">
        <is>
          <t>11:55</t>
        </is>
      </c>
      <c r="C57" s="37" t="inlineStr">
        <is>
          <t>12:55</t>
        </is>
      </c>
      <c r="D57" s="38" t="inlineStr">
        <is>
          <t>Solo JP</t>
        </is>
      </c>
      <c r="E57" s="39" t="inlineStr">
        <is>
          <t>New York Public Library: Rose Main Reading Room — se ve perfecta por libre (los tours gratuitos son 11:00 y 14:00 y no coinciden con esta pasada; no hacen falta).</t>
        </is>
      </c>
      <c r="F57" s="37" t="inlineStr">
        <is>
          <t>New York Public Library (Schwarzman)</t>
        </is>
      </c>
      <c r="G57" s="40" t="inlineStr">
        <is>
          <t>🚶 ~20 min a pie (1.4 km) o 🚇 ~15 min · estimado</t>
        </is>
      </c>
      <c r="H57" s="41" t="inlineStr"/>
      <c r="I57" s="41" t="inlineStr"/>
    </row>
    <row r="58" ht="16" customHeight="1">
      <c r="A58" s="35" t="n"/>
      <c r="B58" s="36" t="inlineStr">
        <is>
          <t>12:55</t>
        </is>
      </c>
      <c r="C58" s="37" t="inlineStr">
        <is>
          <t>13:45</t>
        </is>
      </c>
      <c r="D58" s="38" t="inlineStr">
        <is>
          <t>Solo JP</t>
        </is>
      </c>
      <c r="E58" s="39" t="inlineStr">
        <is>
          <t>Almuerzo cerca de Bryant Park.</t>
        </is>
      </c>
      <c r="F58" s="37" t="inlineStr">
        <is>
          <t>Bryant Park</t>
        </is>
      </c>
      <c r="G58" s="40" t="inlineStr"/>
      <c r="H58" s="41" t="inlineStr"/>
      <c r="I58" s="41" t="inlineStr"/>
    </row>
    <row r="59" ht="30" customHeight="1">
      <c r="A59" s="35" t="n"/>
      <c r="B59" s="42" t="inlineStr">
        <is>
          <t>13:45</t>
        </is>
      </c>
      <c r="C59" s="43" t="inlineStr">
        <is>
          <t>16:30</t>
        </is>
      </c>
      <c r="D59" s="44" t="inlineStr">
        <is>
          <t>Solo JP</t>
        </is>
      </c>
      <c r="E59"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9" s="43" t="inlineStr">
        <is>
          <t>MoMA</t>
        </is>
      </c>
      <c r="G59" s="40" t="inlineStr">
        <is>
          <t>🚶 ~20 min a pie (1.3 km) o 🚇 ~15 min · estimado</t>
        </is>
      </c>
      <c r="H59" s="41" t="inlineStr"/>
      <c r="I59" s="41" t="inlineStr"/>
    </row>
    <row r="60" ht="30" customHeight="1">
      <c r="A60" s="35" t="n"/>
      <c r="B60" s="36" t="inlineStr">
        <is>
          <t>16:30</t>
        </is>
      </c>
      <c r="C60" s="37" t="inlineStr">
        <is>
          <t>17:15</t>
        </is>
      </c>
      <c r="D60" s="38" t="inlineStr">
        <is>
          <t>Solo JP</t>
        </is>
      </c>
      <c r="E60" s="39" t="inlineStr">
        <is>
          <t>Caminar cuatro cuadras: Rockefeller Center a nivel de calle — la plaza, Atlas y St. Patrick's enfrente, sobre la Quinta.</t>
        </is>
      </c>
      <c r="F60" s="37" t="inlineStr"/>
      <c r="G60" s="40" t="inlineStr"/>
      <c r="H60" s="41" t="inlineStr"/>
      <c r="I60" s="41" t="inlineStr"/>
    </row>
    <row r="61" ht="30" customHeight="1">
      <c r="A61" s="35" t="n"/>
      <c r="B61" s="36" t="inlineStr">
        <is>
          <t>17:15</t>
        </is>
      </c>
      <c r="C61" s="37" t="inlineStr">
        <is>
          <t>18:15</t>
        </is>
      </c>
      <c r="D61" s="38" t="inlineStr">
        <is>
          <t>Solo JP</t>
        </is>
      </c>
      <c r="E61" s="39" t="inlineStr">
        <is>
          <t>Cena TEMPRANA en Midtown. Hoy se cena ANTES de subir: la noche está tomada por el arco del observatorio y Birdland. Las valijas viajan con Thais y el bolso ya espera en SoHo.</t>
        </is>
      </c>
      <c r="F61" s="37" t="inlineStr"/>
      <c r="G61" s="40" t="inlineStr"/>
      <c r="H61" s="41" t="inlineStr"/>
      <c r="I61" s="41" t="inlineStr"/>
    </row>
    <row r="62" ht="30" customHeight="1">
      <c r="A62" s="35" t="n"/>
      <c r="B62" s="42" t="inlineStr">
        <is>
          <t>18:15</t>
        </is>
      </c>
      <c r="C62" s="43" t="inlineStr">
        <is>
          <t>20:10</t>
        </is>
      </c>
      <c r="D62" s="44" t="inlineStr">
        <is>
          <t>Solo JP</t>
        </is>
      </c>
      <c r="E62"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2" s="43" t="inlineStr">
        <is>
          <t>Top of the Rock</t>
        </is>
      </c>
      <c r="G62" s="40" t="inlineStr"/>
      <c r="H62" s="41" t="inlineStr"/>
      <c r="I62" s="41" t="inlineStr"/>
    </row>
    <row r="63" ht="16" customHeight="1">
      <c r="A63" s="35" t="n"/>
      <c r="B63" s="36" t="inlineStr">
        <is>
          <t>20:10</t>
        </is>
      </c>
      <c r="C63" s="37" t="inlineStr">
        <is>
          <t>20:30</t>
        </is>
      </c>
      <c r="D63" s="38" t="inlineStr">
        <is>
          <t>Solo JP</t>
        </is>
      </c>
      <c r="E63" s="39" t="inlineStr">
        <is>
          <t>Caminar a Birdland: 12 minutos (50th y 6ª → 44th entre 8ª y 9ª).</t>
        </is>
      </c>
      <c r="F63" s="37" t="inlineStr"/>
      <c r="G63" s="40" t="inlineStr"/>
      <c r="H63" s="41" t="inlineStr"/>
      <c r="I63" s="41" t="inlineStr"/>
    </row>
    <row r="64" ht="30" customHeight="1">
      <c r="A64" s="35" t="n"/>
      <c r="B64" s="42" t="inlineStr">
        <is>
          <t>20:30</t>
        </is>
      </c>
      <c r="C64" s="43" t="inlineStr">
        <is>
          <t>22:40</t>
        </is>
      </c>
      <c r="D64" s="44" t="inlineStr">
        <is>
          <t>Solo JP</t>
        </is>
      </c>
      <c r="E64" s="45" t="inlineStr">
        <is>
          <t>★ BIRDLAND: Vince Giordano &amp; the Nighthawks — jazz de los años 20 y 30 con instrumentos de época. Institución de los lunes, y el lunes Broadway está oscuro. Birdland está a 8 cuadras de Penn Station.</t>
        </is>
      </c>
      <c r="F64" s="43" t="inlineStr">
        <is>
          <t>Birdland</t>
        </is>
      </c>
      <c r="G64" s="40" t="inlineStr"/>
      <c r="H64" s="41" t="inlineStr"/>
      <c r="I64" s="41" t="inlineStr"/>
    </row>
    <row r="65" ht="30" customHeight="1">
      <c r="A65" s="35" t="n"/>
      <c r="B65" s="36" t="inlineStr">
        <is>
          <t>22:40</t>
        </is>
      </c>
      <c r="C65" s="37" t="inlineStr"/>
      <c r="D65" s="38" t="inlineStr">
        <is>
          <t>Solo JP</t>
        </is>
      </c>
      <c r="E65" s="39" t="inlineStr">
        <is>
          <t>Birdland ENTERO y sin mirar el reloj: ya NO hay tren que atrapar. Subte A/C/E desde 42 St-Port Authority hasta Canal St (~15 min) y check-in en el JGStay. La noche pasó de terminar 00:35 en New Jersey a ~23:30 en SoHo.</t>
        </is>
      </c>
      <c r="F65" s="37" t="inlineStr">
        <is>
          <t>JGSTAY SoHo (JP: 31 ago-2 sep)</t>
        </is>
      </c>
      <c r="G65" s="40" t="inlineStr"/>
      <c r="H65" s="41" t="inlineStr"/>
      <c r="I65" s="41" t="inlineStr"/>
    </row>
    <row r="66" ht="32" customHeight="1">
      <c r="A66"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8" ht="22" customHeight="1">
      <c r="A68" s="33" t="inlineStr">
        <is>
          <t>DÍA 4 · Martes 01/09 · JP solo · el MET, The Cloisters y la noche del Village  —  base: JGStay SoHo  ·  Solo JP</t>
        </is>
      </c>
    </row>
    <row r="69" ht="32" customHeight="1">
      <c r="A69"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70" ht="30" customHeight="1">
      <c r="A70" s="35" t="n"/>
      <c r="B70" s="36" t="inlineStr">
        <is>
          <t>08:20</t>
        </is>
      </c>
      <c r="C70" s="37" t="inlineStr">
        <is>
          <t>09:10</t>
        </is>
      </c>
      <c r="D70" s="38" t="inlineStr">
        <is>
          <t>Solo JP</t>
        </is>
      </c>
      <c r="E70" s="39" t="inlineStr">
        <is>
          <t>Desayuno INCLUIDO en el JGStay (7-9 AM) — primera mañana del viaje sin tren ni madrugón: el MET abre 10:00 y Canal St está en la puerta.</t>
        </is>
      </c>
      <c r="F70" s="37" t="inlineStr">
        <is>
          <t>JGSTAY SoHo (JP: 31 ago-2 sep)</t>
        </is>
      </c>
      <c r="G70" s="40" t="inlineStr"/>
      <c r="H70" s="41" t="inlineStr"/>
      <c r="I70" s="41" t="inlineStr"/>
    </row>
    <row r="71" ht="16" customHeight="1">
      <c r="A71" s="35" t="n"/>
      <c r="B71" s="36" t="inlineStr">
        <is>
          <t>09:10</t>
        </is>
      </c>
      <c r="C71" s="37" t="inlineStr">
        <is>
          <t>10:00</t>
        </is>
      </c>
      <c r="D71" s="38" t="inlineStr">
        <is>
          <t>Solo JP</t>
        </is>
      </c>
      <c r="E71" s="39" t="inlineStr">
        <is>
          <t>Subte 6 directo desde Canal St hasta 86 St (~35 min): se llega justo a la apertura del MET.</t>
        </is>
      </c>
      <c r="F71" s="37" t="inlineStr"/>
      <c r="G71" s="40" t="inlineStr"/>
      <c r="H71" s="41" t="inlineStr"/>
      <c r="I71" s="41" t="inlineStr"/>
    </row>
    <row r="72" ht="30" customHeight="1">
      <c r="A72" s="35" t="n"/>
      <c r="B72" s="42" t="inlineStr">
        <is>
          <t>10:00</t>
        </is>
      </c>
      <c r="C72" s="43" t="inlineStr">
        <is>
          <t>13:15</t>
        </is>
      </c>
      <c r="D72" s="44" t="inlineStr">
        <is>
          <t>Solo JP</t>
        </is>
      </c>
      <c r="E72"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2" s="43" t="inlineStr">
        <is>
          <t>The Metropolitan Museum of Art</t>
        </is>
      </c>
      <c r="G72" s="40" t="inlineStr"/>
      <c r="H72" s="41" t="inlineStr"/>
      <c r="I72" s="41" t="inlineStr"/>
    </row>
    <row r="73" ht="16" customHeight="1">
      <c r="A73" s="35" t="n"/>
      <c r="B73" s="36" t="inlineStr">
        <is>
          <t>13:15</t>
        </is>
      </c>
      <c r="C73" s="37" t="inlineStr">
        <is>
          <t>13:50</t>
        </is>
      </c>
      <c r="D73" s="38" t="inlineStr">
        <is>
          <t>Solo JP</t>
        </is>
      </c>
      <c r="E73" s="39" t="inlineStr">
        <is>
          <t>Almuerzo RÁPIDO cerca del MET (30-40 min): hoy la tarde tiene museo con hora de cierre.</t>
        </is>
      </c>
      <c r="F73" s="37" t="inlineStr"/>
      <c r="G73" s="40" t="inlineStr"/>
      <c r="H73" s="41" t="inlineStr"/>
      <c r="I73" s="41" t="inlineStr"/>
    </row>
    <row r="74" ht="30" customHeight="1">
      <c r="A74" s="35" t="n"/>
      <c r="B74" s="36" t="inlineStr">
        <is>
          <t>13:50</t>
        </is>
      </c>
      <c r="C74" s="37" t="inlineStr">
        <is>
          <t>14:30</t>
        </is>
      </c>
      <c r="D74" s="38" t="inlineStr">
        <is>
          <t>Solo JP</t>
        </is>
      </c>
      <c r="E74" s="39" t="inlineStr">
        <is>
          <t>Al Cloisters: NO hay tren A en el lado este — la ruta real en subte es M86-SBS cruzando el parque + B/C hasta 168 St + A hasta 190 St (~55 min). El taxi/Uber directo (~25 min, $28-35) compra 40 minutos de museo: hoy se justifica.</t>
        </is>
      </c>
      <c r="F74" s="37" t="inlineStr"/>
      <c r="G74" s="40" t="inlineStr"/>
      <c r="H74" s="41" t="inlineStr"/>
      <c r="I74" s="41" t="inlineStr"/>
    </row>
    <row r="75" ht="30" customHeight="1">
      <c r="A75" s="35" t="n"/>
      <c r="B75" s="42" t="inlineStr">
        <is>
          <t>14:30</t>
        </is>
      </c>
      <c r="C75" s="43" t="inlineStr">
        <is>
          <t>17:00</t>
        </is>
      </c>
      <c r="D75" s="44" t="inlineStr">
        <is>
          <t>Solo JP</t>
        </is>
      </c>
      <c r="E75" s="45" t="inlineStr">
        <is>
          <t>★ THE MET CLOISTERS — arte medieval en un edificio armado con claustros franceses reales, sobre un acantilado del Hudson. INCLUIDO en el ticket del MET del mismo día: guardá el sticker.</t>
        </is>
      </c>
      <c r="F75" s="43" t="inlineStr">
        <is>
          <t>The Met Cloisters</t>
        </is>
      </c>
      <c r="G75" s="40" t="inlineStr"/>
      <c r="H75" s="41" t="inlineStr"/>
      <c r="I75" s="41" t="inlineStr"/>
    </row>
    <row r="76" ht="30" customHeight="1">
      <c r="A76" s="35" t="n"/>
      <c r="B76" s="36" t="inlineStr">
        <is>
          <t>17:00</t>
        </is>
      </c>
      <c r="C76" s="37" t="inlineStr">
        <is>
          <t>17:30</t>
        </is>
      </c>
      <c r="D76" s="38" t="inlineStr">
        <is>
          <t>Solo JP</t>
        </is>
      </c>
      <c r="E76" s="39" t="inlineStr">
        <is>
          <t>Fort Tryon Park — el Hudson y los Palisades sin un solo edificio a la vista. Media hora honesta: el parque ya rodea al Cloisters, y la noche de hoy tiene tres paradas.</t>
        </is>
      </c>
      <c r="F76" s="37" t="inlineStr">
        <is>
          <t>Fort Tryon Park</t>
        </is>
      </c>
      <c r="G76" s="40" t="inlineStr">
        <is>
          <t>🚶 ~5 min a pie · 0.3 km · estimado</t>
        </is>
      </c>
      <c r="H76" s="41" t="inlineStr"/>
      <c r="I76" s="41" t="inlineStr"/>
    </row>
    <row r="77" ht="16" customHeight="1">
      <c r="A77" s="35" t="n"/>
      <c r="B77" s="36" t="inlineStr">
        <is>
          <t>17:30</t>
        </is>
      </c>
      <c r="C77" s="37" t="inlineStr">
        <is>
          <t>18:10</t>
        </is>
      </c>
      <c r="D77" s="38" t="inlineStr">
        <is>
          <t>Solo JP</t>
        </is>
      </c>
      <c r="E77" s="39" t="inlineStr">
        <is>
          <t>Tren A desde 190 St directo hasta W 4 St-Washington Sq (~35 min).</t>
        </is>
      </c>
      <c r="F77" s="37" t="inlineStr"/>
      <c r="G77" s="40" t="inlineStr"/>
      <c r="H77" s="41" t="inlineStr"/>
      <c r="I77" s="41" t="inlineStr"/>
    </row>
    <row r="78" ht="30" customHeight="1">
      <c r="A78" s="35" t="n"/>
      <c r="B78" s="36" t="inlineStr">
        <is>
          <t>18:10</t>
        </is>
      </c>
      <c r="C78" s="37" t="inlineStr">
        <is>
          <t>18:35</t>
        </is>
      </c>
      <c r="D78" s="38" t="inlineStr">
        <is>
          <t>Solo JP</t>
        </is>
      </c>
      <c r="E78" s="39" t="inlineStr">
        <is>
          <t>Washington Square Park (JP lo marcó 2): el arco, los músicos y las mesas de ajedrez al caer la tarde. Veinte minutos.</t>
        </is>
      </c>
      <c r="F78" s="37" t="inlineStr">
        <is>
          <t>Washington Square Park</t>
        </is>
      </c>
      <c r="G78" s="40" t="inlineStr"/>
      <c r="H78" s="41" t="inlineStr"/>
      <c r="I78" s="41" t="inlineStr"/>
    </row>
    <row r="79" ht="30" customHeight="1">
      <c r="A79" s="35" t="n"/>
      <c r="B79" s="36" t="inlineStr">
        <is>
          <t>18:35</t>
        </is>
      </c>
      <c r="C79" s="37" t="inlineStr">
        <is>
          <t>18:45</t>
        </is>
      </c>
      <c r="D79" s="38" t="inlineStr">
        <is>
          <t>Solo JP</t>
        </is>
      </c>
      <c r="E79" s="39" t="inlineStr">
        <is>
          <t>Bajar MacDougal St — la cuadra folk de los 60s (Caffe Reggio, el viejo Gaslight) — hasta Houston: 8-10 min y es paseo, no traslado.</t>
        </is>
      </c>
      <c r="F79" s="37" t="inlineStr"/>
      <c r="G79" s="40" t="inlineStr"/>
      <c r="H79" s="41" t="inlineStr"/>
      <c r="I79" s="41" t="inlineStr"/>
    </row>
    <row r="80" ht="30" customHeight="1">
      <c r="A80" s="35" t="n"/>
      <c r="B80" s="42" t="inlineStr">
        <is>
          <t>18:45</t>
        </is>
      </c>
      <c r="C80" s="43" t="inlineStr">
        <is>
          <t>19:40</t>
        </is>
      </c>
      <c r="D80" s="44" t="inlineStr">
        <is>
          <t>Solo JP</t>
        </is>
      </c>
      <c r="E80"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80" s="43" t="inlineStr">
        <is>
          <t>Hamburger America</t>
        </is>
      </c>
      <c r="G80" s="40" t="inlineStr">
        <is>
          <t>🚶 ~10 min a pie · 0.8 km · estimado</t>
        </is>
      </c>
      <c r="H80" s="41" t="inlineStr"/>
      <c r="I80" s="41" t="inlineStr"/>
    </row>
    <row r="81" ht="30" customHeight="1">
      <c r="A81" s="35" t="n"/>
      <c r="B81" s="36" t="inlineStr">
        <is>
          <t>19:40</t>
        </is>
      </c>
      <c r="C81" s="37" t="inlineStr">
        <is>
          <t>20:30</t>
        </is>
      </c>
      <c r="D81" s="38" t="inlineStr">
        <is>
          <t>Solo JP</t>
        </is>
      </c>
      <c r="E81" s="39" t="inlineStr">
        <is>
          <t>Paseo por el West Village sin plan: Bleecker, Grove, Bedford. La única grilla rota de Manhattan, y de noche es cuando mejor está.</t>
        </is>
      </c>
      <c r="F81" s="37" t="inlineStr">
        <is>
          <t>West Village</t>
        </is>
      </c>
      <c r="G81" s="40" t="inlineStr">
        <is>
          <t>🚶 ~11 min a pie · 0.8 km · estimado</t>
        </is>
      </c>
      <c r="H81" s="41" t="inlineStr"/>
      <c r="I81" s="41" t="inlineStr"/>
    </row>
    <row r="82" ht="30" customHeight="1">
      <c r="A82" s="35" t="n"/>
      <c r="B82" s="42" t="inlineStr">
        <is>
          <t>20:30</t>
        </is>
      </c>
      <c r="C82" s="43" t="inlineStr">
        <is>
          <t>22:30</t>
        </is>
      </c>
      <c r="D82" s="44" t="inlineStr">
        <is>
          <t>Solo JP</t>
        </is>
      </c>
      <c r="E82"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2" s="43" t="inlineStr">
        <is>
          <t>Smalls Jazz Club</t>
        </is>
      </c>
      <c r="G82" s="40" t="inlineStr"/>
      <c r="H82" s="41" t="inlineStr"/>
      <c r="I82" s="41" t="inlineStr"/>
    </row>
    <row r="83" ht="30" customHeight="1">
      <c r="A83" s="35" t="n"/>
      <c r="B83" s="36" t="inlineStr">
        <is>
          <t>22:30</t>
        </is>
      </c>
      <c r="C83" s="37" t="inlineStr"/>
      <c r="D83" s="38" t="inlineStr">
        <is>
          <t>Solo JP</t>
        </is>
      </c>
      <c r="E83" s="39" t="inlineStr">
        <is>
          <t>Caminar al JGStay: 20-25 min cruzando el Village y SoHo, que a esta hora es el mejor paseo del viaje. O subte 1 desde Christopher St a Canal.</t>
        </is>
      </c>
      <c r="F83" s="37" t="inlineStr">
        <is>
          <t>JGSTAY SoHo (JP: 31 ago-2 sep)</t>
        </is>
      </c>
      <c r="G83" s="40" t="inlineStr"/>
      <c r="H83" s="41" t="inlineStr"/>
      <c r="I83" s="41" t="inlineStr"/>
    </row>
    <row r="84" ht="32" customHeight="1">
      <c r="A84"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6" ht="22" customHeight="1">
      <c r="A86" s="33" t="inlineStr">
        <is>
          <t>DÍA 5 · Miércoles 02/09 · JP solo · Historia Natural, Frick gratis y McBride en Central Park  —  base: JGStay SoHo → New Jersey (la ÚNICA vuelta nocturna)  ·  Solo JP</t>
        </is>
      </c>
    </row>
    <row r="87" ht="32" customHeight="1">
      <c r="A87"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8" ht="30" customHeight="1">
      <c r="A88" s="35" t="n"/>
      <c r="B88" s="36" t="inlineStr">
        <is>
          <t>08:15</t>
        </is>
      </c>
      <c r="C88" s="37" t="inlineStr">
        <is>
          <t>09:15</t>
        </is>
      </c>
      <c r="D88" s="38" t="inlineStr">
        <is>
          <t>Solo JP</t>
        </is>
      </c>
      <c r="E88" s="39" t="inlineStr">
        <is>
          <t>Desayuno incluido en el JGStay y CHECKOUT: el bolso queda en la CONSIGNA — se retira a la tarde, en el hueco libre del día.</t>
        </is>
      </c>
      <c r="F88" s="37" t="inlineStr">
        <is>
          <t>JGSTAY SoHo (JP: 31 ago-2 sep)</t>
        </is>
      </c>
      <c r="G88" s="40" t="inlineStr"/>
      <c r="H88" s="41" t="inlineStr"/>
      <c r="I88" s="41" t="inlineStr"/>
    </row>
    <row r="89" ht="16" customHeight="1">
      <c r="A89" s="35" t="n"/>
      <c r="B89" s="36" t="inlineStr">
        <is>
          <t>09:15</t>
        </is>
      </c>
      <c r="C89" s="37" t="inlineStr">
        <is>
          <t>10:00</t>
        </is>
      </c>
      <c r="D89" s="38" t="inlineStr">
        <is>
          <t>Solo JP</t>
        </is>
      </c>
      <c r="E89" s="39" t="inlineStr">
        <is>
          <t>Subte A o C desde Canal St hasta 81 St-Museum of Natural History (~30 min).</t>
        </is>
      </c>
      <c r="F89" s="37" t="inlineStr"/>
      <c r="G89" s="40" t="inlineStr"/>
      <c r="H89" s="41" t="inlineStr"/>
      <c r="I89" s="41" t="inlineStr"/>
    </row>
    <row r="90" ht="30" customHeight="1">
      <c r="A90" s="35" t="n"/>
      <c r="B90" s="42" t="inlineStr">
        <is>
          <t>10:00</t>
        </is>
      </c>
      <c r="C90" s="43" t="inlineStr">
        <is>
          <t>12:45</t>
        </is>
      </c>
      <c r="D90" s="44" t="inlineStr">
        <is>
          <t>Solo JP</t>
        </is>
      </c>
      <c r="E90" s="45" t="inlineStr">
        <is>
          <t>★ AMERICAN MUSEUM OF NATURAL HISTORY — dinosaurios, la ballena azul y el Gilder Center nuevo de Studio Gang. $37. Thais lo marcó 0: es de hoy.</t>
        </is>
      </c>
      <c r="F90" s="43" t="inlineStr">
        <is>
          <t>American Museum of Natural History</t>
        </is>
      </c>
      <c r="G90" s="40" t="inlineStr"/>
      <c r="H90" s="41" t="inlineStr"/>
      <c r="I90" s="41" t="inlineStr"/>
    </row>
    <row r="91" ht="16" customHeight="1">
      <c r="A91" s="35" t="n"/>
      <c r="B91" s="36" t="inlineStr">
        <is>
          <t>12:45</t>
        </is>
      </c>
      <c r="C91" s="37" t="inlineStr">
        <is>
          <t>13:45</t>
        </is>
      </c>
      <c r="D91" s="38" t="inlineStr">
        <is>
          <t>Solo JP</t>
        </is>
      </c>
      <c r="E91" s="39" t="inlineStr">
        <is>
          <t>Almuerzo y cruzar Central Park de oeste a este (20 min a pie).</t>
        </is>
      </c>
      <c r="F91" s="37" t="inlineStr"/>
      <c r="G91" s="40" t="inlineStr"/>
      <c r="H91" s="41" t="inlineStr"/>
      <c r="I91" s="41" t="inlineStr"/>
    </row>
    <row r="92" ht="30" customHeight="1">
      <c r="A92" s="35" t="n"/>
      <c r="B92" s="42" t="inlineStr">
        <is>
          <t>13:45</t>
        </is>
      </c>
      <c r="C92" s="43" t="inlineStr">
        <is>
          <t>16:30</t>
        </is>
      </c>
      <c r="D92" s="44" t="inlineStr">
        <is>
          <t>Solo JP</t>
        </is>
      </c>
      <c r="E92" s="45" t="inlineStr">
        <is>
          <t>★ THE FRICK COLLECTION — pay-what-you-wish los miércoles 13:30-17:30, y ESA VENTANA ES TODA: fuera de ahí son $30. Vermeer, Rembrandt y Bellini colgados como en una casa, porque era una casa. Online el mínimo es $5 y CONVIENE RESERVAR: el cupo en puerta existe pero no está garantizado. Llegar 13:45 como está planeado deja las cuatro horas justas.</t>
        </is>
      </c>
      <c r="F92" s="43" t="inlineStr">
        <is>
          <t>The Frick Collection</t>
        </is>
      </c>
      <c r="G92" s="40" t="inlineStr">
        <is>
          <t>🚶 ~25 min a pie (1.6 km) o 🚇 ~15 min · estimado</t>
        </is>
      </c>
      <c r="H92" s="41" t="inlineStr"/>
      <c r="I92" s="41" t="inlineStr"/>
    </row>
    <row r="93" ht="30" customHeight="1">
      <c r="A93" s="35" t="n"/>
      <c r="B93" s="36" t="inlineStr">
        <is>
          <t>16:30</t>
        </is>
      </c>
      <c r="C93" s="37" t="inlineStr">
        <is>
          <t>17:45</t>
        </is>
      </c>
      <c r="D93" s="38" t="inlineStr">
        <is>
          <t>Solo JP</t>
        </is>
      </c>
      <c r="E93"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3" s="37" t="inlineStr">
        <is>
          <t>JGSTAY SoHo (JP: 31 ago-2 sep)</t>
        </is>
      </c>
      <c r="G93" s="40" t="inlineStr"/>
      <c r="H93" s="41" t="inlineStr"/>
      <c r="I93" s="41" t="inlineStr"/>
    </row>
    <row r="94" ht="30" customHeight="1">
      <c r="A94" s="35" t="n"/>
      <c r="B94" s="36" t="inlineStr">
        <is>
          <t>17:45</t>
        </is>
      </c>
      <c r="C94" s="37" t="inlineStr">
        <is>
          <t>18:45</t>
        </is>
      </c>
      <c r="D94" s="38" t="inlineStr">
        <is>
          <t>Solo JP</t>
        </is>
      </c>
      <c r="E94" s="39" t="inlineStr">
        <is>
          <t>Subte 6 al sur. Cena TEMPRANA cerca de Central Park: hoy no hay cena tardía posible, el tren manda.</t>
        </is>
      </c>
      <c r="F94" s="37" t="inlineStr"/>
      <c r="G94" s="40" t="inlineStr"/>
      <c r="H94" s="41" t="inlineStr"/>
      <c r="I94" s="41" t="inlineStr"/>
    </row>
    <row r="95" ht="16" customHeight="1">
      <c r="A95" s="35" t="n"/>
      <c r="B95" s="36" t="inlineStr">
        <is>
          <t>18:45</t>
        </is>
      </c>
      <c r="C95" s="37" t="inlineStr">
        <is>
          <t>19:00</t>
        </is>
      </c>
      <c r="D95" s="38" t="inlineStr">
        <is>
          <t>Solo JP</t>
        </is>
      </c>
      <c r="E95" s="39" t="inlineStr">
        <is>
          <t>Entrar a Rumsey Playfield. Puertas 18:00 y con este cartel se llena: cuanto antes, mejor lugar.</t>
        </is>
      </c>
      <c r="F95" s="37" t="inlineStr"/>
      <c r="G95" s="40" t="inlineStr"/>
      <c r="H95" s="41" t="inlineStr"/>
      <c r="I95" s="41" t="inlineStr"/>
    </row>
    <row r="96" ht="30" customHeight="1">
      <c r="A96" s="35" t="n"/>
      <c r="B96" s="42" t="inlineStr">
        <is>
          <t>19:00</t>
        </is>
      </c>
      <c r="C96" s="43" t="inlineStr">
        <is>
          <t>22:00</t>
        </is>
      </c>
      <c r="D96" s="44" t="inlineStr">
        <is>
          <t>Solo JP</t>
        </is>
      </c>
      <c r="E96" s="45" t="inlineStr">
        <is>
          <t>★★ SUMMERSTAGE: Christian McBride + SAMARA JOY + Mei Semones — Verve 70 aniversario y Getz/Gilberto. GRATIS, sin ticket, Rumsey Playfield, 19:00-22:00.</t>
        </is>
      </c>
      <c r="F96" s="43" t="inlineStr">
        <is>
          <t>SummerStage: Christian McBride (gratis)</t>
        </is>
      </c>
      <c r="G96" s="40" t="inlineStr"/>
      <c r="H96" s="41" t="inlineStr"/>
      <c r="I96" s="41" t="inlineStr"/>
    </row>
    <row r="97" ht="30" customHeight="1">
      <c r="A97" s="35" t="n"/>
      <c r="B97" s="36" t="inlineStr">
        <is>
          <t>22:00</t>
        </is>
      </c>
      <c r="C97" s="37" t="inlineStr">
        <is>
          <t>22:48</t>
        </is>
      </c>
      <c r="D97" s="38" t="inlineStr">
        <is>
          <t>Solo JP</t>
        </is>
      </c>
      <c r="E97" s="39" t="inlineStr">
        <is>
          <t>Salir del parque por la 72 y subte 1/2/3 hasta 34 St-Penn Station. Son 25-30 min puerta a puerta: llegás a Penn 22:25-22:30, con 18-23 min de colchón.</t>
        </is>
      </c>
      <c r="F97" s="37" t="inlineStr"/>
      <c r="G97" s="40" t="inlineStr"/>
      <c r="H97" s="41" t="inlineStr"/>
      <c r="I97" s="41" t="inlineStr"/>
    </row>
    <row r="98" ht="30" customHeight="1">
      <c r="A98" s="35" t="n"/>
      <c r="B98" s="36" t="inlineStr">
        <is>
          <t>22:48</t>
        </is>
      </c>
      <c r="C98" s="37" t="inlineStr">
        <is>
          <t>00:15</t>
        </is>
      </c>
      <c r="D98" s="38" t="inlineStr">
        <is>
          <t>Solo JP</t>
        </is>
      </c>
      <c r="E98" s="39" t="inlineStr">
        <is>
          <t>NJ Transit DIRECTO Penn → Raritan (tren 5197), llega 00:04. $18,50. ⚠️ ES EL TREN CRÍTICO: si lo perdés, la próxima llegada a Raritan es 01:31.</t>
        </is>
      </c>
      <c r="F98" s="37" t="inlineStr"/>
      <c r="G98" s="40" t="inlineStr"/>
      <c r="H98" s="41" t="inlineStr"/>
      <c r="I98" s="41" t="inlineStr"/>
    </row>
    <row r="99" ht="30" customHeight="1">
      <c r="A99" s="35" t="n"/>
      <c r="B99" s="36" t="inlineStr">
        <is>
          <t>00:15</t>
        </is>
      </c>
      <c r="C99" s="37" t="inlineStr"/>
      <c r="D99" s="38" t="inlineStr">
        <is>
          <t>Solo JP</t>
        </is>
      </c>
      <c r="E99" s="39" t="inlineStr">
        <is>
          <t>Uber Raritan → Residence Inn (pedirlo antes de subir al tren). Mañana: despertador 5:45 para el tren de las 6:55 con las maletas.</t>
        </is>
      </c>
      <c r="F99" s="37" t="inlineStr">
        <is>
          <t>Residence Inn Branchburg (Thais 31/8-3/9 · JP solo la noche del 2)</t>
        </is>
      </c>
      <c r="G99" s="40" t="inlineStr"/>
      <c r="H99" s="41" t="inlineStr"/>
      <c r="I99" s="41" t="inlineStr"/>
    </row>
    <row r="100" ht="32" customHeight="1">
      <c r="A100"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2" ht="22" customHeight="1">
      <c r="A102" s="33" t="inlineStr">
        <is>
          <t>DÍA 6 · Jueves 03/09 · Traslado + World Trade Center completo + ferry con Thais  —  base: New Jersey → The Beacon  ·  Solo JP</t>
        </is>
      </c>
    </row>
    <row r="103" ht="32" customHeight="1">
      <c r="A103"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4" ht="30" customHeight="1">
      <c r="A104" s="35" t="n"/>
      <c r="B104" s="36" t="inlineStr">
        <is>
          <t>06:20</t>
        </is>
      </c>
      <c r="C104" s="37" t="inlineStr">
        <is>
          <t>06:55</t>
        </is>
      </c>
      <c r="D104" s="38" t="inlineStr">
        <is>
          <t>Solo JP</t>
        </is>
      </c>
      <c r="E104" s="39" t="inlineStr">
        <is>
          <t>Uber desde el Residence Inn a la estación Raritan (~20 min, $14-20). PEDIRLO LA NOCHE ANTERIOR: Branchburg es semi-rural y a esa hora puede no haber autos.</t>
        </is>
      </c>
      <c r="F104" s="37" t="inlineStr">
        <is>
          <t>Residence Inn Branchburg (Thais 31/8-3/9 · JP solo la noche del 2)</t>
        </is>
      </c>
      <c r="G104" s="40" t="inlineStr"/>
      <c r="H104" s="41" t="inlineStr"/>
      <c r="I104" s="41" t="inlineStr"/>
    </row>
    <row r="105" ht="30" customHeight="1">
      <c r="A105" s="35" t="n"/>
      <c r="B105" s="36" t="inlineStr">
        <is>
          <t>06:55</t>
        </is>
      </c>
      <c r="C105" s="37" t="inlineStr">
        <is>
          <t>08:30</t>
        </is>
      </c>
      <c r="D105" s="38" t="inlineStr">
        <is>
          <t>Solo JP</t>
        </is>
      </c>
      <c r="E105" s="39" t="inlineStr">
        <is>
          <t>NJ Transit Raritan → NY Penn Station. Llega 8:20. $18,50. Con maletas, ir al vagón con espacio de equipaje.</t>
        </is>
      </c>
      <c r="F105" s="37" t="inlineStr"/>
      <c r="G105" s="40" t="inlineStr"/>
      <c r="H105" s="41" t="inlineStr"/>
      <c r="I105" s="41" t="inlineStr"/>
    </row>
    <row r="106" ht="16" customHeight="1">
      <c r="A106" s="35" t="n"/>
      <c r="B106" s="36" t="inlineStr">
        <is>
          <t>08:30</t>
        </is>
      </c>
      <c r="C106" s="37" t="inlineStr">
        <is>
          <t>08:45</t>
        </is>
      </c>
      <c r="D106" s="38" t="inlineStr">
        <is>
          <t>Solo JP</t>
        </is>
      </c>
      <c r="E106" s="39" t="inlineStr">
        <is>
          <t>Subte 1/2/3 desde 34 St-Penn Station hasta 72 St. Diez minutos, directo.</t>
        </is>
      </c>
      <c r="F106" s="37" t="inlineStr"/>
      <c r="G106" s="40" t="inlineStr"/>
      <c r="H106" s="41" t="inlineStr"/>
      <c r="I106" s="41" t="inlineStr"/>
    </row>
    <row r="107" ht="30" customHeight="1">
      <c r="A107" s="35" t="n"/>
      <c r="B107" s="42" t="inlineStr">
        <is>
          <t>08:45</t>
        </is>
      </c>
      <c r="C107" s="43" t="inlineStr">
        <is>
          <t>09:15</t>
        </is>
      </c>
      <c r="D107" s="44" t="inlineStr">
        <is>
          <t>Solo JP</t>
        </is>
      </c>
      <c r="E107" s="45" t="inlineStr">
        <is>
          <t>★ THE BEACON — dejar las maletas en el bell desk. El check-in formal es a la tarde, con Thais, pero el equipaje se puede dejar desde temprano. Confirmalo por mail antes de viajar.</t>
        </is>
      </c>
      <c r="F107" s="43" t="inlineStr">
        <is>
          <t>Hotel The Beacon (3-6 sep)</t>
        </is>
      </c>
      <c r="G107" s="40" t="inlineStr"/>
      <c r="H107" s="41" t="inlineStr"/>
      <c r="I107" s="41" t="inlineStr"/>
    </row>
    <row r="108" ht="30" customHeight="1">
      <c r="A108" s="35" t="n"/>
      <c r="B108" s="36" t="inlineStr">
        <is>
          <t>09:15</t>
        </is>
      </c>
      <c r="C108" s="37" t="inlineStr">
        <is>
          <t>09:50</t>
        </is>
      </c>
      <c r="D108" s="38" t="inlineStr">
        <is>
          <t>Solo JP</t>
        </is>
      </c>
      <c r="E108" s="39" t="inlineStr">
        <is>
          <t>Subte 1 directo desde 72 St hasta WTC Cortlandt (~30 min). Alternativa: 2/3 express hasta Chambers St y 5 min a pie.</t>
        </is>
      </c>
      <c r="F108" s="37" t="inlineStr"/>
      <c r="G108" s="40" t="inlineStr"/>
      <c r="H108" s="41" t="inlineStr"/>
      <c r="I108" s="41" t="inlineStr"/>
    </row>
    <row r="109" ht="30" customHeight="1">
      <c r="A109" s="35" t="n"/>
      <c r="B109" s="42" t="inlineStr">
        <is>
          <t>09:50</t>
        </is>
      </c>
      <c r="C109" s="43" t="inlineStr">
        <is>
          <t>10:30</t>
        </is>
      </c>
      <c r="D109" s="44" t="inlineStr">
        <is>
          <t>Solo JP</t>
        </is>
      </c>
      <c r="E109" s="45" t="inlineStr">
        <is>
          <t>★ 9/11 MEMORIAL (la plaza) — las dos fuentes en las huellas de las torres y el Survivor Tree. Gratis, abierto desde las 8:00. Verlo ANTES del museo ordena la visita.</t>
        </is>
      </c>
      <c r="F109" s="43" t="inlineStr"/>
      <c r="G109" s="40" t="inlineStr"/>
      <c r="H109" s="41" t="inlineStr"/>
      <c r="I109" s="41" t="inlineStr"/>
    </row>
    <row r="110" ht="30" customHeight="1">
      <c r="A110" s="35" t="n"/>
      <c r="B110" s="42" t="inlineStr">
        <is>
          <t>10:30</t>
        </is>
      </c>
      <c r="C110" s="43" t="inlineStr">
        <is>
          <t>12:45</t>
        </is>
      </c>
      <c r="D110" s="44" t="inlineStr">
        <is>
          <t>Solo JP</t>
        </is>
      </c>
      <c r="E110" s="45" t="inlineStr">
        <is>
          <t>★★ 9/11 MEMORIAL MUSEUM — $36, TIMED TICKET OBLIGATORIO comprado online antes (el museo no vende en puerta sin reserva). 2 horas largas; es duro y muy bien hecho. Thais lo marcó 0: por eso va en la mañana de JP solo.</t>
        </is>
      </c>
      <c r="F110" s="43" t="inlineStr">
        <is>
          <t>9/11 Memorial Museum</t>
        </is>
      </c>
      <c r="G110" s="40" t="inlineStr"/>
      <c r="H110" s="41" t="inlineStr"/>
      <c r="I110" s="41" t="inlineStr"/>
    </row>
    <row r="111" ht="30" customHeight="1">
      <c r="A111" s="35" t="n"/>
      <c r="B111" s="36" t="inlineStr">
        <is>
          <t>12:45</t>
        </is>
      </c>
      <c r="C111" s="37" t="inlineStr">
        <is>
          <t>13:45</t>
        </is>
      </c>
      <c r="D111" s="38" t="inlineStr">
        <is>
          <t>Solo JP</t>
        </is>
      </c>
      <c r="E111"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1" s="37" t="inlineStr">
        <is>
          <t>Stone St</t>
        </is>
      </c>
      <c r="G111" s="40" t="inlineStr">
        <is>
          <t>🚶 ~14 min a pie · 1.1 km · estimado</t>
        </is>
      </c>
      <c r="H111" s="41" t="inlineStr"/>
      <c r="I111" s="41" t="inlineStr"/>
    </row>
    <row r="112" ht="30" customHeight="1">
      <c r="A112" s="35" t="n"/>
      <c r="B112" s="42" t="inlineStr">
        <is>
          <t>13:45</t>
        </is>
      </c>
      <c r="C112" s="43" t="inlineStr">
        <is>
          <t>15:15</t>
        </is>
      </c>
      <c r="D112" s="44" t="inlineStr">
        <is>
          <t>Solo JP</t>
        </is>
      </c>
      <c r="E112" s="45" t="inlineStr">
        <is>
          <t>★★ ONE WORLD OBSERVATORY — piso 102, el punto más alto del hemisferio occidental, con el puerto y Brooklyn dominando la vista. $44+fee, ventana de entrada de 15 min: sacar el timed ticket online. JP lo subió a 2 en la última pasada.</t>
        </is>
      </c>
      <c r="F112" s="43" t="inlineStr">
        <is>
          <t>One World Observatory</t>
        </is>
      </c>
      <c r="G112" s="40" t="inlineStr">
        <is>
          <t>🚶 ~20 min a pie (1.2 km) o 🚇 ~15 min · estimado</t>
        </is>
      </c>
      <c r="H112" s="41" t="inlineStr"/>
      <c r="I112" s="41" t="inlineStr"/>
    </row>
    <row r="113" ht="30" customHeight="1">
      <c r="A113" s="35" t="n"/>
      <c r="B113" s="36" t="inlineStr">
        <is>
          <t>15:15</t>
        </is>
      </c>
      <c r="C113" s="37" t="inlineStr">
        <is>
          <t>16:00</t>
        </is>
      </c>
      <c r="D113" s="38" t="inlineStr">
        <is>
          <t>Solo JP</t>
        </is>
      </c>
      <c r="E113" s="39" t="inlineStr">
        <is>
          <t>El Oculus en un VISTAZO (5 min — ya estás ahí, y el tiempo no da para más) y R/W desde Cortlandt St hacia el norte.</t>
        </is>
      </c>
      <c r="F113" s="37" t="inlineStr">
        <is>
          <t>Oculus / WTC Transportation Hub</t>
        </is>
      </c>
      <c r="G113" s="40" t="inlineStr">
        <is>
          <t>🚶 ~4 min a pie · 0.3 km · estimado</t>
        </is>
      </c>
      <c r="H113" s="41" t="inlineStr"/>
      <c r="I113" s="41" t="inlineStr"/>
    </row>
    <row r="114" ht="30" customHeight="1">
      <c r="A114" s="35" t="n"/>
      <c r="B114" s="42" t="inlineStr">
        <is>
          <t>16:00</t>
        </is>
      </c>
      <c r="C114" s="43" t="inlineStr">
        <is>
          <t>16:30</t>
        </is>
      </c>
      <c r="D114" s="44" t="inlineStr">
        <is>
          <t>Ambos</t>
        </is>
      </c>
      <c r="E114"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4" s="43" t="inlineStr"/>
      <c r="G114" s="40" t="inlineStr"/>
      <c r="H114" s="41" t="inlineStr"/>
      <c r="I114" s="41" t="inlineStr"/>
    </row>
    <row r="115" ht="30" customHeight="1">
      <c r="A115" s="35" t="n"/>
      <c r="B115" s="42" t="inlineStr">
        <is>
          <t>16:30</t>
        </is>
      </c>
      <c r="C115" s="43" t="inlineStr">
        <is>
          <t>18:05</t>
        </is>
      </c>
      <c r="D115" s="44" t="inlineStr">
        <is>
          <t>Ambos</t>
        </is>
      </c>
      <c r="E115"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5" s="43" t="inlineStr">
        <is>
          <t>Museum of the Moving Image</t>
        </is>
      </c>
      <c r="G115" s="40" t="inlineStr">
        <is>
          <t>🚇 ~40 min en subte · 11.5 km (a pie 155 min) · estimado</t>
        </is>
      </c>
      <c r="H115" s="41" t="inlineStr"/>
      <c r="I115" s="41" t="inlineStr"/>
    </row>
    <row r="116" ht="16" customHeight="1">
      <c r="A116" s="35" t="n"/>
      <c r="B116" s="36" t="inlineStr">
        <is>
          <t>18:05</t>
        </is>
      </c>
      <c r="C116" s="37" t="inlineStr">
        <is>
          <t>18:55</t>
        </is>
      </c>
      <c r="D116" s="38" t="inlineStr">
        <is>
          <t>Ambos</t>
        </is>
      </c>
      <c r="E116" s="39" t="inlineStr">
        <is>
          <t>Subte N/W desde 36 Av hasta Times Sq y 1/2/3 hasta 72 St (~45 min).</t>
        </is>
      </c>
      <c r="F116" s="37" t="inlineStr"/>
      <c r="G116" s="40" t="inlineStr"/>
      <c r="H116" s="41" t="inlineStr"/>
      <c r="I116" s="41" t="inlineStr"/>
    </row>
    <row r="117" ht="16" customHeight="1">
      <c r="A117" s="35" t="n"/>
      <c r="B117" s="36" t="inlineStr">
        <is>
          <t>18:55</t>
        </is>
      </c>
      <c r="C117" s="37" t="inlineStr">
        <is>
          <t>19:15</t>
        </is>
      </c>
      <c r="D117" s="38" t="inlineStr">
        <is>
          <t>Ambos</t>
        </is>
      </c>
      <c r="E117" s="39" t="inlineStr">
        <is>
          <t>The Beacon: check-in formal y subir las maletas.</t>
        </is>
      </c>
      <c r="F117" s="37" t="inlineStr">
        <is>
          <t>Hotel The Beacon (3-6 sep)</t>
        </is>
      </c>
      <c r="G117" s="40" t="inlineStr"/>
      <c r="H117" s="41" t="inlineStr"/>
      <c r="I117" s="41" t="inlineStr"/>
    </row>
    <row r="118" ht="30" customHeight="1">
      <c r="A118" s="35" t="n"/>
      <c r="B118" s="36" t="inlineStr">
        <is>
          <t>19:15</t>
        </is>
      </c>
      <c r="C118" s="37" t="inlineStr">
        <is>
          <t>19:55</t>
        </is>
      </c>
      <c r="D118" s="38" t="inlineStr">
        <is>
          <t>Ambos</t>
        </is>
      </c>
      <c r="E118" s="39" t="inlineStr">
        <is>
          <t>Cena RÁPIDA en el Upper West Side, bajando por Broadway o Columbus. Hoy se come temprano y liviano: la noche tiene tres paradas y todas valen.</t>
        </is>
      </c>
      <c r="F118" s="37" t="inlineStr"/>
      <c r="G118" s="40" t="inlineStr"/>
      <c r="H118" s="41" t="inlineStr"/>
      <c r="I118" s="41" t="inlineStr"/>
    </row>
    <row r="119" ht="30" customHeight="1">
      <c r="A119" s="35" t="n"/>
      <c r="B119" s="42" t="inlineStr">
        <is>
          <t>19:55</t>
        </is>
      </c>
      <c r="C119" s="43" t="inlineStr">
        <is>
          <t>20:20</t>
        </is>
      </c>
      <c r="D119" s="44" t="inlineStr">
        <is>
          <t>Ambos</t>
        </is>
      </c>
      <c r="E119"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9" s="43" t="inlineStr">
        <is>
          <t>Lincoln Center (campus y plaza)</t>
        </is>
      </c>
      <c r="G119" s="40" t="inlineStr">
        <is>
          <t>🚶 ~20 min a pie (1.3 km) o 🚇 ~15 min · estimado</t>
        </is>
      </c>
      <c r="H119" s="41" t="inlineStr"/>
      <c r="I119" s="41" t="inlineStr"/>
    </row>
    <row r="120" ht="16" customHeight="1">
      <c r="A120" s="35" t="n"/>
      <c r="B120" s="36" t="inlineStr">
        <is>
          <t>20:20</t>
        </is>
      </c>
      <c r="C120" s="37" t="inlineStr">
        <is>
          <t>20:30</t>
        </is>
      </c>
      <c r="D120" s="38" t="inlineStr">
        <is>
          <t>Ambos</t>
        </is>
      </c>
      <c r="E120" s="39" t="inlineStr">
        <is>
          <t>Caminar seis cuadras por Broadway hasta Columbus Circle (~8 min).</t>
        </is>
      </c>
      <c r="F120" s="37" t="inlineStr"/>
      <c r="G120" s="40" t="inlineStr"/>
      <c r="H120" s="41" t="inlineStr"/>
      <c r="I120" s="41" t="inlineStr"/>
    </row>
    <row r="121" ht="30" customHeight="1">
      <c r="A121" s="35" t="n"/>
      <c r="B121" s="42" t="inlineStr">
        <is>
          <t>20:30</t>
        </is>
      </c>
      <c r="C121" s="43" t="inlineStr">
        <is>
          <t>20:55</t>
        </is>
      </c>
      <c r="D121" s="44" t="inlineStr">
        <is>
          <t>Ambos</t>
        </is>
      </c>
      <c r="E121"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1" s="43" t="inlineStr">
        <is>
          <t>MO Lounge — Mandarin Oriental (piso 35)</t>
        </is>
      </c>
      <c r="G121" s="40" t="inlineStr"/>
      <c r="H121" s="41" t="inlineStr"/>
      <c r="I121" s="41" t="inlineStr"/>
    </row>
    <row r="122" ht="30" customHeight="1">
      <c r="A122" s="35" t="n"/>
      <c r="B122" s="36" t="inlineStr">
        <is>
          <t>20:55</t>
        </is>
      </c>
      <c r="C122" s="37" t="inlineStr">
        <is>
          <t>21:00</t>
        </is>
      </c>
      <c r="D122" s="38" t="inlineStr">
        <is>
          <t>Ambos</t>
        </is>
      </c>
      <c r="E122" s="39" t="inlineStr">
        <is>
          <t>Bajar en ascensor: Dizzy's está EN EL MISMO EDIFICIO (10 Columbus Circle, piso 5). Cero calle, cero frío.</t>
        </is>
      </c>
      <c r="F122" s="37" t="inlineStr"/>
      <c r="G122" s="40" t="inlineStr"/>
      <c r="H122" s="41" t="inlineStr"/>
      <c r="I122" s="41" t="inlineStr"/>
    </row>
    <row r="123" ht="30" customHeight="1">
      <c r="A123" s="35" t="n"/>
      <c r="B123" s="36" t="inlineStr">
        <is>
          <t>21:00</t>
        </is>
      </c>
      <c r="C123" s="37" t="inlineStr"/>
      <c r="D123" s="38" t="inlineStr">
        <is>
          <t>Ambos</t>
        </is>
      </c>
      <c r="E123"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3" s="37" t="inlineStr">
        <is>
          <t>Dizzy's Club (Jazz at Lincoln Center)</t>
        </is>
      </c>
      <c r="G123" s="40" t="inlineStr"/>
      <c r="H123" s="41" t="inlineStr"/>
      <c r="I123" s="41" t="inlineStr"/>
    </row>
    <row r="124" ht="32" customHeight="1">
      <c r="A124"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6" ht="22" customHeight="1">
      <c r="A126" s="33" t="inlineStr">
        <is>
          <t>DÍA 7 · Viernes 04/09 · Vessel + High Line, SUMMIT al atardecer y el VANGUARD de a dos  —  base: The Beacon  ·  Ambos</t>
        </is>
      </c>
    </row>
    <row r="127" ht="32" customHeight="1">
      <c r="A127"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8" ht="16" customHeight="1">
      <c r="A128" s="35" t="n"/>
      <c r="B128" s="36" t="inlineStr">
        <is>
          <t>09:15</t>
        </is>
      </c>
      <c r="C128" s="37" t="inlineStr">
        <is>
          <t>09:40</t>
        </is>
      </c>
      <c r="D128" s="38" t="inlineStr">
        <is>
          <t>Ambos</t>
        </is>
      </c>
      <c r="E128" s="39" t="inlineStr">
        <is>
          <t>Subte a Hudson Yards.</t>
        </is>
      </c>
      <c r="F128" s="37" t="inlineStr"/>
      <c r="G128" s="40" t="inlineStr"/>
      <c r="H128" s="41" t="inlineStr"/>
      <c r="I128" s="41" t="inlineStr"/>
    </row>
    <row r="129" ht="30" customHeight="1">
      <c r="A129" s="35" t="n"/>
      <c r="B129" s="36" t="inlineStr">
        <is>
          <t>09:40</t>
        </is>
      </c>
      <c r="C129" s="37" t="inlineStr">
        <is>
          <t>10:00</t>
        </is>
      </c>
      <c r="D129" s="38" t="inlineStr">
        <is>
          <t>Ambos</t>
        </is>
      </c>
      <c r="E129" s="39" t="inlineStr">
        <is>
          <t>La plaza de Hudson Yards mientras abre el Vessel: The Shops y el Shed desde afuera. Sacar el timed ticket de las 10:00 online antes.</t>
        </is>
      </c>
      <c r="F129" s="37" t="inlineStr"/>
      <c r="G129" s="40" t="inlineStr"/>
      <c r="H129" s="41" t="inlineStr"/>
      <c r="I129" s="41" t="inlineStr"/>
    </row>
    <row r="130" ht="30" customHeight="1">
      <c r="A130" s="35" t="n"/>
      <c r="B130" s="42" t="inlineStr">
        <is>
          <t>10:00</t>
        </is>
      </c>
      <c r="C130" s="43" t="inlineStr">
        <is>
          <t>10:50</t>
        </is>
      </c>
      <c r="D130" s="44" t="inlineStr">
        <is>
          <t>Ambos</t>
        </is>
      </c>
      <c r="E130"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30" s="43" t="inlineStr">
        <is>
          <t>The Vessel</t>
        </is>
      </c>
      <c r="G130" s="40" t="inlineStr"/>
      <c r="H130" s="41" t="inlineStr"/>
      <c r="I130" s="41" t="inlineStr"/>
    </row>
    <row r="131" ht="30" customHeight="1">
      <c r="A131" s="35" t="n"/>
      <c r="B131" s="42" t="inlineStr">
        <is>
          <t>10:50</t>
        </is>
      </c>
      <c r="C131" s="43" t="inlineStr">
        <is>
          <t>12:20</t>
        </is>
      </c>
      <c r="D131" s="44" t="inlineStr">
        <is>
          <t>Ambos</t>
        </is>
      </c>
      <c r="E131" s="45" t="inlineStr">
        <is>
          <t>★ THE HIGH LINE completo, de norte a sur (2,3 km) — arranca ahí mismo, en 30th y 10ª. Vía ferroviaria elevada convertida en parque lineal. Incluye el Buda de arenisca de 9 metros de Tuan Andrew Nguyen.</t>
        </is>
      </c>
      <c r="F131" s="43" t="inlineStr">
        <is>
          <t>The High Line</t>
        </is>
      </c>
      <c r="G131" s="40" t="inlineStr">
        <is>
          <t>🚶 ~12 min a pie · 0.9 km · estimado</t>
        </is>
      </c>
      <c r="H131" s="41" t="inlineStr"/>
      <c r="I131" s="41" t="inlineStr"/>
    </row>
    <row r="132" ht="30" customHeight="1">
      <c r="A132" s="35" t="n"/>
      <c r="B132" s="36" t="inlineStr">
        <is>
          <t>12:20</t>
        </is>
      </c>
      <c r="C132" s="37" t="inlineStr">
        <is>
          <t>13:00</t>
        </is>
      </c>
      <c r="D132" s="38" t="inlineStr">
        <is>
          <t>Ambos</t>
        </is>
      </c>
      <c r="E132" s="39" t="inlineStr">
        <is>
          <t>Little Island — el parque flotante de Heatherwick sobre 132 macetas de hormigón, al final del High Line. Gratis.</t>
        </is>
      </c>
      <c r="F132" s="37" t="inlineStr">
        <is>
          <t>Little Island</t>
        </is>
      </c>
      <c r="G132" s="40" t="inlineStr">
        <is>
          <t>🚶 ~15 min a pie · 1.1 km · estimado</t>
        </is>
      </c>
      <c r="H132" s="41" t="inlineStr"/>
      <c r="I132" s="41" t="inlineStr"/>
    </row>
    <row r="133" ht="30" customHeight="1">
      <c r="A133" s="35" t="n"/>
      <c r="B133" s="42" t="inlineStr">
        <is>
          <t>13:00</t>
        </is>
      </c>
      <c r="C133" s="43" t="inlineStr">
        <is>
          <t>14:30</t>
        </is>
      </c>
      <c r="D133" s="44" t="inlineStr">
        <is>
          <t>Ambos</t>
        </is>
      </c>
      <c r="E133" s="45" t="inlineStr">
        <is>
          <t>Galerías de Chelsea COMPLETAS — W 19th a W 27th entre la 10ª y la 11ª, concentradas en W 24th y W 21st (Gagosian, Pace, Zwirner). Gratis, se entra y se sale. El recorte del Vessel se devolvió: SUMMIT pasó al atardecer y la tarde se estiró.</t>
        </is>
      </c>
      <c r="F133" s="43" t="inlineStr"/>
      <c r="G133" s="40" t="inlineStr"/>
      <c r="H133" s="41" t="inlineStr"/>
      <c r="I133" s="41" t="inlineStr"/>
    </row>
    <row r="134" ht="30" customHeight="1">
      <c r="A134" s="35" t="n"/>
      <c r="B134" s="36" t="inlineStr">
        <is>
          <t>14:30</t>
        </is>
      </c>
      <c r="C134" s="37" t="inlineStr">
        <is>
          <t>16:25</t>
        </is>
      </c>
      <c r="D134" s="38" t="inlineStr">
        <is>
          <t>Ambos</t>
        </is>
      </c>
      <c r="E134" s="39" t="inlineStr">
        <is>
          <t>Almuerzo en Chelsea Market — COMER FUERTE: es la comida grande del día, la cena de hoy es un bocado rápido entre el SUMMIT y el Vanguard. Los Tacos No.1 o Very Fresh Noodles. Ahora hay casi DOS HORAS: sin apuro, y si quedaron galerías de Chelsea sin ver, se vuelve. ★ HEATONIST está ADENTRO de este mismo mercado (12-18:45): más de 100 salsas picantes para probar, con el lineup de Hot Ones. Si el sábado no llegan a la de Williamsburg, esta es la misma cata en menos metros.</t>
        </is>
      </c>
      <c r="F134" s="37" t="inlineStr">
        <is>
          <t>Chelsea Market</t>
        </is>
      </c>
      <c r="G134" s="40" t="inlineStr">
        <is>
          <t>🚶 ~7 min a pie · 0.5 km · estimado</t>
        </is>
      </c>
      <c r="H134" s="41" t="inlineStr"/>
      <c r="I134" s="41" t="inlineStr"/>
    </row>
    <row r="135" ht="30" customHeight="1">
      <c r="A135" s="35" t="n"/>
      <c r="B135" s="36" t="inlineStr">
        <is>
          <t>16:25</t>
        </is>
      </c>
      <c r="C135" s="37" t="inlineStr">
        <is>
          <t>17:00</t>
        </is>
      </c>
      <c r="D135" s="38" t="inlineStr">
        <is>
          <t>Ambos</t>
        </is>
      </c>
      <c r="E135" s="39" t="inlineStr">
        <is>
          <t>A la Morgan: L desde 14 St-8 Av hasta Union Sq y 6 hasta 33 St, o A/C/E hasta 34 St-Penn y siete cuadras a pie (~30 min). Salir 16:25 deja margen para entrar 17:00 EN PUNTO.</t>
        </is>
      </c>
      <c r="F135" s="37" t="inlineStr"/>
      <c r="G135" s="40" t="inlineStr"/>
      <c r="H135" s="41" t="inlineStr"/>
      <c r="I135" s="41" t="inlineStr"/>
    </row>
    <row r="136" ht="30" customHeight="1">
      <c r="A136" s="35" t="n"/>
      <c r="B136" s="42" t="inlineStr">
        <is>
          <t>17:00</t>
        </is>
      </c>
      <c r="C136" s="43" t="inlineStr">
        <is>
          <t>18:00</t>
        </is>
      </c>
      <c r="D136" s="44" t="inlineStr">
        <is>
          <t>Ambos</t>
        </is>
      </c>
      <c r="E136"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6" s="43" t="inlineStr">
        <is>
          <t>The Morgan Library &amp; Museum</t>
        </is>
      </c>
      <c r="G136" s="40" t="inlineStr"/>
      <c r="H136" s="41" t="inlineStr"/>
      <c r="I136" s="41" t="inlineStr"/>
    </row>
    <row r="137" ht="16" customHeight="1">
      <c r="A137" s="35" t="n"/>
      <c r="B137" s="36" t="inlineStr">
        <is>
          <t>18:00</t>
        </is>
      </c>
      <c r="C137" s="37" t="inlineStr">
        <is>
          <t>18:10</t>
        </is>
      </c>
      <c r="D137" s="38" t="inlineStr">
        <is>
          <t>Ambos</t>
        </is>
      </c>
      <c r="E137" s="39" t="inlineStr">
        <is>
          <t>Caminar las seis cuadras de la Morgan a One Vanderbilt (~8-10 min).</t>
        </is>
      </c>
      <c r="F137" s="37" t="inlineStr"/>
      <c r="G137" s="40" t="inlineStr"/>
      <c r="H137" s="41" t="inlineStr"/>
      <c r="I137" s="41" t="inlineStr"/>
    </row>
    <row r="138" ht="30" customHeight="1">
      <c r="A138" s="35" t="n"/>
      <c r="B138" s="42" t="inlineStr">
        <is>
          <t>18:10</t>
        </is>
      </c>
      <c r="C138" s="43" t="inlineStr">
        <is>
          <t>20:20</t>
        </is>
      </c>
      <c r="D138" s="44" t="inlineStr">
        <is>
          <t>Ambos</t>
        </is>
      </c>
      <c r="E138"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8" s="43" t="inlineStr">
        <is>
          <t>SUMMIT One Vanderbilt</t>
        </is>
      </c>
      <c r="G138" s="40" t="inlineStr"/>
      <c r="H138" s="41" t="inlineStr"/>
      <c r="I138" s="41" t="inlineStr"/>
    </row>
    <row r="139" ht="30" customHeight="1">
      <c r="A139" s="35" t="n"/>
      <c r="B139" s="36" t="inlineStr">
        <is>
          <t>20:20</t>
        </is>
      </c>
      <c r="C139" s="37" t="inlineStr">
        <is>
          <t>20:50</t>
        </is>
      </c>
      <c r="D139" s="38" t="inlineStr">
        <is>
          <t>Ambos</t>
        </is>
      </c>
      <c r="E139" s="39" t="inlineStr">
        <is>
          <t>Bajar AL VILLAGE PRIMERO y cenar allá: 4/5/6 o 7 hasta 14 St-Union Sq y 1 hasta Christopher St (~25 min). Cenar cerca de Grand Central y bajar después llega justo; hacerlo al revés deja margen.</t>
        </is>
      </c>
      <c r="F139" s="37" t="inlineStr"/>
      <c r="G139" s="40" t="inlineStr"/>
      <c r="H139" s="41" t="inlineStr"/>
      <c r="I139" s="41" t="inlineStr"/>
    </row>
    <row r="140" ht="30" customHeight="1">
      <c r="A140" s="35" t="n"/>
      <c r="B140" s="36" t="inlineStr">
        <is>
          <t>20:50</t>
        </is>
      </c>
      <c r="C140" s="37" t="inlineStr">
        <is>
          <t>21:30</t>
        </is>
      </c>
      <c r="D140" s="38" t="inlineStr">
        <is>
          <t>Ambos</t>
        </is>
      </c>
      <c r="E140" s="39" t="inlineStr">
        <is>
          <t>Cena en el West Village, a cinco minutos del club. El Vanguard NO sirve NADA de comida (lo dicen así: 'ni un maní') y no se permite entrar comida: lo que no cenen ahora, no se cena. 40 minutos alcanzan.</t>
        </is>
      </c>
      <c r="F140" s="37" t="inlineStr"/>
      <c r="G140" s="40" t="inlineStr"/>
      <c r="H140" s="41" t="inlineStr"/>
      <c r="I140" s="41" t="inlineStr"/>
    </row>
    <row r="141" ht="30" customHeight="1">
      <c r="A141" s="35" t="n"/>
      <c r="B141" s="36" t="inlineStr">
        <is>
          <t>21:30</t>
        </is>
      </c>
      <c r="C141" s="37" t="inlineStr">
        <is>
          <t>22:00</t>
        </is>
      </c>
      <c r="D141" s="38" t="inlineStr">
        <is>
          <t>Ambos</t>
        </is>
      </c>
      <c r="E141"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1" s="37" t="inlineStr"/>
      <c r="G141" s="40" t="inlineStr"/>
      <c r="H141" s="41" t="inlineStr"/>
      <c r="I141" s="41" t="inlineStr"/>
    </row>
    <row r="142" ht="30" customHeight="1">
      <c r="A142" s="35" t="n"/>
      <c r="B142" s="42" t="inlineStr">
        <is>
          <t>22:00</t>
        </is>
      </c>
      <c r="C142" s="43" t="inlineStr"/>
      <c r="D142" s="44" t="inlineStr">
        <is>
          <t>Ambos</t>
        </is>
      </c>
      <c r="E142"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2" s="43" t="inlineStr">
        <is>
          <t>Village Vanguard</t>
        </is>
      </c>
      <c r="G142" s="40" t="inlineStr"/>
      <c r="H142" s="41" t="inlineStr"/>
      <c r="I142" s="41" t="inlineStr"/>
    </row>
    <row r="143" ht="32" customHeight="1">
      <c r="A143"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5" ht="22" customHeight="1">
      <c r="A145" s="33" t="inlineStr">
        <is>
          <t>DÍA 8 · Sábado 05/09 · Brooklyn, Peter Luger, un PLAY y Café Wha hasta la madrugada  —  base: The Beacon  ·  Ambos</t>
        </is>
      </c>
    </row>
    <row r="146" ht="32" customHeight="1">
      <c r="A146"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7" ht="30" customHeight="1">
      <c r="A147" s="35" t="n"/>
      <c r="B147" s="36" t="inlineStr">
        <is>
          <t>08:15</t>
        </is>
      </c>
      <c r="C147" s="37" t="inlineStr">
        <is>
          <t>09:00</t>
        </is>
      </c>
      <c r="D147" s="38" t="inlineStr">
        <is>
          <t>Ambos</t>
        </is>
      </c>
      <c r="E147" s="39" t="inlineStr">
        <is>
          <t>Salir 8:15: 1/2/3 desde 72 St + transbordo a A/C hasta High St son ~40-45 min REALES. Llegar temprano a DUMBO es la diferencia entre la foto y la cola de fotos.</t>
        </is>
      </c>
      <c r="F147" s="37" t="inlineStr"/>
      <c r="G147" s="40" t="inlineStr"/>
      <c r="H147" s="41" t="inlineStr"/>
      <c r="I147" s="41" t="inlineStr"/>
    </row>
    <row r="148" ht="30" customHeight="1">
      <c r="A148" s="35" t="n"/>
      <c r="B148" s="42" t="inlineStr">
        <is>
          <t>09:00</t>
        </is>
      </c>
      <c r="C148" s="43" t="inlineStr">
        <is>
          <t>10:30</t>
        </is>
      </c>
      <c r="D148" s="44" t="inlineStr">
        <is>
          <t>Ambos</t>
        </is>
      </c>
      <c r="E148" s="45" t="inlineStr">
        <is>
          <t>★ Brooklyn Bridge Park y DUMBO — muelles reconvertidos con el skyline de Lower Manhattan de frente, y la foto del Manhattan Bridge encuadrado en Washington y Water.</t>
        </is>
      </c>
      <c r="F148" s="43" t="inlineStr">
        <is>
          <t>Brooklyn Bridge Park</t>
        </is>
      </c>
      <c r="G148" s="40" t="inlineStr"/>
      <c r="H148" s="41" t="inlineStr"/>
      <c r="I148" s="41" t="inlineStr"/>
    </row>
    <row r="149" ht="16" customHeight="1">
      <c r="A149" s="35" t="n"/>
      <c r="B149" s="36" t="inlineStr">
        <is>
          <t>10:30</t>
        </is>
      </c>
      <c r="C149" s="37" t="inlineStr">
        <is>
          <t>11:15</t>
        </is>
      </c>
      <c r="D149" s="38" t="inlineStr">
        <is>
          <t>Ambos</t>
        </is>
      </c>
      <c r="E149" s="39" t="inlineStr">
        <is>
          <t>Brooklyn Heights Promenade — la postal clásica del skyline sobre el BQE.</t>
        </is>
      </c>
      <c r="F149" s="37" t="inlineStr">
        <is>
          <t>Brooklyn Heights Promenade</t>
        </is>
      </c>
      <c r="G149" s="40" t="inlineStr">
        <is>
          <t>🚶 ~8 min a pie · 0.6 km · estimado</t>
        </is>
      </c>
      <c r="H149" s="41" t="inlineStr"/>
      <c r="I149" s="41" t="inlineStr"/>
    </row>
    <row r="150" ht="30" customHeight="1">
      <c r="A150" s="35" t="n"/>
      <c r="B150" s="42" t="inlineStr">
        <is>
          <t>11:15</t>
        </is>
      </c>
      <c r="C150" s="43" t="inlineStr">
        <is>
          <t>12:45</t>
        </is>
      </c>
      <c r="D150" s="44" t="inlineStr">
        <is>
          <t>Ambos</t>
        </is>
      </c>
      <c r="E150" s="45" t="inlineStr">
        <is>
          <t>★ NEW YORK TRANSIT MUSEUM — una estación de subte clausurada de 1936 con 20 vagones históricos en las vías originales; se puede subir a todos. $10. Cierra lunes y martes, así que hoy es el día.</t>
        </is>
      </c>
      <c r="F150" s="43" t="inlineStr">
        <is>
          <t>New York Transit Museum</t>
        </is>
      </c>
      <c r="G150" s="40" t="inlineStr"/>
      <c r="H150" s="41" t="inlineStr"/>
      <c r="I150" s="41" t="inlineStr"/>
    </row>
    <row r="151" ht="16" customHeight="1">
      <c r="A151" s="35" t="n"/>
      <c r="B151" s="36" t="inlineStr">
        <is>
          <t>12:45</t>
        </is>
      </c>
      <c r="C151" s="37" t="inlineStr">
        <is>
          <t>13:45</t>
        </is>
      </c>
      <c r="D151" s="38" t="inlineStr">
        <is>
          <t>Ambos</t>
        </is>
      </c>
      <c r="E151" s="39" t="inlineStr">
        <is>
          <t>Almuerzo en Downtown Brooklyn.</t>
        </is>
      </c>
      <c r="F151" s="37" t="inlineStr"/>
      <c r="G151" s="40" t="inlineStr"/>
      <c r="H151" s="41" t="inlineStr"/>
      <c r="I151" s="41" t="inlineStr"/>
    </row>
    <row r="152" ht="16" customHeight="1">
      <c r="A152" s="35" t="n"/>
      <c r="B152" s="36" t="inlineStr">
        <is>
          <t>13:45</t>
        </is>
      </c>
      <c r="C152" s="37" t="inlineStr">
        <is>
          <t>14:15</t>
        </is>
      </c>
      <c r="D152" s="38" t="inlineStr">
        <is>
          <t>Ambos</t>
        </is>
      </c>
      <c r="E152" s="39" t="inlineStr">
        <is>
          <t>Subte a Williamsburg.</t>
        </is>
      </c>
      <c r="F152" s="37" t="inlineStr"/>
      <c r="G152" s="40" t="inlineStr"/>
      <c r="H152" s="41" t="inlineStr"/>
      <c r="I152" s="41" t="inlineStr"/>
    </row>
    <row r="153" ht="30" customHeight="1">
      <c r="A153" s="35" t="n"/>
      <c r="B153" s="42" t="inlineStr">
        <is>
          <t>14:15</t>
        </is>
      </c>
      <c r="C153" s="43" t="inlineStr">
        <is>
          <t>15:15</t>
        </is>
      </c>
      <c r="D153" s="44" t="inlineStr">
        <is>
          <t>Ambos</t>
        </is>
      </c>
      <c r="E153" s="45" t="inlineStr">
        <is>
          <t>★ Domino Park — ex refinería de azúcar; el paseo elevado pasa entre la maquinaria industrial conservada, con el Williamsburg Bridge y Midtown enfrente.</t>
        </is>
      </c>
      <c r="F153" s="43" t="inlineStr">
        <is>
          <t>Domino Park</t>
        </is>
      </c>
      <c r="G153" s="40" t="inlineStr"/>
      <c r="H153" s="41" t="inlineStr"/>
      <c r="I153" s="41" t="inlineStr"/>
    </row>
    <row r="154" ht="30" customHeight="1">
      <c r="A154" s="35" t="n"/>
      <c r="B154" s="36" t="inlineStr">
        <is>
          <t>15:15</t>
        </is>
      </c>
      <c r="C154" s="37" t="inlineStr">
        <is>
          <t>16:45</t>
        </is>
      </c>
      <c r="D154" s="38" t="inlineStr">
        <is>
          <t>Ambos</t>
        </is>
      </c>
      <c r="E154" s="39" t="inlineStr">
        <is>
          <t>Paseo por Williamsburg: Bedford Ave, disquerías y vintage. ★ ACÁ ENTRA HEATONIST (121 Wythe Ave, a una cuadra de Bedford): la tienda insignia de salsas picantes, con más de 100 para probar en el local y el lineup completo de Hot Ones. Abre 12-19 todos los días, así que a esta hora está abierta y les queda de camino al Williamsburg Bridge. OPCIONAL si quieren la panorámica: Westlight (piso 22, sin cover, un trago) — lo bajaron a 'quizás'. NO comer nada: lo que viene lo merece.</t>
        </is>
      </c>
      <c r="F154" s="37" t="inlineStr">
        <is>
          <t>HEATONIST Williamsburg</t>
        </is>
      </c>
      <c r="G154" s="40" t="inlineStr">
        <is>
          <t>🚶 ~20 min a pie (1.2 km) o 🚇 ~15 min · estimado</t>
        </is>
      </c>
      <c r="H154" s="41" t="inlineStr"/>
      <c r="I154" s="41" t="inlineStr"/>
    </row>
    <row r="155" ht="16" customHeight="1">
      <c r="A155" s="35" t="n"/>
      <c r="B155" s="36" t="inlineStr">
        <is>
          <t>16:45</t>
        </is>
      </c>
      <c r="C155" s="37" t="inlineStr">
        <is>
          <t>17:00</t>
        </is>
      </c>
      <c r="D155" s="38" t="inlineStr">
        <is>
          <t>Ambos</t>
        </is>
      </c>
      <c r="E155" s="39" t="inlineStr">
        <is>
          <t>Caminar por Bedford/Driggs hasta el pie del Williamsburg Bridge (~15 min).</t>
        </is>
      </c>
      <c r="F155" s="37" t="inlineStr"/>
      <c r="G155" s="40" t="inlineStr"/>
      <c r="H155" s="41" t="inlineStr"/>
      <c r="I155" s="41" t="inlineStr"/>
    </row>
    <row r="156" ht="30" customHeight="1">
      <c r="A156" s="35" t="n"/>
      <c r="B156" s="42" t="inlineStr">
        <is>
          <t>17:00</t>
        </is>
      </c>
      <c r="C156" s="43" t="inlineStr">
        <is>
          <t>18:45</t>
        </is>
      </c>
      <c r="D156" s="44" t="inlineStr">
        <is>
          <t>Ambos</t>
        </is>
      </c>
      <c r="E156"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6" s="43" t="inlineStr">
        <is>
          <t>Peter Luger Steak House</t>
        </is>
      </c>
      <c r="G156" s="40" t="inlineStr"/>
      <c r="H156" s="41" t="inlineStr"/>
      <c r="I156" s="41" t="inlineStr"/>
    </row>
    <row r="157" ht="30" customHeight="1">
      <c r="A157" s="35" t="n"/>
      <c r="B157" s="36" t="inlineStr">
        <is>
          <t>18:45</t>
        </is>
      </c>
      <c r="C157" s="37" t="inlineStr">
        <is>
          <t>19:30</t>
        </is>
      </c>
      <c r="D157" s="38" t="inlineStr">
        <is>
          <t>Ambos</t>
        </is>
      </c>
      <c r="E157" s="39" t="inlineStr">
        <is>
          <t>A la zona de teatros: subte J desde Marcy Av hasta Essex St y F hasta 42 St-Bryant Park (~35 min con transbordo), o directamente Uber al teatro (~20-25 min, $25-35 — un sábado a la noche el puente puede estar cargado).</t>
        </is>
      </c>
      <c r="F157" s="37" t="inlineStr"/>
      <c r="G157" s="40" t="inlineStr"/>
      <c r="H157" s="41" t="inlineStr"/>
      <c r="I157" s="41" t="inlineStr"/>
    </row>
    <row r="158" ht="30" customHeight="1">
      <c r="A158" s="35" t="n"/>
      <c r="B158" s="42" t="inlineStr">
        <is>
          <t>19:30</t>
        </is>
      </c>
      <c r="C158" s="43" t="inlineStr">
        <is>
          <t>22:00</t>
        </is>
      </c>
      <c r="D158" s="44" t="inlineStr">
        <is>
          <t>Ambos</t>
        </is>
      </c>
      <c r="E158"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8" s="43" t="inlineStr">
        <is>
          <t>Stranger Things: The First Shadow (play)</t>
        </is>
      </c>
      <c r="G158" s="40" t="inlineStr"/>
      <c r="H158" s="41" t="inlineStr"/>
      <c r="I158" s="41" t="inlineStr"/>
    </row>
    <row r="159" ht="16" customHeight="1">
      <c r="A159" s="35" t="n"/>
      <c r="B159" s="36" t="inlineStr">
        <is>
          <t>22:00</t>
        </is>
      </c>
      <c r="C159" s="37" t="inlineStr">
        <is>
          <t>22:30</t>
        </is>
      </c>
      <c r="D159" s="38" t="inlineStr">
        <is>
          <t>Ambos</t>
        </is>
      </c>
      <c r="E159" s="39" t="inlineStr">
        <is>
          <t>Subte 1 desde Times Sq hasta Christopher St (~15 min) y caminar al corazón del Village.</t>
        </is>
      </c>
      <c r="F159" s="37" t="inlineStr"/>
      <c r="G159" s="40" t="inlineStr"/>
      <c r="H159" s="41" t="inlineStr"/>
      <c r="I159" s="41" t="inlineStr"/>
    </row>
    <row r="160" ht="30" customHeight="1">
      <c r="A160" s="35" t="n"/>
      <c r="B160" s="36" t="inlineStr">
        <is>
          <t>22:30</t>
        </is>
      </c>
      <c r="C160" s="37" t="inlineStr">
        <is>
          <t>23:15</t>
        </is>
      </c>
      <c r="D160" s="38" t="inlineStr">
        <is>
          <t>Ambos</t>
        </is>
      </c>
      <c r="E160" s="39" t="inlineStr">
        <is>
          <t>Paseo sin apuro por Bleecker y MacDougal — la esquina folk de los 60s de noche, un café o un trago corto. El único objetivo real: estar en la puerta del Wha a las 23:10.</t>
        </is>
      </c>
      <c r="F160" s="37" t="inlineStr"/>
      <c r="G160" s="40" t="inlineStr"/>
      <c r="H160" s="41" t="inlineStr"/>
      <c r="I160" s="41" t="inlineStr"/>
    </row>
    <row r="161" ht="30" customHeight="1">
      <c r="A161" s="35" t="n"/>
      <c r="B161" s="42" t="inlineStr">
        <is>
          <t>23:15</t>
        </is>
      </c>
      <c r="C161" s="43" t="inlineStr"/>
      <c r="D161" s="44" t="inlineStr">
        <is>
          <t>Ambos</t>
        </is>
      </c>
      <c r="E161"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1" s="43" t="inlineStr">
        <is>
          <t>Cafe Wha?</t>
        </is>
      </c>
      <c r="G161" s="40" t="inlineStr"/>
      <c r="H161" s="41" t="inlineStr"/>
      <c r="I161" s="41" t="inlineStr"/>
    </row>
    <row r="162" ht="32" customHeight="1">
      <c r="A162"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4" ht="22" customHeight="1">
      <c r="A164" s="33" t="inlineStr">
        <is>
          <t>DÍA 9 · Domingo 06/09 · Checkout, Central Park, Roosevelt Island, MoMA PS1 y vuelo  —  base: The Beacon (checkout) → EWR  ·  Ambos</t>
        </is>
      </c>
    </row>
    <row r="165" ht="32" customHeight="1">
      <c r="A165"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cerca y se sale con 2h45 de anticipación. EL CAMBIO DEL ÚLTIMO DÍA: entra MOMA PS1 y sale el Guggenheim. Se verificó el 27/8 que la rotonda del Guggenheim está cerrada hasta el 17/9 —no se camina la rampa, que es la razón para ir— y PS1 resultó ser gratis, abierto hasta las 18 los domingos, a 1,2 km de Roosevelt Island y con «Greater New York 2026» en pie hasta el 7/9. Era el último imprescindible que quedaba afuera del viaje. El Guggenheim queda escrito como alternativa por si cambian de idea.</t>
        </is>
      </c>
    </row>
    <row r="166" ht="30" customHeight="1">
      <c r="A166" s="35" t="n"/>
      <c r="B166" s="36" t="inlineStr">
        <is>
          <t>09:00</t>
        </is>
      </c>
      <c r="C166" s="37" t="inlineStr">
        <is>
          <t>09:45</t>
        </is>
      </c>
      <c r="D166" s="38" t="inlineStr">
        <is>
          <t>Ambos</t>
        </is>
      </c>
      <c r="E166" s="39" t="inlineStr">
        <is>
          <t>Desayuno SIN despertador temprano: anoche terminó ~1:30 en el Village y lo único con hora fija hoy es el PS1, que cierra a las 18:00. Dormir un poco más está permitido.</t>
        </is>
      </c>
      <c r="F166" s="37" t="inlineStr"/>
      <c r="G166" s="40" t="inlineStr"/>
      <c r="H166" s="41" t="inlineStr"/>
      <c r="I166" s="41" t="inlineStr"/>
    </row>
    <row r="167" ht="30" customHeight="1">
      <c r="A167" s="35" t="n"/>
      <c r="B167" s="42" t="inlineStr">
        <is>
          <t>09:45</t>
        </is>
      </c>
      <c r="C167" s="43" t="inlineStr">
        <is>
          <t>10:15</t>
        </is>
      </c>
      <c r="D167" s="44" t="inlineStr">
        <is>
          <t>Ambos</t>
        </is>
      </c>
      <c r="E167" s="45" t="inlineStr">
        <is>
          <t>★ CHECKOUT de The Beacon y dejar las valijas en el bell desk. El checkout formal suele ser 11:00-12:00, pero hacerlo antes libera el día.</t>
        </is>
      </c>
      <c r="F167" s="43" t="inlineStr">
        <is>
          <t>Hotel The Beacon (3-6 sep)</t>
        </is>
      </c>
      <c r="G167" s="40" t="inlineStr"/>
      <c r="H167" s="41" t="inlineStr"/>
      <c r="I167" s="41" t="inlineStr"/>
    </row>
    <row r="168" ht="30" customHeight="1">
      <c r="A168" s="35" t="n"/>
      <c r="B168" s="42" t="inlineStr">
        <is>
          <t>10:15</t>
        </is>
      </c>
      <c r="C168" s="43" t="inlineStr">
        <is>
          <t>12:30</t>
        </is>
      </c>
      <c r="D168" s="44" t="inlineStr">
        <is>
          <t>Ambos</t>
        </is>
      </c>
      <c r="E168" s="45" t="inlineStr">
        <is>
          <t>★ CENTRAL PARK cruzando de oeste a este: Bethesda Terrace, el Ramble, Bow Bridge. Se entra por la 72 desde Broadway, a tres cuadras del hotel.</t>
        </is>
      </c>
      <c r="F168" s="43" t="inlineStr">
        <is>
          <t>Central Park</t>
        </is>
      </c>
      <c r="G168" s="40" t="inlineStr">
        <is>
          <t>🚶 ~20 min a pie (1.5 km) o 🚇 ~15 min · estimado</t>
        </is>
      </c>
      <c r="H168" s="41" t="inlineStr"/>
      <c r="I168" s="41" t="inlineStr"/>
    </row>
    <row r="169" ht="16" customHeight="1">
      <c r="A169" s="35" t="n"/>
      <c r="B169" s="36" t="inlineStr">
        <is>
          <t>12:30</t>
        </is>
      </c>
      <c r="C169" s="37" t="inlineStr">
        <is>
          <t>13:30</t>
        </is>
      </c>
      <c r="D169" s="38" t="inlineStr">
        <is>
          <t>Ambos</t>
        </is>
      </c>
      <c r="E169" s="39" t="inlineStr">
        <is>
          <t>Almuerzo en el Upper East Side, saliendo del parque por la Quinta.</t>
        </is>
      </c>
      <c r="F169" s="37" t="inlineStr"/>
      <c r="G169" s="40" t="inlineStr"/>
      <c r="H169" s="41" t="inlineStr"/>
      <c r="I169" s="41" t="inlineStr"/>
    </row>
    <row r="170" ht="30" customHeight="1">
      <c r="A170" s="35" t="n"/>
      <c r="B170" s="36" t="inlineStr">
        <is>
          <t>13:30</t>
        </is>
      </c>
      <c r="C170" s="37" t="inlineStr">
        <is>
          <t>13:50</t>
        </is>
      </c>
      <c r="D170" s="38" t="inlineStr">
        <is>
          <t>Ambos</t>
        </is>
      </c>
      <c r="E170" s="39" t="inlineStr">
        <is>
          <t>Bajar a 59 St y 2ª Av: subte 6 desde 68 St-Hunter College (el 4/5 exprés NO para ahí), o caminando por la Quinta si el día está lindo.</t>
        </is>
      </c>
      <c r="F170" s="37" t="inlineStr"/>
      <c r="G170" s="40" t="inlineStr"/>
      <c r="H170" s="41" t="inlineStr"/>
      <c r="I170" s="41" t="inlineStr"/>
    </row>
    <row r="171" ht="30" customHeight="1">
      <c r="A171" s="35" t="n"/>
      <c r="B171" s="42" t="inlineStr">
        <is>
          <t>13:50</t>
        </is>
      </c>
      <c r="C171" s="43" t="inlineStr">
        <is>
          <t>14:25</t>
        </is>
      </c>
      <c r="D171" s="44" t="inlineStr">
        <is>
          <t>Ambos</t>
        </is>
      </c>
      <c r="E171" s="45" t="inlineStr">
        <is>
          <t>★ ROOSEVELT ISLAND TRAMWAY ($3, OMNY) — cruza el East River a 76 metros de altura con el Queensboro Bridge al lado. Es la vista de $50 por el precio de un viaje de subte.</t>
        </is>
      </c>
      <c r="F171" s="43" t="inlineStr">
        <is>
          <t>Roosevelt Island Tramway</t>
        </is>
      </c>
      <c r="G171" s="40" t="inlineStr"/>
      <c r="H171" s="41" t="inlineStr"/>
      <c r="I171" s="41" t="inlineStr"/>
    </row>
    <row r="172" ht="30" customHeight="1">
      <c r="A172" s="35" t="n"/>
      <c r="B172" s="36" t="inlineStr">
        <is>
          <t>14:25</t>
        </is>
      </c>
      <c r="C172" s="37" t="inlineStr">
        <is>
          <t>15:05</t>
        </is>
      </c>
      <c r="D172" s="38" t="inlineStr">
        <is>
          <t>Ambos</t>
        </is>
      </c>
      <c r="E172" s="39" t="inlineStr">
        <is>
          <t>FDR Four Freedoms Park — del teleférico son ~20 min a pie por el borde del río. La última obra de Louis Kahn: granito, plátanos y una sala abierta al río apuntando a Manhattan. Gratis y vacía. Se pasa por las ruinas del Smallpox Hospital.</t>
        </is>
      </c>
      <c r="F172" s="37" t="inlineStr">
        <is>
          <t>FDR Four Freedoms Park</t>
        </is>
      </c>
      <c r="G172" s="40" t="inlineStr"/>
      <c r="H172" s="41" t="inlineStr"/>
      <c r="I172" s="41" t="inlineStr"/>
    </row>
    <row r="173" ht="30" customHeight="1">
      <c r="A173" s="35" t="n"/>
      <c r="B173" s="36" t="inlineStr">
        <is>
          <t>15:05</t>
        </is>
      </c>
      <c r="C173" s="37" t="inlineStr">
        <is>
          <t>15:30</t>
        </is>
      </c>
      <c r="D173" s="38" t="inlineStr">
        <is>
          <t>Ambos</t>
        </is>
      </c>
      <c r="E173" s="39" t="inlineStr">
        <is>
          <t>SALIR 15:05 de Four Freedoms Park y caminar 15 min al norte por el borde del río hasta la ESTACIÓN DEL F, que está en el medio de la isla (Main St y Roosevelt Island Bridge). Hoy NO se vuelve en teleférico: se cruza a Queens por abajo.</t>
        </is>
      </c>
      <c r="F173" s="37" t="inlineStr"/>
      <c r="G173" s="40" t="inlineStr"/>
      <c r="H173" s="41" t="inlineStr"/>
      <c r="I173" s="41" t="inlineStr"/>
    </row>
    <row r="174" ht="30" customHeight="1">
      <c r="A174" s="35" t="n"/>
      <c r="B174" s="36" t="inlineStr">
        <is>
          <t>15:30</t>
        </is>
      </c>
      <c r="C174" s="37" t="inlineStr">
        <is>
          <t>15:45</t>
        </is>
      </c>
      <c r="D174" s="38" t="inlineStr">
        <is>
          <t>Ambos</t>
        </is>
      </c>
      <c r="E174" s="39" t="inlineStr">
        <is>
          <t>Subte F, UNA parada: Roosevelt Island → 21 St-Queensbridge (~4 min). Salir y caminar 12-15 min al sur por 21st St / Jackson Ave.</t>
        </is>
      </c>
      <c r="F174" s="37" t="inlineStr"/>
      <c r="G174" s="40" t="inlineStr"/>
      <c r="H174" s="41" t="inlineStr"/>
      <c r="I174" s="41" t="inlineStr"/>
    </row>
    <row r="175" ht="30" customHeight="1">
      <c r="A175" s="35" t="n"/>
      <c r="B175" s="42" t="inlineStr">
        <is>
          <t>15:45</t>
        </is>
      </c>
      <c r="C175" s="43" t="inlineStr">
        <is>
          <t>17:45</t>
        </is>
      </c>
      <c r="D175" s="44" t="inlineStr">
        <is>
          <t>Ambos</t>
        </is>
      </c>
      <c r="E175" s="45" t="inlineStr">
        <is>
          <t>★★ MOMA PS1 — el último imprescindible del viaje, y entra gratis. Escuela pública de 1892 reconvertida en el laboratorio del MoMA: lo que no se anima a mostrar en la Quinta Avenida. VERIFICADO el 27/8: ENTRADA GRATUITA para todos, abre domingos 12:00-18:00, y «Greater New York 2026» —la encuesta insignia de la casa, que se hace cada cinco años— sigue en pie hasta el 7 de septiembre, o sea que la agarran por un día. Más el Courtyard Commission de Precious Okoyomon al aire libre. Dos horas holgadas hasta las 17:45.</t>
        </is>
      </c>
      <c r="F175" s="43" t="inlineStr">
        <is>
          <t>MoMA PS1</t>
        </is>
      </c>
      <c r="G175" s="40" t="inlineStr"/>
      <c r="H175" s="41" t="inlineStr"/>
      <c r="I175" s="41" t="inlineStr"/>
    </row>
    <row r="176" ht="30" customHeight="1">
      <c r="A176" s="35" t="n"/>
      <c r="B176" s="36" t="inlineStr">
        <is>
          <t>17:45</t>
        </is>
      </c>
      <c r="C176" s="37" t="inlineStr">
        <is>
          <t>18:20</t>
        </is>
      </c>
      <c r="D176" s="38" t="inlineStr">
        <is>
          <t>Ambos</t>
        </is>
      </c>
      <c r="E176" s="39" t="inlineStr">
        <is>
          <t>Del PS1 al hotel: subte 7 desde Court Sq hasta Times Sq y 1/2/3 hasta 72 St, o E/M hasta 53 St (~45 min). Llegan 18:30, justo para las valijas. El vuelo no se toca.</t>
        </is>
      </c>
      <c r="F176" s="37" t="inlineStr"/>
      <c r="G176" s="40" t="inlineStr"/>
      <c r="H176" s="41" t="inlineStr"/>
      <c r="I176" s="41" t="inlineStr"/>
    </row>
    <row r="177" ht="30" customHeight="1">
      <c r="A177" s="35" t="n"/>
      <c r="B177" s="36" t="inlineStr">
        <is>
          <t>18:20</t>
        </is>
      </c>
      <c r="C177" s="37" t="inlineStr">
        <is>
          <t>18:30</t>
        </is>
      </c>
      <c r="D177" s="38" t="inlineStr">
        <is>
          <t>Ambos</t>
        </is>
      </c>
      <c r="E177" s="39" t="inlineStr">
        <is>
          <t>◇ SI PREFIEREN EL GUGGENHEIM, sigue estando y este bloque se ignora: pay-what-you-wish domingos 16:00-17:30 (mínimo $1) y entrada rebajada a $16 el resto del horario. ⚠️ PERO la rotonda está CERRADA del 3/8 al 17/9 por el montaje de Taryn Simon: no se camina la rampa —que es la razón para ir— y avisan que puede haber ruido de obra. Quedan las torres 4, 5 y 7 con «Guggenheim Pop» (Lichtenstein, Warhol, Oldenburg, Cattelan) y la colección Thannhauser. Para hacerlo: en vez de cruzar a Queens, teleférico de vuelta y subte 4/5/6 de 59 St a 86 St, y hay que salir del FDR Park 15:05 para entrar 16:00 — la ventana a voluntad va hasta las 17:30 y el museo cierra ahí.</t>
        </is>
      </c>
      <c r="F177" s="37" t="inlineStr"/>
      <c r="G177" s="40" t="inlineStr"/>
      <c r="H177" s="41" t="inlineStr"/>
      <c r="I177" s="41" t="inlineStr"/>
    </row>
    <row r="178" ht="16" customHeight="1">
      <c r="A178" s="35" t="n"/>
      <c r="B178" s="36" t="inlineStr">
        <is>
          <t>18:30</t>
        </is>
      </c>
      <c r="C178" s="37" t="inlineStr">
        <is>
          <t>19:40</t>
        </is>
      </c>
      <c r="D178" s="38" t="inlineStr">
        <is>
          <t>Ambos</t>
        </is>
      </c>
      <c r="E178" s="39" t="inlineStr">
        <is>
          <t>Retirar las valijas del bell desk. Cena tranquila cerca del hotel: es la última.</t>
        </is>
      </c>
      <c r="F178" s="37" t="inlineStr"/>
      <c r="G178" s="40" t="inlineStr"/>
      <c r="H178" s="41" t="inlineStr"/>
      <c r="I178" s="41" t="inlineStr"/>
    </row>
    <row r="179" ht="16" customHeight="1">
      <c r="A179" s="35" t="n"/>
      <c r="B179" s="36" t="inlineStr">
        <is>
          <t>19:40</t>
        </is>
      </c>
      <c r="C179" s="37" t="inlineStr">
        <is>
          <t>20:14</t>
        </is>
      </c>
      <c r="D179" s="38" t="inlineStr">
        <is>
          <t>Ambos</t>
        </is>
      </c>
      <c r="E179" s="39" t="inlineStr">
        <is>
          <t>Salir de The Beacon. Subte 1/2/3 desde 72 St hasta 34 St-Penn Station: ~10 min, $3.</t>
        </is>
      </c>
      <c r="F179" s="37" t="inlineStr"/>
      <c r="G179" s="40" t="inlineStr"/>
      <c r="H179" s="41" t="inlineStr"/>
      <c r="I179" s="41" t="inlineStr"/>
    </row>
    <row r="180" ht="30" customHeight="1">
      <c r="A180" s="35" t="n"/>
      <c r="B180" s="36" t="inlineStr">
        <is>
          <t>20:14</t>
        </is>
      </c>
      <c r="C180" s="37" t="inlineStr">
        <is>
          <t>20:45</t>
        </is>
      </c>
      <c r="D180" s="38" t="inlineStr">
        <is>
          <t>Ambos</t>
        </is>
      </c>
      <c r="E180" s="39" t="inlineStr">
        <is>
          <t>NJ Transit Penn Station → EWR, llega 20:38. $17,25 (incluye el AirTrain). VERIFICAR el horario dominical en njtransit.com unos días antes.</t>
        </is>
      </c>
      <c r="F180" s="37" t="inlineStr"/>
      <c r="G180" s="40" t="inlineStr"/>
      <c r="H180" s="41" t="inlineStr"/>
      <c r="I180" s="41" t="inlineStr"/>
    </row>
    <row r="181" ht="16" customHeight="1">
      <c r="A181" s="35" t="n"/>
      <c r="B181" s="36" t="inlineStr">
        <is>
          <t>20:45</t>
        </is>
      </c>
      <c r="C181" s="37" t="inlineStr">
        <is>
          <t>20:55</t>
        </is>
      </c>
      <c r="D181" s="38" t="inlineStr">
        <is>
          <t>Ambos</t>
        </is>
      </c>
      <c r="E181" s="39" t="inlineStr">
        <is>
          <t>AirTrain hasta la terminal: 10-15 min.</t>
        </is>
      </c>
      <c r="F181" s="37" t="inlineStr"/>
      <c r="G181" s="40" t="inlineStr"/>
      <c r="H181" s="41" t="inlineStr"/>
      <c r="I181" s="41" t="inlineStr"/>
    </row>
    <row r="182" ht="30" customHeight="1">
      <c r="A182" s="35" t="n"/>
      <c r="B182" s="36" t="inlineStr">
        <is>
          <t>20:55</t>
        </is>
      </c>
      <c r="C182" s="37" t="inlineStr"/>
      <c r="D182" s="38" t="inlineStr">
        <is>
          <t>Ambos</t>
        </is>
      </c>
      <c r="E182" s="39" t="inlineStr">
        <is>
          <t>En terminal. Faltan 2h45 para el vuelo de las 23:40 — correcto para un internacional en el domingo de Labor Day, que es la noche de más tráfico del año en EWR.</t>
        </is>
      </c>
      <c r="F182" s="37" t="inlineStr"/>
      <c r="G182" s="40" t="inlineStr"/>
      <c r="H182" s="41" t="inlineStr"/>
      <c r="I182" s="41" t="inlineStr"/>
    </row>
    <row r="183" ht="32" customHeight="1">
      <c r="A183"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SI QUIEREN VOLVER AL GUGGENHEIM en vez del PS1: está escrito en el bloque de las 18:20, con los tiempos hechos. Cuesta el último imprescindible del viaje y hay que aceptar que la rampa —la razón para ir— no se camina hasta el 17/9. Tercera opción si ninguna convence: el Whitney también abre los domingos.</t>
        </is>
      </c>
    </row>
  </sheetData>
  <mergeCells count="29">
    <mergeCell ref="A183:I183"/>
    <mergeCell ref="A164:I164"/>
    <mergeCell ref="A84:I84"/>
    <mergeCell ref="A66:I66"/>
    <mergeCell ref="A145:I145"/>
    <mergeCell ref="A26:I26"/>
    <mergeCell ref="A86:I86"/>
    <mergeCell ref="A47:I47"/>
    <mergeCell ref="A5:I5"/>
    <mergeCell ref="A126:I126"/>
    <mergeCell ref="A100:I100"/>
    <mergeCell ref="A29:I29"/>
    <mergeCell ref="A165:I165"/>
    <mergeCell ref="A1:G1"/>
    <mergeCell ref="A68:I68"/>
    <mergeCell ref="A28:I28"/>
    <mergeCell ref="A102:I102"/>
    <mergeCell ref="A127:I127"/>
    <mergeCell ref="A143:I143"/>
    <mergeCell ref="A48:I48"/>
    <mergeCell ref="A103:I103"/>
    <mergeCell ref="A45:I45"/>
    <mergeCell ref="A2:G2"/>
    <mergeCell ref="A146:I146"/>
    <mergeCell ref="A124:I124"/>
    <mergeCell ref="A6:I6"/>
    <mergeCell ref="A162:I162"/>
    <mergeCell ref="A69:I69"/>
    <mergeCell ref="A87:I87"/>
  </mergeCells>
  <dataValidations count="1">
    <dataValidation sqref="H5:H185"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SUMIF(Lugares!$F$5:$F$308,2,Lugares!$I$5:$I$308)-SUMIFS(Lugares!$I$5:$I$308,Lugares!$F$5:$F$308,2,Lugares!$C$5:$C$308,"Comida")-SUMIFS(Lugares!$I$5:$I$308,Lugares!$F$5:$F$308,2,Lugares!$C$5:$C$308,"Música")</f>
        <v/>
      </c>
      <c r="C5" s="48">
        <f>SUMIF(Lugares!$G$5:$G$308,2,Lugares!$I$5:$I$308)-SUMIFS(Lugares!$I$5:$I$308,Lugares!$G$5:$G$308,2,Lugares!$C$5:$C$308,"Comida")-SUMIFS(Lugares!$I$5:$I$308,Lugares!$G$5:$G$308,2,Lugares!$C$5:$C$308,"Música")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8"/>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Uber Shuttle</t>
        </is>
      </c>
    </row>
    <row r="6" ht="26" customHeight="1">
      <c r="A6" s="57" t="inlineStr">
        <is>
          <t>Opción</t>
        </is>
      </c>
      <c r="B6" s="57" t="inlineStr">
        <is>
          <t>Costo</t>
        </is>
      </c>
      <c r="C6" s="57" t="inlineStr">
        <is>
          <t>Tiempo</t>
        </is>
      </c>
      <c r="D6" s="57" t="inlineStr">
        <is>
          <t>Detalle</t>
        </is>
      </c>
    </row>
    <row r="7" ht="40" customHeight="1">
      <c r="A7" s="39" t="inlineStr">
        <is>
          <t>Uber Shuttle ✅</t>
        </is>
      </c>
      <c r="B7" s="39" t="inlineStr">
        <is>
          <t>$20,70 p/p · $41,40 los dos</t>
        </is>
      </c>
      <c r="C7" s="39" t="inlineStr">
        <is>
          <t>~75 min terminal a hotel</t>
        </is>
      </c>
      <c r="D7" s="39" t="inlineStr">
        <is>
          <t>UN SOLO transporte con las valijas: sin AirTrain, sin transbordo en Penn y sin taxi. Precio fijo por persona y asiento reservado, se pide en la app de Uber. Sale de Terminal B, Zona 5, a ~6 min a pie de llegadas. Horarios del sábado 29: 7:40 y 8:30 a Theatre District (50th y 8ª, 13 min a pie del Ink48); 7:50 y 8:35 a Port Authority (40th y 8ª, 17 min a pie). ⚠️ SALEN CADA 40-50 MIN: si migraciones se estira y pierden el de 7:40, el siguiente llega 9:57 y el día arranca tarde.  ▸ $41,40 los dos, sin nada más que pagar</t>
        </is>
      </c>
    </row>
    <row r="8" ht="40" customHeight="1">
      <c r="A8" s="39" t="inlineStr">
        <is>
          <t>AirTrain + NJ Transit (el plan viejo)</t>
        </is>
      </c>
      <c r="B8" s="39" t="inlineStr">
        <is>
          <t>$17,25 p/p · $34,50 los dos</t>
        </is>
      </c>
      <c r="C8" s="39" t="inlineStr">
        <is>
          <t>~55-70 min desde terminal</t>
        </is>
      </c>
      <c r="D8" s="39" t="inlineStr">
        <is>
          <t>Precio ÚNICO: ya incluye el fee de AirTrain de $8,75, no se compra aparte. Trenes sábado desde EWR: 6:00, 6:07, 6:43, 7:04, 7:15, 7:25, 7:39 — UNO CADA 10-15 MIN, que es su ventaja real sobre el shuttle. Viaje 26-31 min. Comprar en la app MyTix o en máquina — a bordo cobran $5 de recargo. Llegan al hotel 8:15-8:30, casi una hora antes.  ▸ $46,50-52,50 los dos con el taxi de Penn Station al hotel · ES EL PLAN B SI SALEN TARDE DE MIGRACIONES</t>
        </is>
      </c>
    </row>
    <row r="9" ht="40" customHeight="1">
      <c r="A9" s="39" t="inlineStr">
        <is>
          <t>Taxi oficial de EWR</t>
        </is>
      </c>
      <c r="B9" s="39" t="inlineStr">
        <is>
          <t>~$78-90</t>
        </is>
      </c>
      <c r="C9" s="39" t="inlineStr">
        <is>
          <t>45-60 min</t>
        </is>
      </c>
      <c r="D9" s="39" t="inlineStr">
        <is>
          <t>Tarifa fija por zona: Ink48 está en la calle 48 = Zona 2 = $65 fijo, + $2 de airport fee + $6,75-15,75 de peajes + $1 por valija. El recargo de hora pico ($10) rige sáb-dom 12-21h, así que a las 6-7 AM NO aplica.</t>
        </is>
      </c>
    </row>
    <row r="10" ht="40" customHeight="1">
      <c r="A10" s="39" t="inlineStr">
        <is>
          <t>Uber / Lyft</t>
        </is>
      </c>
      <c r="B10" s="39" t="inlineStr">
        <is>
          <t>$70-110 (estimado)</t>
        </is>
      </c>
      <c r="C10" s="39" t="inlineStr">
        <is>
          <t>45-60 min</t>
        </is>
      </c>
      <c r="D10" s="39" t="inlineStr">
        <is>
          <t>A las 7 AM de un sábado el tráfico es liviano. Ink48 está dentro de la zona de congestion pricing (sur de la calle 60): hay recargo adicional.</t>
        </is>
      </c>
    </row>
    <row r="11" ht="40" customHeight="1">
      <c r="A11" s="39" t="inlineStr">
        <is>
          <t>Newark Airport Express ❌</t>
        </is>
      </c>
      <c r="B11" s="39" t="inlineStr">
        <is>
          <t>$18-19 (NO CONFIRMADO)</t>
        </is>
      </c>
      <c r="C11" s="39" t="inlineStr">
        <is>
          <t>60-80 min</t>
        </is>
      </c>
      <c r="D11" s="39" t="inlineStr">
        <is>
          <t>No aporta nada frente al tren: más caro, más lento, sujeto al tráfico del Lincoln Tunnel, y deja en Port Authority a 15 min caminando del hotel. Las fuentes se contradicen sobre el precio.</t>
        </is>
      </c>
    </row>
    <row r="12" ht="40" customHeight="1">
      <c r="A12" s="58" t="inlineStr">
        <is>
          <t>Secuencia realista</t>
        </is>
      </c>
      <c r="B12" s="58" t="inlineStr"/>
      <c r="C12" s="58" t="inlineStr"/>
      <c r="D12" s="58" t="inlineStr">
        <is>
          <t>Aterrizan 6:00 → migraciones y equipaje 45-75 min → 6 min a pie a la Zona 5 de Terminal B → Uber Shuttle 7:40 → Theatre District 8:54 → 13 min a pie → hotel ~9:10. Total ≈ 3h desde que tocan pista, con UN solo transporte. Con el plan viejo llegaban 8:15-8:30 pero cambiando tres veces de vehículo con las valijas.</t>
        </is>
      </c>
    </row>
    <row r="13" ht="40" customHeight="1">
      <c r="A13" s="59" t="inlineStr">
        <is>
          <t>⚠ Alerta</t>
        </is>
      </c>
      <c r="B13" s="59" t="inlineStr"/>
      <c r="C13" s="59" t="inlineStr"/>
      <c r="D13" s="59" t="inlineStr">
        <is>
          <t>El shuttle sale cada 40-50 minutos, no cada 10: mirá el horario en la app de Uber apenas aterricen y, si se estiró migraciones, pasate al tren sin dudar. El AirTrain de Newark está en obra de reemplazo hasta 2030. El servicio por bus solo aplica días de semana de 5:00 a 15:00 — sus dos vuelos caen en fin de semana, así que están cubiertos. Igual reverifiquen 2-3 días antes en njtransit.com.</t>
        </is>
      </c>
    </row>
    <row r="15" ht="22" customHeight="1">
      <c r="A15" s="33" t="inlineStr">
        <is>
          <t>The Beacon → EWR · domingo 6 de septiembre, vuelo 23:40</t>
        </is>
      </c>
    </row>
    <row r="16" ht="30" customHeight="1">
      <c r="A16" s="2" t="inlineStr">
        <is>
          <t>RECOMENDADO: Subte 1/2/3 + NJ Transit — $20,25 total</t>
        </is>
      </c>
    </row>
    <row r="17" ht="26" customHeight="1">
      <c r="A17" s="57" t="inlineStr">
        <is>
          <t>Opción</t>
        </is>
      </c>
      <c r="B17" s="57" t="inlineStr">
        <is>
          <t>Costo</t>
        </is>
      </c>
      <c r="C17" s="57" t="inlineStr">
        <is>
          <t>Tiempo</t>
        </is>
      </c>
      <c r="D17" s="57" t="inlineStr">
        <is>
          <t>Detalle</t>
        </is>
      </c>
    </row>
    <row r="18" ht="40" customHeight="1">
      <c r="A18" s="39" t="inlineStr">
        <is>
          <t>Subte + NJ Transit ✅</t>
        </is>
      </c>
      <c r="B18" s="39" t="inlineStr">
        <is>
          <t>$20,25</t>
        </is>
      </c>
      <c r="C18" s="39" t="inlineStr">
        <is>
          <t>~55 min + AirTrain</t>
        </is>
      </c>
      <c r="D18"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9" ht="40" customHeight="1">
      <c r="A19" s="39" t="inlineStr">
        <is>
          <t>Taxi amarillo desde Manhattan</t>
        </is>
      </c>
      <c r="B19" s="39" t="inlineStr">
        <is>
          <t>$95-120</t>
        </is>
      </c>
      <c r="C19" s="39" t="inlineStr">
        <is>
          <t>50-75 min</t>
        </is>
      </c>
      <c r="D19" s="39" t="inlineStr">
        <is>
          <t>OJO: saliendo de Manhattan NO rige la tarifa fija por zonas (esa es solo para taxis que salen de EWR). Se cobra medidor + recargo Newark de $20 + peajes + congestion charge.</t>
        </is>
      </c>
    </row>
    <row r="20" ht="40" customHeight="1">
      <c r="A20" s="39" t="inlineStr">
        <is>
          <t>Uber / Lyft</t>
        </is>
      </c>
      <c r="B20" s="39" t="inlineStr">
        <is>
          <t>$70-110 + riesgo alto de surge</t>
        </is>
      </c>
      <c r="C20" s="39" t="inlineStr">
        <is>
          <t>50-75 min</t>
        </is>
      </c>
      <c r="D20" s="39" t="inlineStr">
        <is>
          <t>El domingo 6/9 es el domingo del fin de semana largo de Labor Day: el día de mayor tráfico de retorno del año. Riesgo real de surge y de demora.</t>
        </is>
      </c>
    </row>
    <row r="21" ht="40" customHeight="1">
      <c r="A21" s="59" t="inlineStr">
        <is>
          <t>⚠ Alerta</t>
        </is>
      </c>
      <c r="B21" s="59" t="inlineStr"/>
      <c r="C21" s="59" t="inlineStr"/>
      <c r="D21"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3" ht="22" customHeight="1">
      <c r="A23" s="33" t="inlineStr">
        <is>
          <t>Bridgewater/Branchburg NJ ↔ Manhattan · 31 ago al 3 sep</t>
        </is>
      </c>
    </row>
    <row r="24" ht="30" customHeight="1">
      <c r="A24" s="2" t="inlineStr">
        <is>
          <t>RECOMENDADO: Estación RARITAN + pasajes sueltos + Uber al tren</t>
        </is>
      </c>
    </row>
    <row r="25" ht="40" customHeight="1">
      <c r="A25" s="59" t="inlineStr">
        <is>
          <t>Hotel</t>
        </is>
      </c>
      <c r="B25" s="59" t="inlineStr"/>
      <c r="C25" s="59" t="inlineStr"/>
      <c r="D25" s="59" t="inlineStr">
        <is>
          <t>Residence Inn Bridgewater Branchburg, 3241 US-22 East. NO TIENE SHUTTLE (confirmado por Marriott). Estacionamiento propio gratis.</t>
        </is>
      </c>
    </row>
    <row r="26" ht="26" customHeight="1">
      <c r="A26" s="57" t="inlineStr">
        <is>
          <t>Estación</t>
        </is>
      </c>
      <c r="B26" s="57" t="inlineStr">
        <is>
          <t>Distancia del hotel</t>
        </is>
      </c>
      <c r="C26" s="57" t="inlineStr">
        <is>
          <t>Estacionamiento</t>
        </is>
      </c>
      <c r="D26" s="57" t="inlineStr">
        <is>
          <t>Servicio</t>
        </is>
      </c>
    </row>
    <row r="27" ht="26" customHeight="1">
      <c r="A27" s="58" t="inlineStr">
        <is>
          <t>Raritan ✅</t>
        </is>
      </c>
      <c r="B27" s="58" t="inlineStr">
        <is>
          <t>6,4 km / 4,0 mi</t>
        </is>
      </c>
      <c r="C27" s="58" t="inlineStr">
        <is>
          <t>$4/día</t>
        </is>
      </c>
      <c r="D27" s="58" t="inlineStr">
        <is>
          <t>Completo. Es cabecera: siempre hay asiento.</t>
        </is>
      </c>
    </row>
    <row r="28" ht="26" customHeight="1">
      <c r="A28" s="39" t="inlineStr">
        <is>
          <t>Somerville</t>
        </is>
      </c>
      <c r="B28" s="39" t="inlineStr">
        <is>
          <t>8,1 km / 5,0 mi</t>
        </is>
      </c>
      <c r="C28" s="39" t="inlineStr">
        <is>
          <t>$5/día (garage Robeson St)</t>
        </is>
      </c>
      <c r="D28" s="39" t="inlineStr">
        <is>
          <t>Completo. Resta 3 min de viaje pero está 1 milla más lejos.</t>
        </is>
      </c>
    </row>
    <row r="29" ht="26" customHeight="1">
      <c r="A29" s="39" t="inlineStr">
        <is>
          <t>North Branch ❌</t>
        </is>
      </c>
      <c r="B29" s="39" t="inlineStr">
        <is>
          <t>1,7 km / 1,0 mi</t>
        </is>
      </c>
      <c r="C29" s="39" t="inlineStr">
        <is>
          <t>GRATIS, 40 lugares</t>
        </is>
      </c>
      <c r="D29" s="39" t="inlineStr">
        <is>
          <t>SOLO horas pico. Es la más cercana pero no sirve.</t>
        </is>
      </c>
    </row>
    <row r="30" ht="26" customHeight="1">
      <c r="A30" s="39" t="inlineStr">
        <is>
          <t>Bridgewater</t>
        </is>
      </c>
      <c r="B30" s="39" t="inlineStr">
        <is>
          <t>13,2 km / 8,2 mi</t>
        </is>
      </c>
      <c r="C30" s="39" t="inlineStr">
        <is>
          <t>$4/día</t>
        </is>
      </c>
      <c r="D30" s="39" t="inlineStr">
        <is>
          <t>Completo, pero es la más lejana del hotel.</t>
        </is>
      </c>
    </row>
    <row r="32" ht="26" customHeight="1">
      <c r="A32" s="57" t="inlineStr">
        <is>
          <t>Tipo de pasaje</t>
        </is>
      </c>
      <c r="B32" s="57" t="inlineStr">
        <is>
          <t>Precio</t>
        </is>
      </c>
      <c r="C32" s="57" t="inlineStr"/>
      <c r="D32" s="57" t="inlineStr">
        <is>
          <t>Nota</t>
        </is>
      </c>
    </row>
    <row r="33" ht="40" customHeight="1">
      <c r="A33" s="58" t="inlineStr">
        <is>
          <t>Pasaje suelto Raritan → NY Penn</t>
        </is>
      </c>
      <c r="B33" s="58" t="inlineStr">
        <is>
          <t>$18,50</t>
        </is>
      </c>
      <c r="C33" s="58" t="inlineStr"/>
      <c r="D33" s="58" t="inlineStr">
        <is>
          <t>PLAN CONFIRMADO: JP hace 4 tramos = $74 (ida el 1, vuelta el 2, ida el 3, más la vuelta del 31). Thais hace 2 = $37. Total $111 ← LA OPCIÓN MÁS BARATA</t>
        </is>
      </c>
    </row>
    <row r="34" ht="26" customHeight="1">
      <c r="A34" s="39" t="inlineStr">
        <is>
          <t>Round-trip</t>
        </is>
      </c>
      <c r="B34" s="39" t="inlineStr">
        <is>
          <t>$37,00</t>
        </is>
      </c>
      <c r="C34" s="39" t="inlineStr"/>
      <c r="D34" s="39" t="inlineStr">
        <is>
          <t>Exactamente 2 × $18,50. NO hay descuento.</t>
        </is>
      </c>
    </row>
    <row r="35" ht="26" customHeight="1">
      <c r="A35" s="39" t="inlineStr">
        <is>
          <t>10-trip</t>
        </is>
      </c>
      <c r="B35" s="39" t="inlineStr">
        <is>
          <t>$185,00</t>
        </is>
      </c>
      <c r="C35" s="39" t="inlineStr"/>
      <c r="D35" s="39" t="inlineStr">
        <is>
          <t>Exactamente 10 × $18,50. Más caro y sobran 2 viajes.</t>
        </is>
      </c>
    </row>
    <row r="36" ht="26" customHeight="1">
      <c r="A36" s="39" t="inlineStr">
        <is>
          <t>Pase semanal</t>
        </is>
      </c>
      <c r="B36" s="39" t="inlineStr">
        <is>
          <t>$164,00</t>
        </is>
      </c>
      <c r="C36" s="39" t="inlineStr"/>
      <c r="D36" s="39" t="inlineStr">
        <is>
          <t>Más caro que 8 pasajes sueltos.</t>
        </is>
      </c>
    </row>
    <row r="37" ht="40" customHeight="1">
      <c r="A37" s="39" t="inlineStr">
        <is>
          <t>FlexPass (20 viajes one-way)</t>
        </is>
      </c>
      <c r="B37" s="39" t="inlineStr">
        <is>
          <t>$314,50</t>
        </is>
      </c>
      <c r="C37" s="39" t="inlineStr"/>
      <c r="D37" s="39" t="inlineStr">
        <is>
          <t>El ÚNICO producto con descuento real: 15% off, válido 30 días. Pero son 20 viajes y ustedes hacen 8 — no sirve para este viaje.</t>
        </is>
      </c>
    </row>
    <row r="38" ht="26" customHeight="1">
      <c r="A38" s="39" t="inlineStr">
        <is>
          <t>Bus 114/117 a Port Authority</t>
        </is>
      </c>
      <c r="B38" s="39" t="inlineStr">
        <is>
          <t>$15,80</t>
        </is>
      </c>
      <c r="C38" s="39" t="inlineStr"/>
      <c r="D38" s="39" t="inlineStr">
        <is>
          <t>$22 más barato en total, pero 45 min más por tramo. No compensa.</t>
        </is>
      </c>
    </row>
    <row r="40" ht="40" customHeight="1">
      <c r="A40" s="39" t="inlineStr">
        <is>
          <t>Horarios</t>
        </is>
      </c>
      <c r="B40" s="39" t="inlineStr"/>
      <c r="C40" s="39" t="inlineStr"/>
      <c r="D40"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1" ht="40" customHeight="1">
      <c r="A41" s="39" t="inlineStr">
        <is>
          <t>Trenes directos</t>
        </is>
      </c>
      <c r="B41" s="39" t="inlineStr"/>
      <c r="C41" s="39" t="inlineStr"/>
      <c r="D41"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3" ht="26" customHeight="1">
      <c r="A43" s="57" t="inlineStr">
        <is>
          <t>Escenario</t>
        </is>
      </c>
      <c r="B43" s="57" t="inlineStr">
        <is>
          <t>Cálculo</t>
        </is>
      </c>
      <c r="C43" s="57" t="inlineStr"/>
      <c r="D43" s="57" t="inlineStr">
        <is>
          <t>Total 4 días</t>
        </is>
      </c>
    </row>
    <row r="44" ht="26" customHeight="1">
      <c r="A44" s="58" t="inlineStr">
        <is>
          <t>① Uber ↔ Raritan + tren ✅ (PLAN REAL)</t>
        </is>
      </c>
      <c r="B44" s="58" t="inlineStr">
        <is>
          <t>$111 tren (6 tramos entre los dos) + $108 Uber (6 tramos)</t>
        </is>
      </c>
      <c r="C44" s="58" t="inlineStr"/>
      <c r="D44" s="58" t="inlineStr">
        <is>
          <t>~$219 los dos</t>
        </is>
      </c>
    </row>
    <row r="45" ht="26" customHeight="1">
      <c r="A45" s="39" t="inlineStr">
        <is>
          <t>② Bus 114/117 + Uber</t>
        </is>
      </c>
      <c r="B45" s="39" t="inlineStr">
        <is>
          <t>$126,40 bus + $128-176 Uber</t>
        </is>
      </c>
      <c r="C45" s="39" t="inlineStr"/>
      <c r="D45" s="39" t="inlineStr">
        <is>
          <t>$254-302 (pero +45 min por tramo)</t>
        </is>
      </c>
    </row>
    <row r="46" ht="26" customHeight="1">
      <c r="A46" s="39" t="inlineStr">
        <is>
          <t>③ Auto de alquiler + park&amp;ride</t>
        </is>
      </c>
      <c r="B46" s="39" t="inlineStr">
        <is>
          <t>$160-300 alquiler + $16 parking + nafta + $148 tren</t>
        </is>
      </c>
      <c r="C46" s="39" t="inlineStr"/>
      <c r="D46" s="39" t="inlineStr">
        <is>
          <t>$329-469 ❌</t>
        </is>
      </c>
    </row>
    <row r="47" ht="26" customHeight="1">
      <c r="A47" s="39" t="inlineStr">
        <is>
          <t>④ Auto hasta Newark Penn + PATH</t>
        </is>
      </c>
      <c r="B47" s="39" t="inlineStr">
        <is>
          <t>$160-300 alquiler + $80-120 parking + $26 PATH</t>
        </is>
      </c>
      <c r="C47" s="39" t="inlineStr"/>
      <c r="D47" s="39" t="inlineStr">
        <is>
          <t>$266-446 ❌</t>
        </is>
      </c>
    </row>
    <row r="48" ht="40" customHeight="1">
      <c r="A48" s="59" t="inlineStr">
        <is>
          <t>¿Conviene alquilar auto?</t>
        </is>
      </c>
      <c r="B48" s="59" t="inlineStr">
        <is>
          <t>NO</t>
        </is>
      </c>
      <c r="C48" s="59" t="inlineStr"/>
      <c r="D48"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9" ht="40" customHeight="1">
      <c r="A49" s="59" t="inlineStr">
        <is>
          <t>⚠ Riesgo</t>
        </is>
      </c>
      <c r="B49" s="59" t="inlineStr"/>
      <c r="C49" s="59" t="inlineStr"/>
      <c r="D49"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1" ht="22" customHeight="1">
      <c r="A51" s="33" t="inlineStr">
        <is>
          <t>Moverse dentro de NYC</t>
        </is>
      </c>
    </row>
    <row r="52" ht="40" customHeight="1">
      <c r="A52" s="60" t="inlineStr">
        <is>
          <t>🔴 CAMBIO CLAVE 2026</t>
        </is>
      </c>
      <c r="B52" s="60" t="inlineStr"/>
      <c r="C52" s="60" t="inlineStr"/>
      <c r="D52" s="60" t="inlineStr">
        <is>
          <t>EL METROCARD SE ELIMINÓ. Desde el 1 de enero de 2026 no se puede comprar ni recargar, y los pases de 7 y 30 días ilimitados ya no existen. No hay decisión que tomar: se usa OMNY.</t>
        </is>
      </c>
    </row>
    <row r="53" ht="26" customHeight="1">
      <c r="A53" s="39" t="inlineStr">
        <is>
          <t>Tarifa</t>
        </is>
      </c>
      <c r="B53" s="39" t="inlineStr">
        <is>
          <t>$3,00</t>
        </is>
      </c>
      <c r="C53" s="39" t="inlineStr"/>
      <c r="D53" s="39" t="inlineStr">
        <is>
          <t>$3,00 por viaje de subte o bus local (subió de $2,90 en enero 2026). Bus express $7,25.</t>
        </is>
      </c>
    </row>
    <row r="54" ht="40" customHeight="1">
      <c r="A54" s="58" t="inlineStr">
        <is>
          <t>Fare capping OMNY</t>
        </is>
      </c>
      <c r="B54" s="58" t="inlineStr">
        <is>
          <t>tope $35 / 7 días</t>
        </is>
      </c>
      <c r="C54" s="58" t="inlineStr"/>
      <c r="D54"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5" ht="40" customHeight="1">
      <c r="A55" s="59" t="inlineStr">
        <is>
          <t>⚠ CRÍTICO</t>
        </is>
      </c>
      <c r="B55" s="59" t="inlineStr"/>
      <c r="C55" s="59" t="inlineStr"/>
      <c r="D55"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6" ht="40" customHeight="1">
      <c r="A56" s="39" t="inlineStr">
        <is>
          <t>Cuenta del viaje</t>
        </is>
      </c>
      <c r="B56" s="39" t="inlineStr"/>
      <c r="C56" s="39" t="inlineStr"/>
      <c r="D56" s="39" t="inlineStr">
        <is>
          <t>9 días en NYC = dos períodos de 7 días. Con uso intensivo, el techo es $35 + $35 = $70 por persona en todo el viaje. Con uso liviano pagan solo lo que usan: OMNY nunca cobra de más.</t>
        </is>
      </c>
    </row>
    <row r="57" ht="26" customHeight="1">
      <c r="A57" s="39" t="inlineStr">
        <is>
          <t>Ink48 (48th &amp; 11th Ave)</t>
        </is>
      </c>
      <c r="B57" s="39" t="inlineStr"/>
      <c r="C57" s="39" t="inlineStr"/>
      <c r="D57" s="39" t="inlineStr">
        <is>
          <t>50 St (C,E) a ~12 min caminando hacia el este. Es un hotel notoriamente lejos del subte.</t>
        </is>
      </c>
    </row>
    <row r="58" ht="26" customHeight="1">
      <c r="A58" s="39" t="inlineStr">
        <is>
          <t>The Beacon (Broadway &amp; 75th)</t>
        </is>
      </c>
      <c r="B58" s="39" t="inlineStr"/>
      <c r="C58" s="39" t="inlineStr"/>
      <c r="D58" s="39" t="inlineStr">
        <is>
          <t>72 St (1,2,3) a 3 cuadras, 79 St (1) a 4. Directo a Penn Station en 10 min.</t>
        </is>
      </c>
    </row>
  </sheetData>
  <mergeCells count="9">
    <mergeCell ref="A5:D5"/>
    <mergeCell ref="A23:D23"/>
    <mergeCell ref="A2:E2"/>
    <mergeCell ref="A4:D4"/>
    <mergeCell ref="A15:D15"/>
    <mergeCell ref="A1:E1"/>
    <mergeCell ref="A24:D24"/>
    <mergeCell ref="A16:D16"/>
    <mergeCell ref="A51:D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y ahora está calculado por separado para cada uno: a Juan la mejor ventana posible le hace perder $60 y a Thais $97. El ahorro real de este viaje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no está en Nueva York del 31/8 al 2/9 —trabaja en New Jersey— así que sus días útiles NO son consecutivos, que es justo lo que el pase exige. En todo el viaje hace $82 de atracciones que el pase cubra, contra $169 del pase más barato.</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 RESUELTO — la rotonda del Guggenheim está CERRADA hasta el 17/9. Por eso el domingo entra MoMA PS1 en su lugar; el Guggenheim quedó como alternativa escrita en el bloque de las 18:20</t>
        </is>
      </c>
      <c r="C16" s="59" t="inlineStr">
        <is>
          <t>verificado el 27/8, ya no hay que llamar</t>
        </is>
      </c>
      <c r="D16" s="59" t="inlineStr">
        <is>
          <t>guggenheim.org</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STUDIO MUSEUM sáb 29 — entrada con HORARIO ASIGNADO, sacarla antes. «Fade» cierra el 6/9: el sábado es la única pasada del viaje</t>
        </is>
      </c>
      <c r="C17" s="59" t="inlineStr">
        <is>
          <t>HOY</t>
        </is>
      </c>
      <c r="D17" s="59" t="inlineStr">
        <is>
          <t>studiomuseum.org</t>
        </is>
      </c>
      <c r="E17" s="59" t="inlineStr">
        <is>
          <t>Reabrió este año tras siete cerrado, en el edificio nuevo de Adjaye. Sugerido $16, gratis los domingos. Lo detectó el barrido del 27/8: la entrada es con hora asignada, no se entra y ya.</t>
        </is>
      </c>
    </row>
    <row r="18" ht="40" customHeight="1">
      <c r="A18" s="41" t="inlineStr"/>
      <c r="B18" s="60" t="inlineStr">
        <is>
          <t>FRICK mié 2 — reservar la ventana a voluntad de 13:30 a 17:30</t>
        </is>
      </c>
      <c r="C18" s="59" t="inlineStr">
        <is>
          <t>HOY</t>
        </is>
      </c>
      <c r="D18" s="59" t="inlineStr">
        <is>
          <t>frick.org</t>
        </is>
      </c>
      <c r="E18" s="59" t="inlineStr">
        <is>
          <t>Esa ventana es TODA: fuera de ella son $30 por cabeza. Online el mínimo es $5. El cupo en puerta existe pero no está garantizado, y son solo cuatro horas.</t>
        </is>
      </c>
    </row>
    <row r="19" ht="40" customHeight="1">
      <c r="A19" s="41" t="inlineStr"/>
      <c r="B19" s="60" t="inlineStr">
        <is>
          <t>MORGAN LIBRARY vie 4 — las reservas del viernes gratis (17-20h) se liberan HOY, viernes 28</t>
        </is>
      </c>
      <c r="C19" s="59" t="inlineStr">
        <is>
          <t>HOY, es el día</t>
        </is>
      </c>
      <c r="D19" s="59" t="inlineStr">
        <is>
          <t>themorgan.org</t>
        </is>
      </c>
      <c r="E19" s="59" t="inlineStr">
        <is>
          <t>Reserva obligatoria y se agota. Si no sale, el viernes queda un hueco de 17:00 a 18:10 antes del SUMMIT.</t>
        </is>
      </c>
    </row>
    <row r="20" ht="40" customHeight="1">
      <c r="A20" s="41" t="inlineStr"/>
      <c r="B20" s="60" t="inlineStr">
        <is>
          <t>Revisar travel alerts de NJ Transit para la noche del 2/9 y la mañana del 3/9</t>
        </is>
      </c>
      <c r="C20" s="59" t="inlineStr">
        <is>
          <t>2-3 días antes</t>
        </is>
      </c>
      <c r="D20" s="59" t="inlineStr">
        <is>
          <t>njtransit.com/travel-alerts-to</t>
        </is>
      </c>
      <c r="E20" s="59" t="inlineStr">
        <is>
          <t>La ÚNICA noche que queda de vuelta a New Jersey (mié 2) depende del directo de las 22:48 — si se cae, la próxima llegada a Raritan es 01:31. Y el jueves 6:55 con las maletas también es NJT.</t>
        </is>
      </c>
    </row>
    <row r="21" ht="40" customHeight="1">
      <c r="A21" s="41" t="inlineStr"/>
      <c r="B21" s="62" t="inlineStr">
        <is>
          <t>MO Lounge (Mandarin Oriental, piso 35) — JUEVES 3/9 ~20:30, antes de Dizzy's</t>
        </is>
      </c>
      <c r="C21" s="39" t="inlineStr">
        <is>
          <t>1 semana antes</t>
        </is>
      </c>
      <c r="D21" s="39" t="inlineStr">
        <is>
          <t>mandarinoriental.com (SevenRooms)</t>
        </is>
      </c>
      <c r="E21" s="39" t="inlineStr">
        <is>
          <t>Ventanales sobre Central Park y está en el MISMO edificio que Dizzy's: se baja en ascensor. Coctel ~$26-32, sin cover. Alternativa en el mismo piso: The Bar (mar-sáb 17-1h, 45 asientos).</t>
        </is>
      </c>
    </row>
    <row r="22" ht="40" customHeight="1">
      <c r="A22" s="41" t="inlineStr"/>
      <c r="B22" s="62" t="inlineStr">
        <is>
          <t>Dos mails operativos: early check-in Ink48 (para el sáb 29) y luggage drop en The Beacon desde las 8:45 (jue 3)</t>
        </is>
      </c>
      <c r="C22" s="39" t="inlineStr">
        <is>
          <t>esta semana</t>
        </is>
      </c>
      <c r="D22" s="39" t="inlineStr">
        <is>
          <t>mail a cada hotel</t>
        </is>
      </c>
      <c r="E22" s="39" t="inlineStr">
        <is>
          <t>El día 1 y el día 6 dependen de que los dos hoteles digan que sí. Un mail de dos líneas cada uno.</t>
        </is>
      </c>
    </row>
    <row r="23" ht="40" customHeight="1">
      <c r="A23" s="41" t="inlineStr"/>
      <c r="B23" s="62" t="inlineStr">
        <is>
          <t>✅ RESUELTO — festival Charlie Parker: sáb 29, Marcus Garvey Park, 14:00 a 19:00, cierra JOSHUA REDMAN con Nat Adderley Jr., Catherine Russell y Nicole Glover</t>
        </is>
      </c>
      <c r="C23" s="39" t="inlineStr">
        <is>
          <t>verificado el 27/8</t>
        </is>
      </c>
      <c r="D23" s="39" t="inlineStr">
        <is>
          <t>cityparksfoundation.org</t>
        </is>
      </c>
      <c r="E23" s="39" t="inlineStr">
        <is>
          <t>La salida obligada de las 18:30 puede o no cortar el set de cierre. Saberlo el día antes permite decidir el plan B del subte (salir 18:10) con datos.</t>
        </is>
      </c>
    </row>
    <row r="24" ht="40" customHeight="1">
      <c r="A24" s="41" t="inlineStr"/>
      <c r="B24" s="62" t="inlineStr">
        <is>
          <t>Broadway — loterías digitales</t>
        </is>
      </c>
      <c r="C24" s="39" t="inlineStr">
        <is>
          <t>TODOS LOS DÍAS desde ya</t>
        </is>
      </c>
      <c r="D24" s="39" t="inlineStr">
        <is>
          <t>Broadway Direct, Telecharge, LuckySeat, TodayTix</t>
        </is>
      </c>
      <c r="E24" s="39" t="inlineStr">
        <is>
          <t>Entrar es GRATIS. Hamilton $10, Maybe Happy Ending $20,64, MJ/Hadestown/Moulin Rouge $49. Anotarse a 5-6 por día no cuesta nada.</t>
        </is>
      </c>
    </row>
    <row r="25" ht="40" customHeight="1">
      <c r="A25" s="41" t="inlineStr"/>
      <c r="B25" s="62" t="inlineStr">
        <is>
          <t>One World Observatory — JUEVES 3/9 ~13:45</t>
        </is>
      </c>
      <c r="C25" s="39" t="inlineStr">
        <is>
          <t>1-2 semanas antes</t>
        </is>
      </c>
      <c r="D25" s="39" t="inlineStr">
        <is>
          <t>oneworldobservatory.com</t>
        </is>
      </c>
      <c r="E25" s="39" t="inlineStr">
        <is>
          <t>$44 + $3,50 fee, ventana de entrada de 15 min. Los slots de la tarde se agotan en verano.</t>
        </is>
      </c>
    </row>
    <row r="26" ht="40" customHeight="1">
      <c r="A26" s="41" t="inlineStr"/>
      <c r="B26" s="62" t="inlineStr">
        <is>
          <t>Mercer Labs — DOMINGO 30/8, slot 17:30 (Fever)</t>
        </is>
      </c>
      <c r="C26" s="39" t="inlineStr">
        <is>
          <t>esta semana</t>
        </is>
      </c>
      <c r="D26" s="39" t="inlineStr">
        <is>
          <t>mercerlabs.com</t>
        </is>
      </c>
      <c r="E26" s="39" t="inlineStr">
        <is>
          <t>Hasta $57 por cabeza según franja; los slots del fin de semana se agotan en Fever. El domingo abre hasta las 22, así que si el 17:30 no está, cualquier slot 17:00-18:00 mantiene la cadena (Crown al atardecer 19:15).</t>
        </is>
      </c>
    </row>
    <row r="27" ht="40" customHeight="1">
      <c r="A27" s="41" t="inlineStr"/>
      <c r="B27" s="62" t="inlineStr">
        <is>
          <t>JGStay SoHo — RESUELTO (JP: 31/8 → 2/9). Confirmar la CONSIGNA de equipaje por mensaje</t>
        </is>
      </c>
      <c r="C27" s="39" t="inlineStr">
        <is>
          <t>esta semana</t>
        </is>
      </c>
      <c r="D27" s="39" t="inlineStr">
        <is>
          <t>jgstay.com</t>
        </is>
      </c>
      <c r="E27" s="39" t="inlineStr">
        <is>
          <t>Ya reservado por Juan: adiós a dos de las tres vueltas nocturnas a NJ. Confirmar: dejar bolso lunes ~8:35 (antes del check-in) y consigna el miércoles post-checkout hasta ~17:00. Desayuno incluido 7-9 AM; recepción 24 h; Canal St (6, N/Q/R/W, J/Z) a pasos.</t>
        </is>
      </c>
    </row>
    <row r="28" ht="40" customHeight="1">
      <c r="A28" s="41" t="inlineStr"/>
      <c r="B28" s="62" t="inlineStr">
        <is>
          <t>Uber en Branchburg — quedó UNA sola mañana (jueves 3, 6:20)</t>
        </is>
      </c>
      <c r="C28" s="39" t="inlineStr">
        <is>
          <t>mié 2: pedir el de Raritan→hotel ANTES de subir al tren, y programar el del jueves 6:20</t>
        </is>
      </c>
      <c r="D28" s="39" t="inlineStr">
        <is>
          <t>app</t>
        </is>
      </c>
      <c r="E28" s="39" t="inlineStr">
        <is>
          <t>Zona semi-rural: a las 0:04 y a las 6:20 puede no haber conductores. Programar con anticipación y tener plan B.</t>
        </is>
      </c>
    </row>
    <row r="29" ht="40" customHeight="1">
      <c r="A29" s="41" t="inlineStr"/>
      <c r="B29" s="62" t="inlineStr">
        <is>
          <t>Birdland sáb 29/8 — RESERVAR set 21:30: David DeJesus &amp; the Boptet, 'Celebrating Charlie Parker'</t>
        </is>
      </c>
      <c r="C29" s="39" t="inlineStr">
        <is>
          <t>YA</t>
        </is>
      </c>
      <c r="D29" s="39" t="inlineStr">
        <is>
          <t>birdlandjazz.com</t>
        </is>
      </c>
      <c r="E29"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30" ht="40" customHeight="1">
      <c r="A30" s="41" t="inlineStr"/>
      <c r="B30" s="62" t="inlineStr">
        <is>
          <t>AirTrain + NJ Transit — ahora es el PLAN B de la llegada (entró el Uber Shuttle). Igual conviene reverificarlo: es lo que salva el sábado si migraciones se estira</t>
        </is>
      </c>
      <c r="C30" s="39" t="inlineStr">
        <is>
          <t>HOY, viernes 28</t>
        </is>
      </c>
      <c r="D30" s="39" t="inlineStr">
        <is>
          <t>njtransit.com</t>
        </is>
      </c>
      <c r="E30" s="39" t="inlineStr">
        <is>
          <t>Obra de reemplazo hasta 2030, con advisories que se renuevan mes a mes.</t>
        </is>
      </c>
    </row>
    <row r="31" ht="40" customHeight="1">
      <c r="A31" s="41" t="inlineStr"/>
      <c r="B31" s="62" t="inlineStr">
        <is>
          <t>Dizzy's JUEVES 3/9 21:00 — solo si deciden mantenerlo</t>
        </is>
      </c>
      <c r="C31" s="39" t="inlineStr">
        <is>
          <t>2-3 días antes</t>
        </is>
      </c>
      <c r="D31" s="39" t="inlineStr">
        <is>
          <t>jazz.org/dizzys</t>
        </is>
      </c>
      <c r="E31" s="39" t="inlineStr">
        <is>
          <t>Entradas con horario. CONDICIONAL: es la noche del día de ~17 horas con 5 de sueño — decidan a las 20:00 de ese día; la reserva flexible o el set Late Night (~22:45) son las opciones de bajo riesgo.</t>
        </is>
      </c>
    </row>
    <row r="32" ht="40" customHeight="1">
      <c r="A32" s="41" t="inlineStr"/>
      <c r="B32" s="62" t="inlineStr">
        <is>
          <t>Tenement Museum — SOLO SI deciden sumarlo (quedó FUERA del plan)</t>
        </is>
      </c>
      <c r="C32" s="39" t="inlineStr">
        <is>
          <t>solo si lo suman</t>
        </is>
      </c>
      <c r="D32" s="39" t="inlineStr">
        <is>
          <t>tenement.org</t>
        </is>
      </c>
      <c r="E32" s="39" t="inlineStr">
        <is>
          <t>Los dos lo bajaron a 'quizás' y no está en ningún día. OJO: es sin reembolso — no reservar algo que no está agendado.</t>
        </is>
      </c>
    </row>
    <row r="33" ht="40" customHeight="1">
      <c r="A33" s="41" t="inlineStr"/>
      <c r="B33" s="62" t="inlineStr">
        <is>
          <t>Edge — tarifa Advance Saver $34</t>
        </is>
      </c>
      <c r="C33" s="39" t="inlineStr">
        <is>
          <t>YA (exige 14+ días)</t>
        </is>
      </c>
      <c r="D33" s="39" t="inlineStr">
        <is>
          <t>edgenyc.com</t>
        </is>
      </c>
      <c r="E33" s="39" t="inlineStr">
        <is>
          <t>FUERA del plan (lo marcaron 0/0 en la última pasada). Solo si cambian de idea; con SUMMIT y Top of the Rock ya se solapa mucho.</t>
        </is>
      </c>
    </row>
    <row r="34" ht="40" customHeight="1">
      <c r="A34" s="41" t="inlineStr"/>
      <c r="B34" s="62" t="inlineStr">
        <is>
          <t>Noguchi Museum — FUERA del plan (0/0)</t>
        </is>
      </c>
      <c r="C34" s="39" t="inlineStr">
        <is>
          <t>solo si lo suman</t>
        </is>
      </c>
      <c r="D34" s="39" t="inlineStr">
        <is>
          <t>noguchi.org</t>
        </is>
      </c>
      <c r="E34" s="39" t="inlineStr">
        <is>
          <t>Lo marcaron 0/0: no reservar salvo cambio de idea. (El primer viernes del mes es gratis hasta las 20h, por si acaso.)</t>
        </is>
      </c>
    </row>
    <row r="35" ht="40" customHeight="1">
      <c r="A35" s="41" t="inlineStr"/>
      <c r="B35" s="62" t="inlineStr">
        <is>
          <t>Lincoln Center — revisar calendario de la semana 3-6/9 (Atrium gratis, Film at Lincoln Center)</t>
        </is>
      </c>
      <c r="C35" s="39" t="inlineStr">
        <is>
          <t>1 semana antes</t>
        </is>
      </c>
      <c r="D35" s="39" t="inlineStr">
        <is>
          <t>lincolncenter.org</t>
        </is>
      </c>
      <c r="E35"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6" ht="40" customHeight="1">
      <c r="A36" s="41" t="inlineStr"/>
      <c r="B36" s="62" t="inlineStr">
        <is>
          <t>The Vessel — VIERNES 4/9 10:00</t>
        </is>
      </c>
      <c r="C36" s="39" t="inlineStr">
        <is>
          <t>2-3 días antes</t>
        </is>
      </c>
      <c r="D36" s="39" t="inlineStr">
        <is>
          <t>hudsonyardsnewyork.com</t>
        </is>
      </c>
      <c r="E36" s="39" t="inlineStr">
        <is>
          <t>$10 (flex $15). Suele haber en el día, pero el timed ticket de las 10:00 asegura el arranque sin fila.</t>
        </is>
      </c>
    </row>
    <row r="37" ht="40" customHeight="1">
      <c r="A37" s="41" t="inlineStr"/>
      <c r="B37" s="62" t="inlineStr">
        <is>
          <t>Estatua de la Libertad — corona o pedestal</t>
        </is>
      </c>
      <c r="C37" s="39" t="inlineStr">
        <is>
          <t>YA, y probablemente sea tarde</t>
        </is>
      </c>
      <c r="D37" s="39" t="inlineStr">
        <is>
          <t>statuecitycruises.com</t>
        </is>
      </c>
      <c r="E37" s="39" t="inlineStr">
        <is>
          <t>La corona se agota meses antes. SOLO por el sitio oficial: ninguna agencia vende corona.</t>
        </is>
      </c>
    </row>
    <row r="38" ht="40" customHeight="1">
      <c r="A38" s="41" t="inlineStr"/>
      <c r="B38" s="62" t="inlineStr">
        <is>
          <t>Bill's Place — SALIÓ del plan (lo desplazó el Vanguard del viernes)</t>
        </is>
      </c>
      <c r="C38" s="39" t="inlineStr">
        <is>
          <t>solo si cambian de idea</t>
        </is>
      </c>
      <c r="D38" s="39" t="inlineStr">
        <is>
          <t>billsplaceharlem.com</t>
        </is>
      </c>
      <c r="E38" s="39" t="inlineStr">
        <is>
          <t>Toca viernes y sábado nomás, y las dos noches están tomadas. Queda como la alternativa si prefieren el speakeasy de Harlem antes que el Vanguard: en ese caso el Vanguard vuelve al martes y Juan va solo.</t>
        </is>
      </c>
    </row>
    <row r="39" ht="40" customHeight="1">
      <c r="A39" s="41" t="inlineStr"/>
      <c r="B39" s="62" t="inlineStr">
        <is>
          <t>Village Vanguard — VIERNES 4/9, set de las 22:00 (Patitucci/Potter/Blade), DOS lugares</t>
        </is>
      </c>
      <c r="C39" s="39" t="inlineStr">
        <is>
          <t>COMPRADAS 26/8</t>
        </is>
      </c>
      <c r="D39" s="39" t="inlineStr">
        <is>
          <t>2 x GA $45 - #18741454 y #18741456</t>
        </is>
      </c>
      <c r="E39"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40"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2026-08-28T20:11:44Z</dcterms:created>
  <dcterms:modified xsi:type="dcterms:W3CDTF">2026-08-28T20:11:44Z</dcterms:modified>
</cp:coreProperties>
</file>